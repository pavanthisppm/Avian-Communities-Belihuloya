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https://d.docs.live.net/2f3cd4c70924fc60/เอกสาร/GitHub/Avian-Communities-Belihuloya/"/>
    </mc:Choice>
  </mc:AlternateContent>
  <xr:revisionPtr revIDLastSave="0" documentId="11_FB3A5592E5303D44D1CC358E8C6FE464CEB85599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5" r:id="rId3"/>
    <sheet name="Sheet4" sheetId="6" r:id="rId4"/>
    <sheet name="Sheet5" sheetId="7" r:id="rId5"/>
    <sheet name="Sheet1_1" sheetId="10" r:id="rId6"/>
    <sheet name="Sheet2_2" sheetId="12" r:id="rId7"/>
    <sheet name="Sheet3_3" sheetId="13" r:id="rId8"/>
    <sheet name="Sheet4_4" sheetId="14" r:id="rId9"/>
    <sheet name="Sheet5_5" sheetId="15" r:id="rId10"/>
    <sheet name="Sheet6_6" sheetId="16" r:id="rId11"/>
    <sheet name="Sheet7_7" sheetId="17" r:id="rId12"/>
    <sheet name="Sheet8" sheetId="18" r:id="rId13"/>
    <sheet name="Sheet9" sheetId="19" r:id="rId14"/>
    <sheet name="Sheet10" sheetId="20" r:id="rId15"/>
    <sheet name="Sheet11" sheetId="21" r:id="rId16"/>
    <sheet name="Sheet12" sheetId="22" r:id="rId17"/>
    <sheet name="Sheet13" sheetId="23" r:id="rId18"/>
    <sheet name="Sheet14" sheetId="24" r:id="rId19"/>
  </sheets>
  <definedNames>
    <definedName name="_xlnm._FilterDatabase" localSheetId="14" hidden="1">Sheet10!#REF!</definedName>
    <definedName name="_xlnm._FilterDatabase" localSheetId="16" hidden="1">Sheet12!$A$2:$I$2</definedName>
    <definedName name="_xlnm._FilterDatabase" localSheetId="8" hidden="1">Sheet4_4!$A$2:$K$2</definedName>
    <definedName name="_xlnm._FilterDatabase" localSheetId="9" hidden="1">Sheet5_5!$A$2:$K$2</definedName>
    <definedName name="_xlnm._FilterDatabase" localSheetId="11" hidden="1">Sheet7_7!$A$2:$J$2</definedName>
    <definedName name="_xlnm._FilterDatabase" localSheetId="13" hidden="1">Sheet9!$A$2:$J$2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I202" i="10" l="1"/>
  <c r="DH202" i="10"/>
  <c r="DI201" i="10"/>
  <c r="DH201" i="10"/>
  <c r="DI200" i="10"/>
  <c r="DH200" i="10"/>
  <c r="DI199" i="10"/>
  <c r="DH199" i="10"/>
  <c r="DI198" i="10"/>
  <c r="DH198" i="10"/>
  <c r="DI197" i="10"/>
  <c r="DH197" i="10"/>
  <c r="DI196" i="10"/>
  <c r="DH196" i="10"/>
  <c r="DI195" i="10"/>
  <c r="DH195" i="10"/>
  <c r="DI194" i="10"/>
  <c r="DH194" i="10"/>
  <c r="DI193" i="10"/>
  <c r="DH193" i="10"/>
  <c r="DI192" i="10"/>
  <c r="DH192" i="10"/>
  <c r="DI191" i="10"/>
  <c r="DH191" i="10"/>
  <c r="DI190" i="10"/>
  <c r="DH190" i="10"/>
  <c r="DI189" i="10"/>
  <c r="DH189" i="10"/>
  <c r="DI188" i="10"/>
  <c r="DH188" i="10"/>
  <c r="DI187" i="10"/>
  <c r="DH187" i="10"/>
  <c r="DI186" i="10"/>
  <c r="DH186" i="10"/>
  <c r="DI185" i="10"/>
  <c r="DH185" i="10"/>
  <c r="DI184" i="10"/>
  <c r="DH184" i="10"/>
  <c r="DI183" i="10"/>
  <c r="DH183" i="10"/>
  <c r="DI182" i="10"/>
  <c r="DH182" i="10"/>
  <c r="DI181" i="10"/>
  <c r="DH181" i="10"/>
  <c r="DI180" i="10"/>
  <c r="DH180" i="10"/>
  <c r="DI179" i="10"/>
  <c r="DH179" i="10"/>
  <c r="DI178" i="10"/>
  <c r="DH178" i="10"/>
  <c r="DI177" i="10"/>
  <c r="DH177" i="10"/>
  <c r="DI176" i="10"/>
  <c r="DH176" i="10"/>
  <c r="DI175" i="10"/>
  <c r="DH175" i="10"/>
  <c r="DI174" i="10"/>
  <c r="DH174" i="10"/>
  <c r="DI173" i="10"/>
  <c r="DH173" i="10"/>
  <c r="DI172" i="10"/>
  <c r="DH172" i="10"/>
  <c r="DI171" i="10"/>
  <c r="DH171" i="10"/>
  <c r="DI170" i="10"/>
  <c r="DH170" i="10"/>
  <c r="DI169" i="10"/>
  <c r="DH169" i="10"/>
  <c r="DI168" i="10"/>
  <c r="DH168" i="10"/>
  <c r="DI167" i="10"/>
  <c r="DH167" i="10"/>
  <c r="DI166" i="10"/>
  <c r="DH166" i="10"/>
  <c r="DI165" i="10"/>
  <c r="DH165" i="10"/>
  <c r="DI164" i="10"/>
  <c r="DH164" i="10"/>
  <c r="DI163" i="10"/>
  <c r="DH163" i="10"/>
  <c r="DI162" i="10"/>
  <c r="DH162" i="10"/>
  <c r="DI161" i="10"/>
  <c r="DH161" i="10"/>
  <c r="DI160" i="10"/>
  <c r="DH160" i="10"/>
  <c r="DI159" i="10"/>
  <c r="DH159" i="10"/>
  <c r="DI158" i="10"/>
  <c r="DH158" i="10"/>
  <c r="DI157" i="10"/>
  <c r="DH157" i="10"/>
  <c r="DI156" i="10"/>
  <c r="DH156" i="10"/>
  <c r="DI155" i="10"/>
  <c r="DH155" i="10"/>
  <c r="DI154" i="10"/>
  <c r="DH154" i="10"/>
  <c r="DI153" i="10"/>
  <c r="DH153" i="10"/>
  <c r="DI152" i="10"/>
  <c r="DH152" i="10"/>
  <c r="DI151" i="10"/>
  <c r="DH151" i="10"/>
  <c r="DI150" i="10"/>
  <c r="DH150" i="10"/>
  <c r="DI149" i="10"/>
  <c r="DH149" i="10"/>
  <c r="DI148" i="10"/>
  <c r="DH148" i="10"/>
  <c r="DI147" i="10"/>
  <c r="DH147" i="10"/>
  <c r="DI146" i="10"/>
  <c r="DH146" i="10"/>
  <c r="DI145" i="10"/>
  <c r="DH145" i="10"/>
  <c r="DI144" i="10"/>
  <c r="DH144" i="10"/>
  <c r="DI143" i="10"/>
  <c r="DH143" i="10"/>
  <c r="DI142" i="10"/>
  <c r="DH142" i="10"/>
  <c r="DI141" i="10"/>
  <c r="DH141" i="10"/>
  <c r="DI140" i="10"/>
  <c r="DH140" i="10"/>
  <c r="DI139" i="10"/>
  <c r="DH139" i="10"/>
  <c r="DI138" i="10"/>
  <c r="DH138" i="10"/>
  <c r="DI137" i="10"/>
  <c r="DH137" i="10"/>
  <c r="DI136" i="10"/>
  <c r="DH136" i="10"/>
  <c r="DI135" i="10"/>
  <c r="DH135" i="10"/>
  <c r="DI134" i="10"/>
  <c r="DH134" i="10"/>
  <c r="DI133" i="10"/>
  <c r="DH133" i="10"/>
  <c r="DI132" i="10"/>
  <c r="DH132" i="10"/>
  <c r="DI131" i="10"/>
  <c r="DH131" i="10"/>
  <c r="DI130" i="10"/>
  <c r="DH130" i="10"/>
  <c r="DI129" i="10"/>
  <c r="DH129" i="10"/>
  <c r="DI128" i="10"/>
  <c r="DH128" i="10"/>
  <c r="DI127" i="10"/>
  <c r="DH127" i="10"/>
  <c r="DI126" i="10"/>
  <c r="DH126" i="10"/>
  <c r="DI125" i="10"/>
  <c r="DH125" i="10"/>
  <c r="DI124" i="10"/>
  <c r="DH124" i="10"/>
  <c r="DI123" i="10"/>
  <c r="DH123" i="10"/>
  <c r="DI122" i="10"/>
  <c r="DH122" i="10"/>
  <c r="DI121" i="10"/>
  <c r="DH121" i="10"/>
  <c r="DI120" i="10"/>
  <c r="DH120" i="10"/>
  <c r="DI119" i="10"/>
  <c r="DH119" i="10"/>
  <c r="DI118" i="10"/>
  <c r="DH118" i="10"/>
  <c r="DI117" i="10"/>
  <c r="DH117" i="10"/>
  <c r="DI116" i="10"/>
  <c r="DH116" i="10"/>
  <c r="DI115" i="10"/>
  <c r="DH115" i="10"/>
  <c r="DI114" i="10"/>
  <c r="DH114" i="10"/>
  <c r="DI113" i="10"/>
  <c r="DH113" i="10"/>
  <c r="DI112" i="10"/>
  <c r="DH112" i="10"/>
  <c r="DI111" i="10"/>
  <c r="DH111" i="10"/>
  <c r="DI110" i="10"/>
  <c r="DH110" i="10"/>
  <c r="DI109" i="10"/>
  <c r="DH109" i="10"/>
  <c r="DI108" i="10"/>
  <c r="DH108" i="10"/>
  <c r="DI107" i="10"/>
  <c r="DH107" i="10"/>
  <c r="DI106" i="10"/>
  <c r="DH106" i="10"/>
  <c r="DI105" i="10"/>
  <c r="DH105" i="10"/>
  <c r="DI104" i="10"/>
  <c r="DH104" i="10"/>
  <c r="DI103" i="10"/>
  <c r="DH103" i="10"/>
  <c r="DI102" i="10"/>
  <c r="DH102" i="10"/>
  <c r="DI101" i="10"/>
  <c r="DH101" i="10"/>
  <c r="DI100" i="10"/>
  <c r="DH100" i="10"/>
  <c r="DI99" i="10"/>
  <c r="DH99" i="10"/>
  <c r="DI98" i="10"/>
  <c r="DH98" i="10"/>
  <c r="DI97" i="10"/>
  <c r="DH97" i="10"/>
  <c r="DI96" i="10"/>
  <c r="DH96" i="10"/>
  <c r="DI95" i="10"/>
  <c r="DH95" i="10"/>
  <c r="DI94" i="10"/>
  <c r="DH94" i="10"/>
  <c r="DI93" i="10"/>
  <c r="DH93" i="10"/>
  <c r="DI92" i="10"/>
  <c r="DH92" i="10"/>
  <c r="DI91" i="10"/>
  <c r="DH91" i="10"/>
  <c r="DI90" i="10"/>
  <c r="DH90" i="10"/>
  <c r="DI89" i="10"/>
  <c r="DH89" i="10"/>
  <c r="DI88" i="10"/>
  <c r="DH88" i="10"/>
  <c r="DI87" i="10"/>
  <c r="DH87" i="10"/>
  <c r="DI86" i="10"/>
  <c r="DH86" i="10"/>
  <c r="DI85" i="10"/>
  <c r="DH85" i="10"/>
  <c r="DI84" i="10"/>
  <c r="DH84" i="10"/>
  <c r="DI83" i="10"/>
  <c r="DH83" i="10"/>
  <c r="DI82" i="10"/>
  <c r="DH82" i="10"/>
  <c r="DI81" i="10"/>
  <c r="DH81" i="10"/>
  <c r="DI80" i="10"/>
  <c r="DH80" i="10"/>
  <c r="DI79" i="10"/>
  <c r="DH79" i="10"/>
  <c r="DI78" i="10"/>
  <c r="DH78" i="10"/>
  <c r="DI77" i="10"/>
  <c r="DH77" i="10"/>
  <c r="DI76" i="10"/>
  <c r="DH76" i="10"/>
  <c r="DI75" i="10"/>
  <c r="DH75" i="10"/>
  <c r="DI74" i="10"/>
  <c r="DH74" i="10"/>
  <c r="DI73" i="10"/>
  <c r="DH73" i="10"/>
  <c r="DI72" i="10"/>
  <c r="DH72" i="10"/>
  <c r="DI71" i="10"/>
  <c r="DH71" i="10"/>
  <c r="DI70" i="10"/>
  <c r="DH70" i="10"/>
  <c r="DI69" i="10"/>
  <c r="DH69" i="10"/>
  <c r="DI68" i="10"/>
  <c r="DH68" i="10"/>
  <c r="DI67" i="10"/>
  <c r="DH67" i="10"/>
  <c r="DI66" i="10"/>
  <c r="DH66" i="10"/>
  <c r="DI65" i="10"/>
  <c r="DH65" i="10"/>
  <c r="DI64" i="10"/>
  <c r="DH64" i="10"/>
  <c r="DI63" i="10"/>
  <c r="DH63" i="10"/>
  <c r="DI62" i="10"/>
  <c r="DH62" i="10"/>
  <c r="DI61" i="10"/>
  <c r="DH61" i="10"/>
  <c r="DI60" i="10"/>
  <c r="DH60" i="10"/>
  <c r="DI59" i="10"/>
  <c r="DH59" i="10"/>
  <c r="DI58" i="10"/>
  <c r="DH58" i="10"/>
  <c r="DI57" i="10"/>
  <c r="DH57" i="10"/>
  <c r="DI56" i="10"/>
  <c r="DH56" i="10"/>
  <c r="DI55" i="10"/>
  <c r="DH55" i="10"/>
  <c r="DI54" i="10"/>
  <c r="DH54" i="10"/>
  <c r="DI53" i="10"/>
  <c r="DH53" i="10"/>
  <c r="DI52" i="10"/>
  <c r="DH52" i="10"/>
  <c r="DI51" i="10"/>
  <c r="DH51" i="10"/>
  <c r="DI50" i="10"/>
  <c r="DH50" i="10"/>
  <c r="DI49" i="10"/>
  <c r="DH49" i="10"/>
  <c r="DI48" i="10"/>
  <c r="DH48" i="10"/>
  <c r="DI47" i="10"/>
  <c r="DH47" i="10"/>
  <c r="DI46" i="10"/>
  <c r="DH46" i="10"/>
  <c r="DI45" i="10"/>
  <c r="DH45" i="10"/>
  <c r="DI44" i="10"/>
  <c r="DH44" i="10"/>
  <c r="DI43" i="10"/>
  <c r="DH43" i="10"/>
  <c r="DI42" i="10"/>
  <c r="DH42" i="10"/>
  <c r="DI41" i="10"/>
  <c r="DH41" i="10"/>
  <c r="DI40" i="10"/>
  <c r="DH40" i="10"/>
  <c r="DI39" i="10"/>
  <c r="DH39" i="10"/>
  <c r="DI38" i="10"/>
  <c r="DH38" i="10"/>
  <c r="DI37" i="10"/>
  <c r="DH37" i="10"/>
  <c r="DI36" i="10"/>
  <c r="DH36" i="10"/>
  <c r="DI35" i="10"/>
  <c r="DH35" i="10"/>
  <c r="DI34" i="10"/>
  <c r="DH34" i="10"/>
  <c r="DI33" i="10"/>
  <c r="DH33" i="10"/>
  <c r="DI32" i="10"/>
  <c r="DH32" i="10"/>
  <c r="DI31" i="10"/>
  <c r="DH31" i="10"/>
  <c r="DI30" i="10"/>
  <c r="DH30" i="10"/>
  <c r="DI29" i="10"/>
  <c r="DH29" i="10"/>
  <c r="DI28" i="10"/>
  <c r="DH28" i="10"/>
  <c r="DI27" i="10"/>
  <c r="DH27" i="10"/>
  <c r="DI26" i="10"/>
  <c r="DH26" i="10"/>
  <c r="DI25" i="10"/>
  <c r="DH25" i="10"/>
  <c r="DI24" i="10"/>
  <c r="DH24" i="10"/>
  <c r="DI23" i="10"/>
  <c r="DH23" i="10"/>
  <c r="DI22" i="10"/>
  <c r="DH22" i="10"/>
  <c r="DI21" i="10"/>
  <c r="DH21" i="10"/>
  <c r="DI20" i="10"/>
  <c r="DH20" i="10"/>
  <c r="DI19" i="10"/>
  <c r="DH19" i="10"/>
  <c r="DI18" i="10"/>
  <c r="DH18" i="10"/>
  <c r="DI17" i="10"/>
  <c r="DH17" i="10"/>
  <c r="DI16" i="10"/>
  <c r="DH16" i="10"/>
  <c r="DI15" i="10"/>
  <c r="DH15" i="10"/>
  <c r="DI14" i="10"/>
  <c r="DH14" i="10"/>
  <c r="DI13" i="10"/>
  <c r="DH13" i="10"/>
  <c r="DI12" i="10"/>
  <c r="DH12" i="10"/>
  <c r="DI11" i="10"/>
  <c r="DH11" i="10"/>
  <c r="DI10" i="10"/>
  <c r="DH10" i="10"/>
  <c r="DI9" i="10"/>
  <c r="DH9" i="10"/>
  <c r="DI8" i="10"/>
  <c r="DH8" i="10"/>
  <c r="DI7" i="10"/>
  <c r="DH7" i="10"/>
  <c r="DI6" i="10"/>
  <c r="DH6" i="10"/>
  <c r="DI5" i="10"/>
  <c r="DH5" i="10"/>
  <c r="DJ6" i="1" l="1"/>
  <c r="DJ7" i="1"/>
  <c r="DJ8" i="1"/>
  <c r="DJ9" i="1"/>
  <c r="DJ10" i="1"/>
  <c r="DJ11" i="1"/>
  <c r="DJ12" i="1"/>
  <c r="DJ13" i="1"/>
  <c r="DJ14" i="1"/>
  <c r="DJ15" i="1"/>
  <c r="DJ16" i="1"/>
  <c r="DJ17" i="1"/>
  <c r="DJ18" i="1"/>
  <c r="DJ19" i="1"/>
  <c r="DJ20" i="1"/>
  <c r="DJ21" i="1"/>
  <c r="DJ22" i="1"/>
  <c r="DJ23" i="1"/>
  <c r="DJ24" i="1"/>
  <c r="DJ25" i="1"/>
  <c r="DJ26" i="1"/>
  <c r="DJ27" i="1"/>
  <c r="DJ28" i="1"/>
  <c r="DJ29" i="1"/>
  <c r="DJ30" i="1"/>
  <c r="DJ31" i="1"/>
  <c r="DJ32" i="1"/>
  <c r="DJ33" i="1"/>
  <c r="DJ34" i="1"/>
  <c r="DJ35" i="1"/>
  <c r="DJ36" i="1"/>
  <c r="DJ37" i="1"/>
  <c r="DJ38" i="1"/>
  <c r="DJ39" i="1"/>
  <c r="DJ40" i="1"/>
  <c r="DJ41" i="1"/>
  <c r="DJ42" i="1"/>
  <c r="DJ43" i="1"/>
  <c r="DJ44" i="1"/>
  <c r="DJ45" i="1"/>
  <c r="DJ46" i="1"/>
  <c r="DJ47" i="1"/>
  <c r="DJ48" i="1"/>
  <c r="DJ49" i="1"/>
  <c r="DJ50" i="1"/>
  <c r="DJ51" i="1"/>
  <c r="DJ52" i="1"/>
  <c r="DJ53" i="1"/>
  <c r="DJ54" i="1"/>
  <c r="DJ55" i="1"/>
  <c r="DJ56" i="1"/>
  <c r="DJ57" i="1"/>
  <c r="DJ58" i="1"/>
  <c r="DJ59" i="1"/>
  <c r="DJ60" i="1"/>
  <c r="DJ61" i="1"/>
  <c r="DJ62" i="1"/>
  <c r="DJ63" i="1"/>
  <c r="DJ64" i="1"/>
  <c r="DJ65" i="1"/>
  <c r="DJ66" i="1"/>
  <c r="DJ67" i="1"/>
  <c r="DJ68" i="1"/>
  <c r="DJ69" i="1"/>
  <c r="DJ70" i="1"/>
  <c r="DJ71" i="1"/>
  <c r="DJ72" i="1"/>
  <c r="DJ73" i="1"/>
  <c r="DJ74" i="1"/>
  <c r="DJ75" i="1"/>
  <c r="DJ76" i="1"/>
  <c r="DJ77" i="1"/>
  <c r="DJ78" i="1"/>
  <c r="DJ79" i="1"/>
  <c r="DJ80" i="1"/>
  <c r="DJ81" i="1"/>
  <c r="DJ82" i="1"/>
  <c r="DJ83" i="1"/>
  <c r="DJ84" i="1"/>
  <c r="DJ85" i="1"/>
  <c r="DJ86" i="1"/>
  <c r="DJ87" i="1"/>
  <c r="DJ88" i="1"/>
  <c r="DJ89" i="1"/>
  <c r="DJ90" i="1"/>
  <c r="DJ91" i="1"/>
  <c r="DJ92" i="1"/>
  <c r="DJ93" i="1"/>
  <c r="DJ94" i="1"/>
  <c r="DJ95" i="1"/>
  <c r="DJ96" i="1"/>
  <c r="DJ97" i="1"/>
  <c r="DJ98" i="1"/>
  <c r="DJ99" i="1"/>
  <c r="DJ100" i="1"/>
  <c r="DJ101" i="1"/>
  <c r="DJ102" i="1"/>
  <c r="DJ103" i="1"/>
  <c r="DJ104" i="1"/>
  <c r="DJ105" i="1"/>
  <c r="DJ106" i="1"/>
  <c r="DJ107" i="1"/>
  <c r="DJ108" i="1"/>
  <c r="DJ109" i="1"/>
  <c r="DJ110" i="1"/>
  <c r="DJ111" i="1"/>
  <c r="DJ112" i="1"/>
  <c r="DJ113" i="1"/>
  <c r="DJ114" i="1"/>
  <c r="DJ115" i="1"/>
  <c r="DJ116" i="1"/>
  <c r="DJ117" i="1"/>
  <c r="DJ118" i="1"/>
  <c r="DJ119" i="1"/>
  <c r="DJ120" i="1"/>
  <c r="DJ121" i="1"/>
  <c r="DJ122" i="1"/>
  <c r="DJ123" i="1"/>
  <c r="DJ124" i="1"/>
  <c r="DJ125" i="1"/>
  <c r="DJ126" i="1"/>
  <c r="DJ127" i="1"/>
  <c r="DJ128" i="1"/>
  <c r="DJ129" i="1"/>
  <c r="DJ130" i="1"/>
  <c r="DJ131" i="1"/>
  <c r="DJ132" i="1"/>
  <c r="DJ133" i="1"/>
  <c r="DJ134" i="1"/>
  <c r="DJ135" i="1"/>
  <c r="DJ136" i="1"/>
  <c r="DJ137" i="1"/>
  <c r="DJ138" i="1"/>
  <c r="DJ139" i="1"/>
  <c r="DJ140" i="1"/>
  <c r="DJ141" i="1"/>
  <c r="DJ142" i="1"/>
  <c r="DJ143" i="1"/>
  <c r="DJ144" i="1"/>
  <c r="DJ145" i="1"/>
  <c r="DJ146" i="1"/>
  <c r="DJ147" i="1"/>
  <c r="DJ148" i="1"/>
  <c r="DJ149" i="1"/>
  <c r="DJ150" i="1"/>
  <c r="DJ151" i="1"/>
  <c r="DJ152" i="1"/>
  <c r="DJ153" i="1"/>
  <c r="DJ154" i="1"/>
  <c r="DJ155" i="1"/>
  <c r="DJ156" i="1"/>
  <c r="DJ157" i="1"/>
  <c r="DJ158" i="1"/>
  <c r="DJ159" i="1"/>
  <c r="DJ160" i="1"/>
  <c r="DJ161" i="1"/>
  <c r="DJ162" i="1"/>
  <c r="DJ163" i="1"/>
  <c r="DJ164" i="1"/>
  <c r="DJ165" i="1"/>
  <c r="DJ166" i="1"/>
  <c r="DJ167" i="1"/>
  <c r="DJ168" i="1"/>
  <c r="DJ169" i="1"/>
  <c r="DJ170" i="1"/>
  <c r="DJ171" i="1"/>
  <c r="DJ172" i="1"/>
  <c r="DJ173" i="1"/>
  <c r="DJ174" i="1"/>
  <c r="DJ175" i="1"/>
  <c r="DJ176" i="1"/>
  <c r="DJ177" i="1"/>
  <c r="DJ178" i="1"/>
  <c r="DJ179" i="1"/>
  <c r="DJ180" i="1"/>
  <c r="DJ181" i="1"/>
  <c r="DJ182" i="1"/>
  <c r="DJ183" i="1"/>
  <c r="DJ184" i="1"/>
  <c r="DJ185" i="1"/>
  <c r="DJ186" i="1"/>
  <c r="DJ187" i="1"/>
  <c r="DJ188" i="1"/>
  <c r="DJ189" i="1"/>
  <c r="DJ190" i="1"/>
  <c r="DJ191" i="1"/>
  <c r="DJ192" i="1"/>
  <c r="DJ193" i="1"/>
  <c r="DJ194" i="1"/>
  <c r="DJ195" i="1"/>
  <c r="DJ196" i="1"/>
  <c r="DJ197" i="1"/>
  <c r="DJ198" i="1"/>
  <c r="DJ199" i="1"/>
  <c r="DJ200" i="1"/>
  <c r="DJ201" i="1"/>
  <c r="DJ202" i="1"/>
  <c r="DJ5" i="1"/>
  <c r="DI6" i="1"/>
  <c r="DI7" i="1"/>
  <c r="DI8" i="1"/>
  <c r="DI9" i="1"/>
  <c r="DI10" i="1"/>
  <c r="DI11" i="1"/>
  <c r="DI12" i="1"/>
  <c r="DI13" i="1"/>
  <c r="DI14" i="1"/>
  <c r="DI15" i="1"/>
  <c r="DI16" i="1"/>
  <c r="DI17" i="1"/>
  <c r="DI18" i="1"/>
  <c r="DI19" i="1"/>
  <c r="DI20" i="1"/>
  <c r="DI21" i="1"/>
  <c r="DI22" i="1"/>
  <c r="DI23" i="1"/>
  <c r="DI24" i="1"/>
  <c r="DI25" i="1"/>
  <c r="DI26" i="1"/>
  <c r="DI27" i="1"/>
  <c r="DI28" i="1"/>
  <c r="DI29" i="1"/>
  <c r="DI30" i="1"/>
  <c r="DI31" i="1"/>
  <c r="DI32" i="1"/>
  <c r="DI33" i="1"/>
  <c r="DI34" i="1"/>
  <c r="DI35" i="1"/>
  <c r="DI36" i="1"/>
  <c r="DI37" i="1"/>
  <c r="DI38" i="1"/>
  <c r="DI39" i="1"/>
  <c r="DI40" i="1"/>
  <c r="DI41" i="1"/>
  <c r="DI42" i="1"/>
  <c r="DI43" i="1"/>
  <c r="DI44" i="1"/>
  <c r="DI45" i="1"/>
  <c r="DI46" i="1"/>
  <c r="DI47" i="1"/>
  <c r="DI48" i="1"/>
  <c r="DI49" i="1"/>
  <c r="DI50" i="1"/>
  <c r="DI51" i="1"/>
  <c r="DI52" i="1"/>
  <c r="DI53" i="1"/>
  <c r="DI54" i="1"/>
  <c r="DI55" i="1"/>
  <c r="DI56" i="1"/>
  <c r="DI57" i="1"/>
  <c r="DI58" i="1"/>
  <c r="DI59" i="1"/>
  <c r="DI60" i="1"/>
  <c r="DI61" i="1"/>
  <c r="DI62" i="1"/>
  <c r="DI63" i="1"/>
  <c r="DI64" i="1"/>
  <c r="DI65" i="1"/>
  <c r="DI66" i="1"/>
  <c r="DI67" i="1"/>
  <c r="DI68" i="1"/>
  <c r="DI69" i="1"/>
  <c r="DI70" i="1"/>
  <c r="DI71" i="1"/>
  <c r="DI72" i="1"/>
  <c r="DI73" i="1"/>
  <c r="DI74" i="1"/>
  <c r="DI75" i="1"/>
  <c r="DI76" i="1"/>
  <c r="DI77" i="1"/>
  <c r="DI78" i="1"/>
  <c r="DI79" i="1"/>
  <c r="DI80" i="1"/>
  <c r="DI81" i="1"/>
  <c r="DI82" i="1"/>
  <c r="DI83" i="1"/>
  <c r="DI84" i="1"/>
  <c r="DI85" i="1"/>
  <c r="DI86" i="1"/>
  <c r="DI87" i="1"/>
  <c r="DI88" i="1"/>
  <c r="DI89" i="1"/>
  <c r="DI90" i="1"/>
  <c r="DI91" i="1"/>
  <c r="DI92" i="1"/>
  <c r="DI93" i="1"/>
  <c r="DI94" i="1"/>
  <c r="DI95" i="1"/>
  <c r="DI96" i="1"/>
  <c r="DI97" i="1"/>
  <c r="DI98" i="1"/>
  <c r="DI99" i="1"/>
  <c r="DI100" i="1"/>
  <c r="DI101" i="1"/>
  <c r="DI102" i="1"/>
  <c r="DI103" i="1"/>
  <c r="DI104" i="1"/>
  <c r="DI105" i="1"/>
  <c r="DI106" i="1"/>
  <c r="DI107" i="1"/>
  <c r="DI108" i="1"/>
  <c r="DI109" i="1"/>
  <c r="DI110" i="1"/>
  <c r="DI111" i="1"/>
  <c r="DI112" i="1"/>
  <c r="DI113" i="1"/>
  <c r="DI114" i="1"/>
  <c r="DI115" i="1"/>
  <c r="DI116" i="1"/>
  <c r="DI117" i="1"/>
  <c r="DI118" i="1"/>
  <c r="DI119" i="1"/>
  <c r="DI120" i="1"/>
  <c r="DI121" i="1"/>
  <c r="DI122" i="1"/>
  <c r="DI123" i="1"/>
  <c r="DI124" i="1"/>
  <c r="DI125" i="1"/>
  <c r="DI126" i="1"/>
  <c r="DI127" i="1"/>
  <c r="DI128" i="1"/>
  <c r="DI129" i="1"/>
  <c r="DI130" i="1"/>
  <c r="DI131" i="1"/>
  <c r="DI132" i="1"/>
  <c r="DI133" i="1"/>
  <c r="DI134" i="1"/>
  <c r="DI135" i="1"/>
  <c r="DI136" i="1"/>
  <c r="DI137" i="1"/>
  <c r="DI138" i="1"/>
  <c r="DI139" i="1"/>
  <c r="DI140" i="1"/>
  <c r="DI141" i="1"/>
  <c r="DI142" i="1"/>
  <c r="DI143" i="1"/>
  <c r="DI144" i="1"/>
  <c r="DI145" i="1"/>
  <c r="DI146" i="1"/>
  <c r="DI147" i="1"/>
  <c r="DI148" i="1"/>
  <c r="DI149" i="1"/>
  <c r="DI150" i="1"/>
  <c r="DI151" i="1"/>
  <c r="DI152" i="1"/>
  <c r="DI153" i="1"/>
  <c r="DI154" i="1"/>
  <c r="DI155" i="1"/>
  <c r="DI156" i="1"/>
  <c r="DI157" i="1"/>
  <c r="DI158" i="1"/>
  <c r="DI159" i="1"/>
  <c r="DI160" i="1"/>
  <c r="DI161" i="1"/>
  <c r="DI162" i="1"/>
  <c r="DI163" i="1"/>
  <c r="DI164" i="1"/>
  <c r="DI165" i="1"/>
  <c r="DI166" i="1"/>
  <c r="DI167" i="1"/>
  <c r="DI168" i="1"/>
  <c r="DI169" i="1"/>
  <c r="DI170" i="1"/>
  <c r="DI171" i="1"/>
  <c r="DI172" i="1"/>
  <c r="DI173" i="1"/>
  <c r="DI174" i="1"/>
  <c r="DI175" i="1"/>
  <c r="DI176" i="1"/>
  <c r="DI177" i="1"/>
  <c r="DI178" i="1"/>
  <c r="DI179" i="1"/>
  <c r="DI180" i="1"/>
  <c r="DI181" i="1"/>
  <c r="DI182" i="1"/>
  <c r="DI183" i="1"/>
  <c r="DI184" i="1"/>
  <c r="DI185" i="1"/>
  <c r="DI186" i="1"/>
  <c r="DI187" i="1"/>
  <c r="DI188" i="1"/>
  <c r="DI189" i="1"/>
  <c r="DI190" i="1"/>
  <c r="DI191" i="1"/>
  <c r="DI192" i="1"/>
  <c r="DI193" i="1"/>
  <c r="DI194" i="1"/>
  <c r="DI195" i="1"/>
  <c r="DI196" i="1"/>
  <c r="DI197" i="1"/>
  <c r="DI198" i="1"/>
  <c r="DI199" i="1"/>
  <c r="DI200" i="1"/>
  <c r="DI201" i="1"/>
  <c r="DI202" i="1"/>
  <c r="DI5" i="1"/>
</calcChain>
</file>

<file path=xl/sharedStrings.xml><?xml version="1.0" encoding="utf-8"?>
<sst xmlns="http://schemas.openxmlformats.org/spreadsheetml/2006/main" count="6395" uniqueCount="201">
  <si>
    <t>LC</t>
  </si>
  <si>
    <t>Vu</t>
  </si>
  <si>
    <t>Endemism</t>
  </si>
  <si>
    <t>N</t>
  </si>
  <si>
    <t>,</t>
  </si>
  <si>
    <t>Y</t>
  </si>
  <si>
    <t>Species</t>
  </si>
  <si>
    <t>Sampling Session</t>
  </si>
  <si>
    <t>Transect &amp; Elevation</t>
  </si>
  <si>
    <t>Session</t>
  </si>
  <si>
    <t>Date</t>
  </si>
  <si>
    <t>Date of the year starting from Aug 1st</t>
  </si>
  <si>
    <t>GPS coordinates N</t>
  </si>
  <si>
    <t>GPS coordinates E</t>
  </si>
  <si>
    <t>Average Humidity (%)</t>
  </si>
  <si>
    <t>Average Light intensity KLux</t>
  </si>
  <si>
    <t>Average Temperature</t>
  </si>
  <si>
    <t>Average Wind speed</t>
  </si>
  <si>
    <t>Average Cloud cover</t>
  </si>
  <si>
    <t>Elevation of the cloudline</t>
  </si>
  <si>
    <t>Visibility Percentage</t>
  </si>
  <si>
    <t>Ordinal Habitat type (1SG,2TG,3GT,4ST,5T,6TT)</t>
  </si>
  <si>
    <t>King quail</t>
  </si>
  <si>
    <t>Spurfowl</t>
  </si>
  <si>
    <t>Jungle fowl</t>
  </si>
  <si>
    <t>Indian peafowl</t>
  </si>
  <si>
    <t>Peregrine Falcon</t>
  </si>
  <si>
    <t>Brahminy kite</t>
  </si>
  <si>
    <t>White bellied sea eagle</t>
  </si>
  <si>
    <t>Oriental Honey-buzzard</t>
  </si>
  <si>
    <t>Crested Serpant Eagle</t>
  </si>
  <si>
    <t>Black eagle</t>
  </si>
  <si>
    <t>Rufous bellied Eagle</t>
  </si>
  <si>
    <t>Legg'sHawk eagle</t>
  </si>
  <si>
    <t>Sri Lanka Green pigeon</t>
  </si>
  <si>
    <t>Wood piegon</t>
  </si>
  <si>
    <t>Spotted Dove</t>
  </si>
  <si>
    <t>Emerald Dove</t>
  </si>
  <si>
    <t>Sri Lanka Hanging Parrot</t>
  </si>
  <si>
    <t>Layerd's Parakeet</t>
  </si>
  <si>
    <t>Alexandrian parakeet</t>
  </si>
  <si>
    <t>Rose ringed Parakeet</t>
  </si>
  <si>
    <t>Plum headed parakeet</t>
  </si>
  <si>
    <t>Common Hawk Cuckoo</t>
  </si>
  <si>
    <t>Indian Cuckoo</t>
  </si>
  <si>
    <t xml:space="preserve">Banded bay Cuckoo </t>
  </si>
  <si>
    <t>Drongo cuckoo</t>
  </si>
  <si>
    <t>Greater coucal</t>
  </si>
  <si>
    <t>Sri Lanka Frogmouth</t>
  </si>
  <si>
    <t>Chestnut backed Owlet</t>
  </si>
  <si>
    <t>Brown wood owl</t>
  </si>
  <si>
    <t>Indian swiftlet</t>
  </si>
  <si>
    <t xml:space="preserve">Little swift </t>
  </si>
  <si>
    <t>Asian palm swift</t>
  </si>
  <si>
    <t>Blue-tailed Bee-eater</t>
  </si>
  <si>
    <t xml:space="preserve">Dwaft kingfisher </t>
  </si>
  <si>
    <t>Malabar Trogon</t>
  </si>
  <si>
    <t>Brown headed barbet</t>
  </si>
  <si>
    <t>Yellow fronted Barbet</t>
  </si>
  <si>
    <t>Crimson fronted Barbet</t>
  </si>
  <si>
    <t>Copper smith Barbet</t>
  </si>
  <si>
    <t>Sri Lanka Grey Hornbill</t>
  </si>
  <si>
    <t xml:space="preserve">Red backed Flameback </t>
  </si>
  <si>
    <t>Indian pitta</t>
  </si>
  <si>
    <t>Sri Lanka Woodshrike</t>
  </si>
  <si>
    <t>Orange minivet</t>
  </si>
  <si>
    <t>Bar-winged Flycatcher-shrike</t>
  </si>
  <si>
    <t>Brown shrike</t>
  </si>
  <si>
    <t>Common Iora</t>
  </si>
  <si>
    <t>Jerdon's leafbird</t>
  </si>
  <si>
    <t>Golden frronted leafbird</t>
  </si>
  <si>
    <t>Black hooded Oriole</t>
  </si>
  <si>
    <t>Barn Swallow</t>
  </si>
  <si>
    <t>Hill Swallow</t>
  </si>
  <si>
    <t>Sri Lankan Swallow</t>
  </si>
  <si>
    <t>Sri Lanaka Drongo</t>
  </si>
  <si>
    <t>White bellied drongo</t>
  </si>
  <si>
    <t>Paddyfield Pipit</t>
  </si>
  <si>
    <t>Black capped Bulbul</t>
  </si>
  <si>
    <t>Red vented Bulbul</t>
  </si>
  <si>
    <t>Yellow eared Bulbul</t>
  </si>
  <si>
    <t>White browed Bulbul</t>
  </si>
  <si>
    <t>Yellow browed Bulbul</t>
  </si>
  <si>
    <t>Square tailed bulbul</t>
  </si>
  <si>
    <t>Grey breasted Prinia</t>
  </si>
  <si>
    <t>Jungle prinia</t>
  </si>
  <si>
    <t>Ashy Prinia</t>
  </si>
  <si>
    <t>Plain prinia</t>
  </si>
  <si>
    <t>Common Tailorbird</t>
  </si>
  <si>
    <t>Zitting cisticola</t>
  </si>
  <si>
    <t xml:space="preserve">Green Wabbler </t>
  </si>
  <si>
    <t>Large billed leaf wabbler</t>
  </si>
  <si>
    <t>Black-naped Monarch</t>
  </si>
  <si>
    <t>Asian Paradise Flycatcher</t>
  </si>
  <si>
    <t>Brown capped Babbler</t>
  </si>
  <si>
    <t>Scimitter Babbler</t>
  </si>
  <si>
    <t>Dark fronted Babbler</t>
  </si>
  <si>
    <t>Orange billed Babbler</t>
  </si>
  <si>
    <t>Yellow billed Babbler</t>
  </si>
  <si>
    <t>Lesser hill myna</t>
  </si>
  <si>
    <t>Common mynah</t>
  </si>
  <si>
    <t>Sri Lanka Whistling Thrush</t>
  </si>
  <si>
    <t>Spot winged Thrush</t>
  </si>
  <si>
    <t xml:space="preserve">Oriental magpie Robin </t>
  </si>
  <si>
    <t>Indian Blue Robin</t>
  </si>
  <si>
    <t>White rumped Shama</t>
  </si>
  <si>
    <t>Asian brown Flycatcher</t>
  </si>
  <si>
    <t>Brown breasted Flycatcher</t>
  </si>
  <si>
    <t>Dull blue Flycatcher</t>
  </si>
  <si>
    <t>Tickell's blue Flycatcher</t>
  </si>
  <si>
    <t>Grey-headed Canary Flycatcher</t>
  </si>
  <si>
    <t>Pale billed Flowerpecker</t>
  </si>
  <si>
    <t>Purple rumped Sunbird</t>
  </si>
  <si>
    <t>Purple sunbird</t>
  </si>
  <si>
    <t xml:space="preserve">Loten's sunbird </t>
  </si>
  <si>
    <t>Oriental whiteye</t>
  </si>
  <si>
    <t>Sri Lankan whiteye</t>
  </si>
  <si>
    <t>Velvet fronted nuthatch</t>
  </si>
  <si>
    <t>Great tit</t>
  </si>
  <si>
    <t>Aug</t>
  </si>
  <si>
    <t>Morning</t>
  </si>
  <si>
    <t>28/08/2022</t>
  </si>
  <si>
    <t>Evening</t>
  </si>
  <si>
    <t>22/08/2022</t>
  </si>
  <si>
    <t>25/08/2022</t>
  </si>
  <si>
    <t>27/08/2022</t>
  </si>
  <si>
    <t>29/08/2022</t>
  </si>
  <si>
    <t>30/08/2022</t>
  </si>
  <si>
    <t>15/8/2022</t>
  </si>
  <si>
    <t>20/8/2022</t>
  </si>
  <si>
    <t>18/8/2022</t>
  </si>
  <si>
    <t>21/08/2022</t>
  </si>
  <si>
    <t>23/08/2022</t>
  </si>
  <si>
    <t>27/8/2023</t>
  </si>
  <si>
    <t>Sep</t>
  </si>
  <si>
    <t>17/09/2022</t>
  </si>
  <si>
    <t>15/09/2022</t>
  </si>
  <si>
    <t>21/09/2022</t>
  </si>
  <si>
    <t xml:space="preserve">Sep </t>
  </si>
  <si>
    <t xml:space="preserve">Morning </t>
  </si>
  <si>
    <t xml:space="preserve">Evening </t>
  </si>
  <si>
    <t>Oct</t>
  </si>
  <si>
    <t>22/10/2022</t>
  </si>
  <si>
    <t>23/10/2022</t>
  </si>
  <si>
    <t>25/10/2022</t>
  </si>
  <si>
    <t>29/10/2022</t>
  </si>
  <si>
    <t>Nov</t>
  </si>
  <si>
    <t>25/11/2022</t>
  </si>
  <si>
    <t>27/11/2022</t>
  </si>
  <si>
    <t>13/11/2022</t>
  </si>
  <si>
    <t>16/11/2022</t>
  </si>
  <si>
    <t>19/11/2022</t>
  </si>
  <si>
    <t>26/11/2022</t>
  </si>
  <si>
    <t>Dec</t>
  </si>
  <si>
    <t>24/12/2022</t>
  </si>
  <si>
    <t>22/12/2022</t>
  </si>
  <si>
    <t>23/12/2022</t>
  </si>
  <si>
    <t>21/12/2022</t>
  </si>
  <si>
    <t>Jan</t>
  </si>
  <si>
    <t>16/1/2023</t>
  </si>
  <si>
    <t>21/1/2023</t>
  </si>
  <si>
    <t>22/1/2023</t>
  </si>
  <si>
    <t>14/1/2023</t>
  </si>
  <si>
    <t>15/1/2023</t>
  </si>
  <si>
    <t>Feb</t>
  </si>
  <si>
    <t>19/2/2023</t>
  </si>
  <si>
    <t>18/2/2023</t>
  </si>
  <si>
    <t>17/2/2023</t>
  </si>
  <si>
    <t>March</t>
  </si>
  <si>
    <t>16/3/2023</t>
  </si>
  <si>
    <t>13/3/2023</t>
  </si>
  <si>
    <t>15/3/2023</t>
  </si>
  <si>
    <t>April</t>
  </si>
  <si>
    <t xml:space="preserve">                                                                                                                                             </t>
  </si>
  <si>
    <t>Species richness</t>
  </si>
  <si>
    <t>Abundance</t>
  </si>
  <si>
    <t>T1 - 480m</t>
  </si>
  <si>
    <t>T2 - 580m</t>
  </si>
  <si>
    <t xml:space="preserve">T2 - 580m </t>
  </si>
  <si>
    <t>T3 - 780m</t>
  </si>
  <si>
    <t>T4 - 780m</t>
  </si>
  <si>
    <t>T5 - 870m</t>
  </si>
  <si>
    <t>T6 - 1250m</t>
  </si>
  <si>
    <t>T8 - 1250m</t>
  </si>
  <si>
    <t>T7 - 1250m</t>
  </si>
  <si>
    <t>T9 - 1360m</t>
  </si>
  <si>
    <t>T10 - 1420m</t>
  </si>
  <si>
    <t>Transect_&amp;_Elevation</t>
  </si>
  <si>
    <t>Average_Humidity</t>
  </si>
  <si>
    <t>Average_Light_intensity</t>
  </si>
  <si>
    <t>Average_Temperature</t>
  </si>
  <si>
    <t>Average_Wind_speed</t>
  </si>
  <si>
    <t>Average_Cloud_cover</t>
  </si>
  <si>
    <t>Visibility_Percentage</t>
  </si>
  <si>
    <t>Habitat_type</t>
  </si>
  <si>
    <t>Species_richness</t>
  </si>
  <si>
    <t>Sampling_Session</t>
  </si>
  <si>
    <t>Cloudline</t>
  </si>
  <si>
    <t>T6 - 1000m</t>
  </si>
  <si>
    <t>T7 - 1100m</t>
  </si>
  <si>
    <t>T3 - 700m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</si>
</sst>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1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0"/>
      <name val="Arial"/>
      <family val="2"/>
    </font>
    <font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B4E4E8"/>
        <bgColor rgb="FFB4E4E8"/>
      </patternFill>
    </fill>
    <fill>
      <patternFill patternType="solid">
        <fgColor theme="9" tint="0.59999389629810485"/>
        <bgColor rgb="FFB4E4E8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rgb="FFF3F3F3"/>
        <bgColor rgb="FFF3F3F3"/>
      </patternFill>
    </fill>
    <fill>
      <patternFill patternType="solid">
        <fgColor rgb="FFF2F2F2"/>
        <bgColor rgb="FFF2F2F2"/>
      </patternFill>
    </fill>
    <fill>
      <patternFill patternType="solid">
        <fgColor theme="2" tint="-4.9989318521683403E-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textRotation="90"/>
    </xf>
    <xf numFmtId="0" fontId="1" fillId="3" borderId="1" xfId="0" applyFont="1" applyFill="1" applyBorder="1" applyAlignment="1">
      <alignment horizontal="center" textRotation="90"/>
    </xf>
    <xf numFmtId="0" fontId="1" fillId="4" borderId="1" xfId="0" applyFont="1" applyFill="1" applyBorder="1" applyAlignment="1">
      <alignment horizontal="center" textRotation="90"/>
    </xf>
    <xf numFmtId="2" fontId="1" fillId="3" borderId="1" xfId="0" applyNumberFormat="1" applyFont="1" applyFill="1" applyBorder="1" applyAlignment="1">
      <alignment horizontal="center" textRotation="90"/>
    </xf>
    <xf numFmtId="0" fontId="1" fillId="5" borderId="1" xfId="0" applyFont="1" applyFill="1" applyBorder="1" applyAlignment="1">
      <alignment textRotation="90"/>
    </xf>
    <xf numFmtId="0" fontId="1" fillId="6" borderId="1" xfId="0" applyFont="1" applyFill="1" applyBorder="1" applyAlignment="1">
      <alignment horizontal="right" textRotation="90"/>
    </xf>
    <xf numFmtId="0" fontId="3" fillId="7" borderId="1" xfId="0" applyFont="1" applyFill="1" applyBorder="1" applyAlignment="1">
      <alignment textRotation="90"/>
    </xf>
    <xf numFmtId="0" fontId="1" fillId="5" borderId="1" xfId="0" applyFont="1" applyFill="1" applyBorder="1" applyAlignment="1">
      <alignment horizontal="left" textRotation="90"/>
    </xf>
    <xf numFmtId="0" fontId="3" fillId="8" borderId="1" xfId="0" applyFont="1" applyFill="1" applyBorder="1" applyAlignment="1">
      <alignment textRotation="90"/>
    </xf>
    <xf numFmtId="0" fontId="4" fillId="0" borderId="1" xfId="0" applyFont="1" applyBorder="1"/>
    <xf numFmtId="0" fontId="2" fillId="9" borderId="1" xfId="0" applyFont="1" applyFill="1" applyBorder="1" applyAlignment="1">
      <alignment horizontal="left"/>
    </xf>
    <xf numFmtId="0" fontId="4" fillId="0" borderId="1" xfId="0" applyFont="1" applyBorder="1" applyAlignment="1">
      <alignment horizontal="center"/>
    </xf>
    <xf numFmtId="2" fontId="4" fillId="0" borderId="1" xfId="0" applyNumberFormat="1" applyFont="1" applyBorder="1"/>
    <xf numFmtId="14" fontId="4" fillId="0" borderId="1" xfId="0" applyNumberFormat="1" applyFont="1" applyBorder="1"/>
    <xf numFmtId="0" fontId="4" fillId="10" borderId="1" xfId="0" applyFont="1" applyFill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2" fillId="0" borderId="1" xfId="0" applyFont="1" applyBorder="1" applyAlignment="1">
      <alignment horizontal="left"/>
    </xf>
    <xf numFmtId="1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5" fillId="0" borderId="1" xfId="0" applyFont="1" applyBorder="1"/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2" fontId="7" fillId="0" borderId="1" xfId="0" applyNumberFormat="1" applyFont="1" applyBorder="1" applyAlignment="1">
      <alignment horizontal="right"/>
    </xf>
    <xf numFmtId="0" fontId="7" fillId="0" borderId="1" xfId="0" applyFont="1" applyBorder="1" applyAlignment="1">
      <alignment horizontal="right"/>
    </xf>
    <xf numFmtId="1" fontId="7" fillId="0" borderId="1" xfId="0" applyNumberFormat="1" applyFont="1" applyBorder="1" applyAlignment="1">
      <alignment horizontal="right"/>
    </xf>
    <xf numFmtId="14" fontId="7" fillId="0" borderId="1" xfId="0" applyNumberFormat="1" applyFont="1" applyBorder="1"/>
    <xf numFmtId="0" fontId="7" fillId="10" borderId="1" xfId="0" applyFont="1" applyFill="1" applyBorder="1" applyAlignment="1">
      <alignment horizontal="right"/>
    </xf>
    <xf numFmtId="164" fontId="7" fillId="0" borderId="1" xfId="0" applyNumberFormat="1" applyFont="1" applyBorder="1" applyAlignment="1">
      <alignment horizontal="right"/>
    </xf>
    <xf numFmtId="165" fontId="7" fillId="0" borderId="1" xfId="0" applyNumberFormat="1" applyFont="1" applyBorder="1" applyAlignment="1">
      <alignment horizontal="right"/>
    </xf>
    <xf numFmtId="165" fontId="4" fillId="0" borderId="1" xfId="0" applyNumberFormat="1" applyFont="1" applyBorder="1"/>
    <xf numFmtId="0" fontId="5" fillId="9" borderId="1" xfId="0" applyFont="1" applyFill="1" applyBorder="1"/>
    <xf numFmtId="14" fontId="4" fillId="0" borderId="1" xfId="0" applyNumberFormat="1" applyFont="1" applyBorder="1" applyAlignment="1">
      <alignment horizontal="center"/>
    </xf>
    <xf numFmtId="0" fontId="8" fillId="0" borderId="1" xfId="0" applyFont="1" applyBorder="1"/>
    <xf numFmtId="0" fontId="9" fillId="0" borderId="1" xfId="0" applyFont="1" applyBorder="1" applyAlignment="1">
      <alignment horizontal="left"/>
    </xf>
    <xf numFmtId="14" fontId="8" fillId="0" borderId="1" xfId="0" applyNumberFormat="1" applyFont="1" applyBorder="1"/>
    <xf numFmtId="2" fontId="8" fillId="0" borderId="1" xfId="0" applyNumberFormat="1" applyFont="1" applyBorder="1"/>
    <xf numFmtId="0" fontId="8" fillId="0" borderId="1" xfId="0" applyFont="1" applyBorder="1" applyAlignment="1">
      <alignment horizontal="center"/>
    </xf>
    <xf numFmtId="0" fontId="10" fillId="0" borderId="1" xfId="0" applyFont="1" applyBorder="1"/>
    <xf numFmtId="14" fontId="0" fillId="0" borderId="1" xfId="0" applyNumberFormat="1" applyBorder="1"/>
    <xf numFmtId="2" fontId="5" fillId="0" borderId="1" xfId="0" applyNumberFormat="1" applyFont="1" applyBorder="1"/>
    <xf numFmtId="1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J1054"/>
  <sheetViews>
    <sheetView tabSelected="1" topLeftCell="B2" zoomScale="64" workbookViewId="0">
      <selection activeCell="AD5" sqref="AD5"/>
    </sheetView>
  </sheetViews>
  <sheetFormatPr defaultColWidth="12.77734375" defaultRowHeight="14.4" x14ac:dyDescent="0.3"/>
  <cols>
    <col min="1" max="1" width="7.21875" style="1" customWidth="1"/>
    <col min="2" max="2" width="14.77734375" style="1" customWidth="1"/>
    <col min="3" max="3" width="7.77734375" style="1" customWidth="1"/>
    <col min="4" max="4" width="13" style="1" customWidth="1"/>
    <col min="5" max="5" width="10.77734375" style="2" customWidth="1"/>
    <col min="6" max="7" width="3.21875" style="1" hidden="1" customWidth="1"/>
    <col min="8" max="8" width="6.44140625" style="1" customWidth="1"/>
    <col min="9" max="9" width="8" style="1" customWidth="1"/>
    <col min="10" max="10" width="6.21875" style="1" customWidth="1"/>
    <col min="11" max="11" width="6" style="1" customWidth="1"/>
    <col min="12" max="12" width="10" style="1" customWidth="1"/>
    <col min="13" max="13" width="7.5546875" style="1" customWidth="1"/>
    <col min="14" max="14" width="8.21875" style="1" customWidth="1"/>
    <col min="15" max="15" width="11.44140625" style="2" customWidth="1"/>
    <col min="16" max="16" width="4.5546875" style="1" customWidth="1"/>
    <col min="17" max="17" width="5.44140625" style="1" customWidth="1"/>
    <col min="18" max="18" width="5.77734375" style="1" customWidth="1"/>
    <col min="19" max="20" width="4.77734375" style="1" customWidth="1"/>
    <col min="21" max="22" width="4.21875" style="1" customWidth="1"/>
    <col min="23" max="23" width="4.5546875" style="1" customWidth="1"/>
    <col min="24" max="24" width="4.77734375" style="1" customWidth="1"/>
    <col min="25" max="25" width="4.21875" style="1" customWidth="1"/>
    <col min="26" max="27" width="4.44140625" style="1" customWidth="1"/>
    <col min="28" max="28" width="4.21875" style="1" customWidth="1"/>
    <col min="29" max="29" width="5" style="1" customWidth="1"/>
    <col min="30" max="31" width="3.21875" style="1" customWidth="1"/>
    <col min="32" max="33" width="3.5546875" style="1" customWidth="1"/>
    <col min="34" max="34" width="4.21875" style="1" customWidth="1"/>
    <col min="35" max="35" width="5.21875" style="1" customWidth="1"/>
    <col min="36" max="36" width="3.77734375" style="1" customWidth="1"/>
    <col min="37" max="37" width="4.77734375" style="1" customWidth="1"/>
    <col min="38" max="38" width="3.44140625" style="1" customWidth="1"/>
    <col min="39" max="39" width="3.21875" style="1" customWidth="1"/>
    <col min="40" max="40" width="3.77734375" style="1" customWidth="1"/>
    <col min="41" max="41" width="3.21875" style="1" customWidth="1"/>
    <col min="42" max="42" width="4.77734375" style="1" customWidth="1"/>
    <col min="43" max="43" width="4.21875" style="1" customWidth="1"/>
    <col min="44" max="44" width="3.77734375" style="1" customWidth="1"/>
    <col min="45" max="46" width="3.21875" style="1" customWidth="1"/>
    <col min="47" max="47" width="4.77734375" style="1" customWidth="1"/>
    <col min="48" max="48" width="4.21875" style="1" customWidth="1"/>
    <col min="49" max="49" width="3.21875" style="1" customWidth="1"/>
    <col min="50" max="50" width="4.21875" style="1" customWidth="1"/>
    <col min="51" max="52" width="3.21875" style="1" customWidth="1"/>
    <col min="53" max="53" width="3.77734375" style="1" customWidth="1"/>
    <col min="54" max="54" width="3.21875" style="1" customWidth="1"/>
    <col min="55" max="55" width="4.77734375" style="1" customWidth="1"/>
    <col min="56" max="56" width="5.44140625" style="1" customWidth="1"/>
    <col min="57" max="58" width="5.21875" style="1" customWidth="1"/>
    <col min="59" max="59" width="3.77734375" style="1" customWidth="1"/>
    <col min="60" max="62" width="4.77734375" style="1" customWidth="1"/>
    <col min="63" max="64" width="3" style="1" customWidth="1"/>
    <col min="65" max="65" width="3.21875" style="1" customWidth="1"/>
    <col min="66" max="67" width="4.77734375" style="1" customWidth="1"/>
    <col min="68" max="69" width="3.77734375" style="1" customWidth="1"/>
    <col min="70" max="70" width="3.21875" style="1" customWidth="1"/>
    <col min="71" max="71" width="4.77734375" style="1" customWidth="1"/>
    <col min="72" max="73" width="3.21875" style="1" customWidth="1"/>
    <col min="74" max="74" width="4.21875" style="1" customWidth="1"/>
    <col min="75" max="75" width="3.21875" style="1" customWidth="1"/>
    <col min="76" max="76" width="4.21875" style="1" customWidth="1"/>
    <col min="77" max="77" width="3.21875" style="1" customWidth="1"/>
    <col min="78" max="78" width="6.21875" style="1" customWidth="1"/>
    <col min="79" max="79" width="4.77734375" style="1" customWidth="1"/>
    <col min="80" max="80" width="5.21875" style="1" customWidth="1"/>
    <col min="81" max="82" width="4.5546875" style="1" customWidth="1"/>
    <col min="83" max="85" width="4.77734375" style="1" customWidth="1"/>
    <col min="86" max="86" width="4.5546875" style="1" customWidth="1"/>
    <col min="87" max="87" width="3.5546875" style="1" customWidth="1"/>
    <col min="88" max="88" width="3.44140625" style="1" customWidth="1"/>
    <col min="89" max="89" width="5.77734375" style="1" customWidth="1"/>
    <col min="90" max="90" width="4.21875" style="1" customWidth="1"/>
    <col min="91" max="91" width="5.21875" style="1" customWidth="1"/>
    <col min="92" max="94" width="4.21875" style="1" customWidth="1"/>
    <col min="95" max="95" width="4.77734375" style="1" customWidth="1"/>
    <col min="96" max="96" width="4.5546875" style="1" customWidth="1"/>
    <col min="97" max="98" width="3.21875" style="1" customWidth="1"/>
    <col min="99" max="101" width="4.21875" style="1" customWidth="1"/>
    <col min="102" max="102" width="3.77734375" style="1" customWidth="1"/>
    <col min="103" max="104" width="3.21875" style="1" customWidth="1"/>
    <col min="105" max="105" width="3.77734375" style="1" customWidth="1"/>
    <col min="106" max="106" width="4" style="1" customWidth="1"/>
    <col min="107" max="107" width="4.21875" style="1" customWidth="1"/>
    <col min="108" max="108" width="3.21875" style="1" customWidth="1"/>
    <col min="109" max="109" width="4.21875" style="1" customWidth="1"/>
    <col min="110" max="110" width="3.77734375" style="1" customWidth="1"/>
    <col min="111" max="111" width="4.21875" style="1" customWidth="1"/>
    <col min="112" max="112" width="4.77734375" style="1" customWidth="1"/>
    <col min="113" max="16384" width="12.77734375" style="1"/>
  </cols>
  <sheetData>
    <row r="1" spans="1:114" ht="15" hidden="1" customHeight="1" x14ac:dyDescent="0.3">
      <c r="O1" s="3"/>
      <c r="AD1" s="4" t="s">
        <v>0</v>
      </c>
      <c r="BM1" s="4" t="s">
        <v>1</v>
      </c>
      <c r="BU1" s="4" t="s">
        <v>0</v>
      </c>
    </row>
    <row r="2" spans="1:114" ht="15" customHeight="1" x14ac:dyDescent="0.3">
      <c r="O2" s="3" t="s">
        <v>2</v>
      </c>
      <c r="AD2" s="4" t="s">
        <v>3</v>
      </c>
      <c r="AZ2" s="1" t="s">
        <v>4</v>
      </c>
      <c r="BM2" s="4" t="s">
        <v>5</v>
      </c>
      <c r="BU2" s="4" t="s">
        <v>3</v>
      </c>
    </row>
    <row r="3" spans="1:114" ht="15" customHeight="1" x14ac:dyDescent="0.3">
      <c r="A3" s="4"/>
      <c r="B3" s="4"/>
      <c r="C3" s="4"/>
      <c r="D3" s="4"/>
      <c r="E3" s="5"/>
      <c r="F3" s="4"/>
      <c r="G3" s="4"/>
      <c r="H3" s="4"/>
      <c r="I3" s="4"/>
      <c r="J3" s="4"/>
      <c r="K3" s="4"/>
      <c r="L3" s="4"/>
      <c r="M3" s="4"/>
      <c r="N3" s="4"/>
      <c r="O3" s="3" t="s">
        <v>6</v>
      </c>
      <c r="P3" s="4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4">
        <v>7</v>
      </c>
      <c r="W3" s="4">
        <v>8</v>
      </c>
      <c r="X3" s="4">
        <v>9</v>
      </c>
      <c r="Y3" s="4">
        <v>10</v>
      </c>
      <c r="Z3" s="4">
        <v>11</v>
      </c>
      <c r="AA3" s="4">
        <v>12</v>
      </c>
      <c r="AB3" s="4">
        <v>13</v>
      </c>
      <c r="AC3" s="4">
        <v>14</v>
      </c>
      <c r="AD3" s="4">
        <v>15</v>
      </c>
      <c r="AE3" s="4">
        <v>16</v>
      </c>
      <c r="AF3" s="4">
        <v>17</v>
      </c>
      <c r="AG3" s="4"/>
      <c r="AH3" s="4">
        <v>18</v>
      </c>
      <c r="AI3" s="4">
        <v>19</v>
      </c>
      <c r="AJ3" s="4">
        <v>20</v>
      </c>
      <c r="AK3" s="4">
        <v>21</v>
      </c>
      <c r="AL3" s="4">
        <v>22</v>
      </c>
      <c r="AM3" s="4">
        <v>23</v>
      </c>
      <c r="AN3" s="4">
        <v>24</v>
      </c>
      <c r="AO3" s="4">
        <v>25</v>
      </c>
      <c r="AP3" s="4">
        <v>26</v>
      </c>
      <c r="AQ3" s="4">
        <v>27</v>
      </c>
      <c r="AR3" s="4">
        <v>28</v>
      </c>
      <c r="AS3" s="4">
        <v>29</v>
      </c>
      <c r="AT3" s="4">
        <v>30</v>
      </c>
      <c r="AU3" s="4">
        <v>31</v>
      </c>
      <c r="AV3" s="4">
        <v>32</v>
      </c>
      <c r="AW3" s="4">
        <v>33</v>
      </c>
      <c r="AX3" s="4">
        <v>34</v>
      </c>
      <c r="AY3" s="4">
        <v>35</v>
      </c>
      <c r="AZ3" s="4">
        <v>36</v>
      </c>
      <c r="BA3" s="4">
        <v>37</v>
      </c>
      <c r="BB3" s="4">
        <v>38</v>
      </c>
      <c r="BC3" s="4">
        <v>39</v>
      </c>
      <c r="BD3" s="4">
        <v>40</v>
      </c>
      <c r="BE3" s="4">
        <v>41</v>
      </c>
      <c r="BF3" s="4">
        <v>42</v>
      </c>
      <c r="BG3" s="4">
        <v>43</v>
      </c>
      <c r="BH3" s="4">
        <v>44</v>
      </c>
      <c r="BI3" s="4">
        <v>45</v>
      </c>
      <c r="BJ3" s="4">
        <v>46</v>
      </c>
      <c r="BK3" s="4">
        <v>47</v>
      </c>
      <c r="BL3" s="4">
        <v>48</v>
      </c>
      <c r="BM3" s="4">
        <v>49</v>
      </c>
      <c r="BN3" s="4">
        <v>50</v>
      </c>
      <c r="BO3" s="4">
        <v>51</v>
      </c>
      <c r="BP3" s="4">
        <v>52</v>
      </c>
      <c r="BQ3" s="4">
        <v>53</v>
      </c>
      <c r="BR3" s="4">
        <v>54</v>
      </c>
      <c r="BS3" s="4">
        <v>55</v>
      </c>
      <c r="BT3" s="4">
        <v>56</v>
      </c>
      <c r="BU3" s="4">
        <v>57</v>
      </c>
      <c r="BV3" s="4">
        <v>58</v>
      </c>
      <c r="BW3" s="4">
        <v>59</v>
      </c>
      <c r="BX3" s="4">
        <v>60</v>
      </c>
      <c r="BY3" s="4">
        <v>61</v>
      </c>
      <c r="BZ3" s="4">
        <v>62</v>
      </c>
      <c r="CA3" s="4">
        <v>63</v>
      </c>
      <c r="CB3" s="4">
        <v>64</v>
      </c>
      <c r="CC3" s="4">
        <v>65</v>
      </c>
      <c r="CD3" s="4">
        <v>66</v>
      </c>
      <c r="CE3" s="4">
        <v>67</v>
      </c>
      <c r="CF3" s="4">
        <v>68</v>
      </c>
      <c r="CG3" s="4">
        <v>69</v>
      </c>
      <c r="CH3" s="4">
        <v>70</v>
      </c>
      <c r="CI3" s="4">
        <v>71</v>
      </c>
      <c r="CJ3" s="4">
        <v>72</v>
      </c>
      <c r="CK3" s="4">
        <v>73</v>
      </c>
      <c r="CL3" s="4">
        <v>74</v>
      </c>
      <c r="CM3" s="4">
        <v>75</v>
      </c>
      <c r="CN3" s="4">
        <v>76</v>
      </c>
      <c r="CO3" s="4">
        <v>77</v>
      </c>
      <c r="CP3" s="4">
        <v>78</v>
      </c>
      <c r="CQ3" s="4">
        <v>79</v>
      </c>
      <c r="CR3" s="4">
        <v>80</v>
      </c>
      <c r="CS3" s="4">
        <v>81</v>
      </c>
      <c r="CT3" s="4">
        <v>82</v>
      </c>
      <c r="CU3" s="4">
        <v>83</v>
      </c>
      <c r="CV3" s="4">
        <v>84</v>
      </c>
      <c r="CW3" s="4">
        <v>85</v>
      </c>
      <c r="CX3" s="4">
        <v>86</v>
      </c>
      <c r="CY3" s="4">
        <v>87</v>
      </c>
      <c r="CZ3" s="4"/>
      <c r="DA3" s="4">
        <v>88</v>
      </c>
      <c r="DB3" s="4">
        <v>89</v>
      </c>
      <c r="DC3" s="4">
        <v>90</v>
      </c>
      <c r="DD3" s="4">
        <v>91</v>
      </c>
      <c r="DE3" s="4">
        <v>92</v>
      </c>
      <c r="DF3" s="4">
        <v>93</v>
      </c>
      <c r="DG3" s="4">
        <v>94</v>
      </c>
      <c r="DH3" s="4">
        <v>95</v>
      </c>
    </row>
    <row r="4" spans="1:114" ht="234.6" x14ac:dyDescent="0.3">
      <c r="A4" s="6" t="s">
        <v>7</v>
      </c>
      <c r="B4" s="6" t="s">
        <v>8</v>
      </c>
      <c r="C4" s="7" t="s">
        <v>9</v>
      </c>
      <c r="D4" s="7" t="s">
        <v>10</v>
      </c>
      <c r="E4" s="7" t="s">
        <v>11</v>
      </c>
      <c r="F4" s="7" t="s">
        <v>12</v>
      </c>
      <c r="G4" s="7" t="s">
        <v>13</v>
      </c>
      <c r="H4" s="7" t="s">
        <v>14</v>
      </c>
      <c r="I4" s="9" t="s">
        <v>15</v>
      </c>
      <c r="J4" s="7" t="s">
        <v>16</v>
      </c>
      <c r="K4" s="7" t="s">
        <v>17</v>
      </c>
      <c r="L4" s="7" t="s">
        <v>18</v>
      </c>
      <c r="M4" s="7" t="s">
        <v>19</v>
      </c>
      <c r="N4" s="7" t="s">
        <v>20</v>
      </c>
      <c r="O4" s="8" t="s">
        <v>21</v>
      </c>
      <c r="P4" s="10" t="s">
        <v>22</v>
      </c>
      <c r="Q4" s="10" t="s">
        <v>23</v>
      </c>
      <c r="R4" s="10" t="s">
        <v>24</v>
      </c>
      <c r="S4" s="10" t="s">
        <v>25</v>
      </c>
      <c r="T4" s="10" t="s">
        <v>26</v>
      </c>
      <c r="U4" s="10" t="s">
        <v>27</v>
      </c>
      <c r="V4" s="10" t="s">
        <v>28</v>
      </c>
      <c r="W4" s="10" t="s">
        <v>29</v>
      </c>
      <c r="X4" s="10" t="s">
        <v>30</v>
      </c>
      <c r="Y4" s="10" t="s">
        <v>31</v>
      </c>
      <c r="Z4" s="10" t="s">
        <v>32</v>
      </c>
      <c r="AA4" s="10" t="s">
        <v>33</v>
      </c>
      <c r="AB4" s="10" t="s">
        <v>34</v>
      </c>
      <c r="AC4" s="10" t="s">
        <v>35</v>
      </c>
      <c r="AD4" s="11" t="s">
        <v>36</v>
      </c>
      <c r="AE4" s="10" t="s">
        <v>37</v>
      </c>
      <c r="AF4" s="10" t="s">
        <v>38</v>
      </c>
      <c r="AG4" s="10" t="s">
        <v>39</v>
      </c>
      <c r="AH4" s="10" t="s">
        <v>40</v>
      </c>
      <c r="AI4" s="10" t="s">
        <v>41</v>
      </c>
      <c r="AJ4" s="10" t="s">
        <v>42</v>
      </c>
      <c r="AK4" s="10" t="s">
        <v>43</v>
      </c>
      <c r="AL4" s="10" t="s">
        <v>44</v>
      </c>
      <c r="AM4" s="12" t="s">
        <v>45</v>
      </c>
      <c r="AN4" s="10" t="s">
        <v>46</v>
      </c>
      <c r="AO4" s="10" t="s">
        <v>47</v>
      </c>
      <c r="AP4" s="10" t="s">
        <v>48</v>
      </c>
      <c r="AQ4" s="10" t="s">
        <v>49</v>
      </c>
      <c r="AR4" s="10" t="s">
        <v>50</v>
      </c>
      <c r="AS4" s="12" t="s">
        <v>51</v>
      </c>
      <c r="AT4" s="12" t="s">
        <v>52</v>
      </c>
      <c r="AU4" s="10" t="s">
        <v>53</v>
      </c>
      <c r="AV4" s="10" t="s">
        <v>54</v>
      </c>
      <c r="AW4" s="12" t="s">
        <v>55</v>
      </c>
      <c r="AX4" s="10" t="s">
        <v>56</v>
      </c>
      <c r="AY4" s="11" t="s">
        <v>57</v>
      </c>
      <c r="AZ4" s="11" t="s">
        <v>58</v>
      </c>
      <c r="BA4" s="10" t="s">
        <v>59</v>
      </c>
      <c r="BB4" s="10" t="s">
        <v>60</v>
      </c>
      <c r="BC4" s="10" t="s">
        <v>61</v>
      </c>
      <c r="BD4" s="10" t="s">
        <v>62</v>
      </c>
      <c r="BE4" s="10" t="s">
        <v>63</v>
      </c>
      <c r="BF4" s="10" t="s">
        <v>64</v>
      </c>
      <c r="BG4" s="10" t="s">
        <v>65</v>
      </c>
      <c r="BH4" s="10" t="s">
        <v>66</v>
      </c>
      <c r="BI4" s="10" t="s">
        <v>67</v>
      </c>
      <c r="BJ4" s="10" t="s">
        <v>68</v>
      </c>
      <c r="BK4" s="10" t="s">
        <v>69</v>
      </c>
      <c r="BL4" s="10" t="s">
        <v>70</v>
      </c>
      <c r="BM4" s="11" t="s">
        <v>71</v>
      </c>
      <c r="BN4" s="10" t="s">
        <v>72</v>
      </c>
      <c r="BO4" s="10" t="s">
        <v>73</v>
      </c>
      <c r="BP4" s="10" t="s">
        <v>74</v>
      </c>
      <c r="BQ4" s="10" t="s">
        <v>75</v>
      </c>
      <c r="BR4" s="11" t="s">
        <v>76</v>
      </c>
      <c r="BS4" s="10" t="s">
        <v>77</v>
      </c>
      <c r="BT4" s="11" t="s">
        <v>78</v>
      </c>
      <c r="BU4" s="11" t="s">
        <v>79</v>
      </c>
      <c r="BV4" s="10" t="s">
        <v>80</v>
      </c>
      <c r="BW4" s="13" t="s">
        <v>81</v>
      </c>
      <c r="BX4" s="10" t="s">
        <v>82</v>
      </c>
      <c r="BY4" s="12" t="s">
        <v>83</v>
      </c>
      <c r="BZ4" s="10" t="s">
        <v>84</v>
      </c>
      <c r="CA4" s="10" t="s">
        <v>85</v>
      </c>
      <c r="CB4" s="10" t="s">
        <v>86</v>
      </c>
      <c r="CC4" s="10" t="s">
        <v>87</v>
      </c>
      <c r="CD4" s="10" t="s">
        <v>88</v>
      </c>
      <c r="CE4" s="10" t="s">
        <v>89</v>
      </c>
      <c r="CF4" s="10" t="s">
        <v>90</v>
      </c>
      <c r="CG4" s="10" t="s">
        <v>91</v>
      </c>
      <c r="CH4" s="10" t="s">
        <v>92</v>
      </c>
      <c r="CI4" s="10" t="s">
        <v>93</v>
      </c>
      <c r="CJ4" s="10" t="s">
        <v>94</v>
      </c>
      <c r="CK4" s="10" t="s">
        <v>95</v>
      </c>
      <c r="CL4" s="10" t="s">
        <v>96</v>
      </c>
      <c r="CM4" s="10" t="s">
        <v>97</v>
      </c>
      <c r="CN4" s="10" t="s">
        <v>98</v>
      </c>
      <c r="CO4" s="10" t="s">
        <v>99</v>
      </c>
      <c r="CP4" s="10" t="s">
        <v>100</v>
      </c>
      <c r="CQ4" s="10" t="s">
        <v>101</v>
      </c>
      <c r="CR4" s="10" t="s">
        <v>102</v>
      </c>
      <c r="CS4" s="14" t="s">
        <v>103</v>
      </c>
      <c r="CT4" s="14" t="s">
        <v>104</v>
      </c>
      <c r="CU4" s="10" t="s">
        <v>105</v>
      </c>
      <c r="CV4" s="10" t="s">
        <v>106</v>
      </c>
      <c r="CW4" s="10" t="s">
        <v>107</v>
      </c>
      <c r="CX4" s="10" t="s">
        <v>108</v>
      </c>
      <c r="CY4" s="11" t="s">
        <v>109</v>
      </c>
      <c r="CZ4" s="11" t="s">
        <v>110</v>
      </c>
      <c r="DA4" s="10" t="s">
        <v>111</v>
      </c>
      <c r="DB4" s="10" t="s">
        <v>112</v>
      </c>
      <c r="DC4" s="10" t="s">
        <v>113</v>
      </c>
      <c r="DD4" s="12" t="s">
        <v>114</v>
      </c>
      <c r="DE4" s="10" t="s">
        <v>115</v>
      </c>
      <c r="DF4" s="10" t="s">
        <v>116</v>
      </c>
      <c r="DG4" s="10" t="s">
        <v>117</v>
      </c>
      <c r="DH4" s="10" t="s">
        <v>118</v>
      </c>
      <c r="DI4" s="10" t="s">
        <v>174</v>
      </c>
      <c r="DJ4" s="10" t="s">
        <v>175</v>
      </c>
    </row>
    <row r="5" spans="1:114" ht="15.75" customHeight="1" x14ac:dyDescent="0.3">
      <c r="A5" s="15" t="s">
        <v>119</v>
      </c>
      <c r="B5" s="16" t="s">
        <v>177</v>
      </c>
      <c r="C5" s="16" t="s">
        <v>120</v>
      </c>
      <c r="D5" s="15" t="s">
        <v>121</v>
      </c>
      <c r="E5" s="17">
        <v>28</v>
      </c>
      <c r="F5" s="15"/>
      <c r="G5" s="15"/>
      <c r="H5" s="15">
        <v>78</v>
      </c>
      <c r="I5" s="18">
        <v>1.915</v>
      </c>
      <c r="J5" s="15">
        <v>23.8</v>
      </c>
      <c r="K5" s="15">
        <v>0.8</v>
      </c>
      <c r="L5" s="15"/>
      <c r="M5" s="18"/>
      <c r="N5" s="15"/>
      <c r="O5" s="17">
        <v>3</v>
      </c>
      <c r="AD5" s="15">
        <v>6</v>
      </c>
      <c r="AM5" s="15"/>
      <c r="AS5" s="15"/>
      <c r="AT5" s="15"/>
      <c r="AW5" s="15"/>
      <c r="AY5" s="15">
        <v>1</v>
      </c>
      <c r="AZ5" s="15">
        <v>1</v>
      </c>
      <c r="BM5" s="15">
        <v>1</v>
      </c>
      <c r="BR5" s="15"/>
      <c r="BT5" s="15">
        <v>1</v>
      </c>
      <c r="BU5" s="15">
        <v>3</v>
      </c>
      <c r="BY5" s="15"/>
      <c r="CS5" s="15"/>
      <c r="CT5" s="15"/>
      <c r="CY5" s="15">
        <v>1</v>
      </c>
      <c r="CZ5" s="15"/>
      <c r="DD5" s="15"/>
      <c r="DI5" s="1">
        <f>COUNT(P5:DH5)</f>
        <v>7</v>
      </c>
      <c r="DJ5" s="1">
        <f>SUM(P5:DH5)</f>
        <v>14</v>
      </c>
    </row>
    <row r="6" spans="1:114" ht="15.75" customHeight="1" x14ac:dyDescent="0.3">
      <c r="A6" s="15" t="s">
        <v>119</v>
      </c>
      <c r="B6" s="16" t="s">
        <v>179</v>
      </c>
      <c r="C6" s="16" t="s">
        <v>122</v>
      </c>
      <c r="D6" s="19">
        <v>44812</v>
      </c>
      <c r="E6" s="17">
        <v>9</v>
      </c>
      <c r="F6" s="15"/>
      <c r="G6" s="15"/>
      <c r="H6" s="20">
        <v>80</v>
      </c>
      <c r="I6" s="18">
        <v>0.4</v>
      </c>
      <c r="J6" s="15">
        <v>32</v>
      </c>
      <c r="K6" s="15">
        <v>0</v>
      </c>
      <c r="L6" s="15"/>
      <c r="M6" s="18"/>
      <c r="N6" s="15"/>
      <c r="O6" s="17">
        <v>5</v>
      </c>
      <c r="AD6" s="15"/>
      <c r="AM6" s="15"/>
      <c r="AS6" s="15"/>
      <c r="AT6" s="15"/>
      <c r="AW6" s="15"/>
      <c r="AY6" s="15"/>
      <c r="AZ6" s="15">
        <v>1</v>
      </c>
      <c r="BA6" s="1">
        <v>1</v>
      </c>
      <c r="BM6" s="15"/>
      <c r="BR6" s="15"/>
      <c r="BT6" s="15"/>
      <c r="BU6" s="15">
        <v>1</v>
      </c>
      <c r="BY6" s="15"/>
      <c r="CS6" s="15"/>
      <c r="CT6" s="15"/>
      <c r="CY6" s="15"/>
      <c r="CZ6" s="15"/>
      <c r="DD6" s="15"/>
      <c r="DI6" s="1">
        <f t="shared" ref="DI6:DI69" si="0">COUNT(P6:DH6)</f>
        <v>3</v>
      </c>
      <c r="DJ6" s="1">
        <f t="shared" ref="DJ6:DJ69" si="1">SUM(P6:DH6)</f>
        <v>3</v>
      </c>
    </row>
    <row r="7" spans="1:114" ht="15.75" customHeight="1" x14ac:dyDescent="0.3">
      <c r="A7" s="15" t="s">
        <v>119</v>
      </c>
      <c r="B7" s="16" t="s">
        <v>179</v>
      </c>
      <c r="C7" s="16" t="s">
        <v>120</v>
      </c>
      <c r="D7" s="15" t="s">
        <v>123</v>
      </c>
      <c r="E7" s="17">
        <v>22</v>
      </c>
      <c r="F7" s="15"/>
      <c r="G7" s="15"/>
      <c r="H7" s="20">
        <v>80</v>
      </c>
      <c r="I7" s="18">
        <v>0.52</v>
      </c>
      <c r="J7" s="15">
        <v>33</v>
      </c>
      <c r="K7" s="15">
        <v>0</v>
      </c>
      <c r="L7" s="15"/>
      <c r="M7" s="18"/>
      <c r="N7" s="15"/>
      <c r="O7" s="17">
        <v>5</v>
      </c>
      <c r="AD7" s="15"/>
      <c r="AM7" s="15"/>
      <c r="AS7" s="15"/>
      <c r="AT7" s="15"/>
      <c r="AW7" s="15"/>
      <c r="AY7" s="15"/>
      <c r="AZ7" s="15">
        <v>1</v>
      </c>
      <c r="BM7" s="15"/>
      <c r="BR7" s="15"/>
      <c r="BT7" s="15"/>
      <c r="BU7" s="15"/>
      <c r="BY7" s="15"/>
      <c r="CS7" s="15"/>
      <c r="CT7" s="15"/>
      <c r="CY7" s="15"/>
      <c r="CZ7" s="15"/>
      <c r="DD7" s="15"/>
      <c r="DI7" s="1">
        <f t="shared" si="0"/>
        <v>1</v>
      </c>
      <c r="DJ7" s="1">
        <f t="shared" si="1"/>
        <v>1</v>
      </c>
    </row>
    <row r="8" spans="1:114" ht="15.75" customHeight="1" x14ac:dyDescent="0.3">
      <c r="A8" s="15" t="s">
        <v>119</v>
      </c>
      <c r="B8" s="16" t="s">
        <v>179</v>
      </c>
      <c r="C8" s="16" t="s">
        <v>122</v>
      </c>
      <c r="D8" s="15" t="s">
        <v>124</v>
      </c>
      <c r="E8" s="17">
        <v>25</v>
      </c>
      <c r="F8" s="15"/>
      <c r="G8" s="15"/>
      <c r="H8" s="20">
        <v>80</v>
      </c>
      <c r="I8" s="18">
        <v>0.4</v>
      </c>
      <c r="J8" s="15">
        <v>36</v>
      </c>
      <c r="K8" s="15">
        <v>0</v>
      </c>
      <c r="L8" s="15"/>
      <c r="M8" s="18"/>
      <c r="N8" s="15"/>
      <c r="O8" s="17">
        <v>5</v>
      </c>
      <c r="AD8" s="15"/>
      <c r="AM8" s="15"/>
      <c r="AS8" s="15"/>
      <c r="AT8" s="15"/>
      <c r="AW8" s="15"/>
      <c r="AY8" s="15"/>
      <c r="AZ8" s="15"/>
      <c r="BM8" s="15"/>
      <c r="BR8" s="15"/>
      <c r="BT8" s="15"/>
      <c r="BU8" s="15">
        <v>1</v>
      </c>
      <c r="BY8" s="15"/>
      <c r="CS8" s="15"/>
      <c r="CT8" s="15"/>
      <c r="CY8" s="15"/>
      <c r="CZ8" s="15"/>
      <c r="DD8" s="15"/>
      <c r="DI8" s="1">
        <f t="shared" si="0"/>
        <v>1</v>
      </c>
      <c r="DJ8" s="1">
        <f t="shared" si="1"/>
        <v>1</v>
      </c>
    </row>
    <row r="9" spans="1:114" ht="15.75" customHeight="1" x14ac:dyDescent="0.3">
      <c r="A9" s="15" t="s">
        <v>119</v>
      </c>
      <c r="B9" s="16" t="s">
        <v>179</v>
      </c>
      <c r="C9" s="16" t="s">
        <v>122</v>
      </c>
      <c r="D9" s="15" t="s">
        <v>125</v>
      </c>
      <c r="E9" s="17">
        <v>27</v>
      </c>
      <c r="F9" s="15"/>
      <c r="G9" s="15"/>
      <c r="H9" s="20">
        <v>80</v>
      </c>
      <c r="I9" s="18">
        <v>0.4</v>
      </c>
      <c r="J9" s="15">
        <v>32</v>
      </c>
      <c r="K9" s="15">
        <v>0</v>
      </c>
      <c r="L9" s="15"/>
      <c r="M9" s="18"/>
      <c r="N9" s="15"/>
      <c r="O9" s="17">
        <v>5</v>
      </c>
      <c r="AD9" s="15"/>
      <c r="AM9" s="15"/>
      <c r="AS9" s="15"/>
      <c r="AT9" s="15"/>
      <c r="AW9" s="15"/>
      <c r="AY9" s="15"/>
      <c r="AZ9" s="15">
        <v>1</v>
      </c>
      <c r="BM9" s="15"/>
      <c r="BR9" s="15"/>
      <c r="BT9" s="15"/>
      <c r="BU9" s="15">
        <v>1</v>
      </c>
      <c r="BY9" s="15"/>
      <c r="CS9" s="15"/>
      <c r="CT9" s="15"/>
      <c r="CY9" s="15"/>
      <c r="CZ9" s="15"/>
      <c r="DD9" s="15"/>
      <c r="DI9" s="1">
        <f t="shared" si="0"/>
        <v>2</v>
      </c>
      <c r="DJ9" s="1">
        <f t="shared" si="1"/>
        <v>2</v>
      </c>
    </row>
    <row r="10" spans="1:114" ht="15.75" customHeight="1" x14ac:dyDescent="0.3">
      <c r="A10" s="15" t="s">
        <v>119</v>
      </c>
      <c r="B10" s="16" t="s">
        <v>179</v>
      </c>
      <c r="C10" s="16" t="s">
        <v>122</v>
      </c>
      <c r="D10" s="15" t="s">
        <v>121</v>
      </c>
      <c r="E10" s="17">
        <v>28</v>
      </c>
      <c r="F10" s="15"/>
      <c r="G10" s="15"/>
      <c r="H10" s="20">
        <v>80</v>
      </c>
      <c r="I10" s="18">
        <v>0.4</v>
      </c>
      <c r="J10" s="15">
        <v>33</v>
      </c>
      <c r="K10" s="15">
        <v>0</v>
      </c>
      <c r="L10" s="15"/>
      <c r="M10" s="18"/>
      <c r="N10" s="15"/>
      <c r="O10" s="17">
        <v>5</v>
      </c>
      <c r="AD10" s="15"/>
      <c r="AM10" s="15"/>
      <c r="AS10" s="15"/>
      <c r="AT10" s="15"/>
      <c r="AW10" s="15"/>
      <c r="AY10" s="15"/>
      <c r="AZ10" s="15"/>
      <c r="BA10" s="1">
        <v>1</v>
      </c>
      <c r="BM10" s="15"/>
      <c r="BR10" s="15"/>
      <c r="BT10" s="15"/>
      <c r="BU10" s="15"/>
      <c r="BY10" s="15"/>
      <c r="CS10" s="15"/>
      <c r="CT10" s="15"/>
      <c r="CY10" s="15"/>
      <c r="CZ10" s="15"/>
      <c r="DD10" s="15"/>
      <c r="DI10" s="1">
        <f t="shared" si="0"/>
        <v>1</v>
      </c>
      <c r="DJ10" s="1">
        <f t="shared" si="1"/>
        <v>1</v>
      </c>
    </row>
    <row r="11" spans="1:114" ht="15.75" customHeight="1" x14ac:dyDescent="0.3">
      <c r="A11" s="15" t="s">
        <v>119</v>
      </c>
      <c r="B11" s="16" t="s">
        <v>179</v>
      </c>
      <c r="C11" s="16" t="s">
        <v>120</v>
      </c>
      <c r="D11" s="15" t="s">
        <v>126</v>
      </c>
      <c r="E11" s="17">
        <v>29</v>
      </c>
      <c r="F11" s="15"/>
      <c r="G11" s="15"/>
      <c r="H11" s="20">
        <v>80</v>
      </c>
      <c r="I11" s="18">
        <v>0.51</v>
      </c>
      <c r="J11" s="15">
        <v>32</v>
      </c>
      <c r="K11" s="15">
        <v>0</v>
      </c>
      <c r="L11" s="15"/>
      <c r="M11" s="18"/>
      <c r="N11" s="15"/>
      <c r="O11" s="17">
        <v>5</v>
      </c>
      <c r="AD11" s="15"/>
      <c r="AM11" s="15"/>
      <c r="AS11" s="15"/>
      <c r="AT11" s="15"/>
      <c r="AW11" s="15"/>
      <c r="AY11" s="15"/>
      <c r="AZ11" s="15">
        <v>1</v>
      </c>
      <c r="BA11" s="1">
        <v>1</v>
      </c>
      <c r="BM11" s="15"/>
      <c r="BR11" s="15"/>
      <c r="BT11" s="15"/>
      <c r="BU11" s="15">
        <v>1</v>
      </c>
      <c r="BY11" s="15"/>
      <c r="CS11" s="15"/>
      <c r="CT11" s="15"/>
      <c r="CY11" s="15"/>
      <c r="CZ11" s="15"/>
      <c r="DD11" s="15"/>
      <c r="DI11" s="1">
        <f t="shared" si="0"/>
        <v>3</v>
      </c>
      <c r="DJ11" s="1">
        <f t="shared" si="1"/>
        <v>3</v>
      </c>
    </row>
    <row r="12" spans="1:114" ht="15.75" customHeight="1" x14ac:dyDescent="0.3">
      <c r="A12" s="15" t="s">
        <v>119</v>
      </c>
      <c r="B12" s="16" t="s">
        <v>179</v>
      </c>
      <c r="C12" s="16" t="s">
        <v>120</v>
      </c>
      <c r="D12" s="15" t="s">
        <v>126</v>
      </c>
      <c r="E12" s="17">
        <v>29</v>
      </c>
      <c r="F12" s="15"/>
      <c r="G12" s="15"/>
      <c r="H12" s="20">
        <v>80</v>
      </c>
      <c r="I12" s="18">
        <v>0.5</v>
      </c>
      <c r="J12" s="15">
        <v>23</v>
      </c>
      <c r="K12" s="15">
        <v>0</v>
      </c>
      <c r="L12" s="15"/>
      <c r="M12" s="18"/>
      <c r="N12" s="15"/>
      <c r="O12" s="17">
        <v>5</v>
      </c>
      <c r="AD12" s="15"/>
      <c r="AM12" s="15"/>
      <c r="AS12" s="15"/>
      <c r="AT12" s="15"/>
      <c r="AW12" s="15"/>
      <c r="AY12" s="15"/>
      <c r="AZ12" s="15"/>
      <c r="BM12" s="15"/>
      <c r="BR12" s="15"/>
      <c r="BT12" s="15"/>
      <c r="BU12" s="15">
        <v>1</v>
      </c>
      <c r="BY12" s="15"/>
      <c r="CS12" s="15"/>
      <c r="CT12" s="15"/>
      <c r="CY12" s="15"/>
      <c r="CZ12" s="15"/>
      <c r="DD12" s="15"/>
      <c r="DI12" s="1">
        <f t="shared" si="0"/>
        <v>1</v>
      </c>
      <c r="DJ12" s="1">
        <f t="shared" si="1"/>
        <v>1</v>
      </c>
    </row>
    <row r="13" spans="1:114" ht="15.75" customHeight="1" x14ac:dyDescent="0.3">
      <c r="A13" s="15" t="s">
        <v>119</v>
      </c>
      <c r="B13" s="16" t="s">
        <v>179</v>
      </c>
      <c r="C13" s="16" t="s">
        <v>122</v>
      </c>
      <c r="D13" s="15" t="s">
        <v>121</v>
      </c>
      <c r="E13" s="17">
        <v>28</v>
      </c>
      <c r="F13" s="15"/>
      <c r="G13" s="15"/>
      <c r="H13" s="15">
        <v>81</v>
      </c>
      <c r="I13" s="18">
        <v>2.0499999999999998</v>
      </c>
      <c r="J13" s="15">
        <v>24.9</v>
      </c>
      <c r="K13" s="15">
        <v>0</v>
      </c>
      <c r="L13" s="15"/>
      <c r="M13" s="18"/>
      <c r="N13" s="15"/>
      <c r="O13" s="17">
        <v>5</v>
      </c>
      <c r="AD13" s="15"/>
      <c r="AM13" s="4"/>
      <c r="AS13" s="4"/>
      <c r="AT13" s="15"/>
      <c r="AW13" s="15"/>
      <c r="AY13" s="15"/>
      <c r="AZ13" s="15">
        <v>1</v>
      </c>
      <c r="BM13" s="15"/>
      <c r="BR13" s="15">
        <v>1</v>
      </c>
      <c r="BT13" s="15"/>
      <c r="BU13" s="15"/>
      <c r="BY13" s="15"/>
      <c r="CS13" s="15"/>
      <c r="CT13" s="15"/>
      <c r="CY13" s="15">
        <v>1</v>
      </c>
      <c r="CZ13" s="15"/>
      <c r="DD13" s="15"/>
      <c r="DI13" s="1">
        <f t="shared" si="0"/>
        <v>3</v>
      </c>
      <c r="DJ13" s="1">
        <f t="shared" si="1"/>
        <v>3</v>
      </c>
    </row>
    <row r="14" spans="1:114" ht="15.75" customHeight="1" x14ac:dyDescent="0.3">
      <c r="A14" s="15" t="s">
        <v>119</v>
      </c>
      <c r="B14" s="16" t="s">
        <v>180</v>
      </c>
      <c r="C14" s="16" t="s">
        <v>120</v>
      </c>
      <c r="D14" s="15" t="s">
        <v>121</v>
      </c>
      <c r="E14" s="17">
        <v>28</v>
      </c>
      <c r="F14" s="15"/>
      <c r="G14" s="15"/>
      <c r="H14" s="15">
        <v>81</v>
      </c>
      <c r="I14" s="18">
        <v>1.2809999999999999</v>
      </c>
      <c r="J14" s="15">
        <v>24.9</v>
      </c>
      <c r="K14" s="15">
        <v>0.8</v>
      </c>
      <c r="L14" s="15"/>
      <c r="M14" s="18"/>
      <c r="N14" s="15"/>
      <c r="O14" s="17">
        <v>5</v>
      </c>
      <c r="AD14" s="15"/>
      <c r="AM14" s="15">
        <v>1</v>
      </c>
      <c r="AS14" s="15"/>
      <c r="AT14" s="15"/>
      <c r="AW14" s="15"/>
      <c r="AY14" s="15"/>
      <c r="AZ14" s="15">
        <v>1</v>
      </c>
      <c r="BM14" s="15"/>
      <c r="BR14" s="15"/>
      <c r="BT14" s="15"/>
      <c r="BU14" s="15"/>
      <c r="BY14" s="15">
        <v>1</v>
      </c>
      <c r="CS14" s="15"/>
      <c r="CT14" s="15"/>
      <c r="CY14" s="15"/>
      <c r="CZ14" s="15"/>
      <c r="DD14" s="15"/>
      <c r="DI14" s="1">
        <f t="shared" si="0"/>
        <v>3</v>
      </c>
      <c r="DJ14" s="1">
        <f t="shared" si="1"/>
        <v>3</v>
      </c>
    </row>
    <row r="15" spans="1:114" ht="15.75" customHeight="1" x14ac:dyDescent="0.3">
      <c r="A15" s="15" t="s">
        <v>119</v>
      </c>
      <c r="B15" s="16" t="s">
        <v>180</v>
      </c>
      <c r="C15" s="16" t="s">
        <v>122</v>
      </c>
      <c r="D15" s="15" t="s">
        <v>125</v>
      </c>
      <c r="E15" s="17">
        <v>27</v>
      </c>
      <c r="F15" s="15"/>
      <c r="G15" s="15"/>
      <c r="H15" s="18">
        <v>68.67</v>
      </c>
      <c r="I15" s="18">
        <v>94.13</v>
      </c>
      <c r="J15" s="15">
        <v>25</v>
      </c>
      <c r="K15" s="15">
        <v>1.2</v>
      </c>
      <c r="L15" s="15"/>
      <c r="M15" s="18"/>
      <c r="N15" s="15"/>
      <c r="O15" s="17">
        <v>5</v>
      </c>
      <c r="AD15" s="15"/>
      <c r="AM15" s="15"/>
      <c r="AS15" s="15"/>
      <c r="AT15" s="15"/>
      <c r="AW15" s="15"/>
      <c r="AY15" s="15"/>
      <c r="AZ15" s="15">
        <v>1</v>
      </c>
      <c r="BM15" s="15"/>
      <c r="BR15" s="15"/>
      <c r="BT15" s="15"/>
      <c r="BU15" s="15"/>
      <c r="BY15" s="15"/>
      <c r="CS15" s="15"/>
      <c r="CT15" s="15"/>
      <c r="CY15" s="15"/>
      <c r="CZ15" s="15"/>
      <c r="DD15" s="15"/>
      <c r="DI15" s="1">
        <f t="shared" si="0"/>
        <v>1</v>
      </c>
      <c r="DJ15" s="1">
        <f t="shared" si="1"/>
        <v>1</v>
      </c>
    </row>
    <row r="16" spans="1:114" ht="15.75" customHeight="1" x14ac:dyDescent="0.3">
      <c r="A16" s="15" t="s">
        <v>119</v>
      </c>
      <c r="B16" s="16" t="s">
        <v>181</v>
      </c>
      <c r="C16" s="16" t="s">
        <v>120</v>
      </c>
      <c r="D16" s="15" t="s">
        <v>121</v>
      </c>
      <c r="E16" s="17">
        <v>28</v>
      </c>
      <c r="F16" s="15"/>
      <c r="G16" s="15"/>
      <c r="H16" s="15">
        <v>80</v>
      </c>
      <c r="I16" s="18">
        <v>9.35</v>
      </c>
      <c r="J16" s="15">
        <v>25.5</v>
      </c>
      <c r="K16" s="15">
        <v>2.6</v>
      </c>
      <c r="L16" s="15"/>
      <c r="M16" s="18"/>
      <c r="N16" s="15"/>
      <c r="O16" s="17">
        <v>3</v>
      </c>
      <c r="AD16" s="15"/>
      <c r="AM16" s="15"/>
      <c r="AS16" s="15">
        <v>1</v>
      </c>
      <c r="AT16" s="4"/>
      <c r="AW16" s="15"/>
      <c r="AY16" s="15"/>
      <c r="AZ16" s="15">
        <v>1</v>
      </c>
      <c r="BM16" s="15"/>
      <c r="BR16" s="15"/>
      <c r="BT16" s="15"/>
      <c r="BU16" s="15"/>
      <c r="BY16" s="15"/>
      <c r="CS16" s="15"/>
      <c r="CT16" s="15"/>
      <c r="CY16" s="15"/>
      <c r="CZ16" s="15"/>
      <c r="DD16" s="15">
        <v>1</v>
      </c>
      <c r="DI16" s="1">
        <f t="shared" si="0"/>
        <v>3</v>
      </c>
      <c r="DJ16" s="1">
        <f t="shared" si="1"/>
        <v>3</v>
      </c>
    </row>
    <row r="17" spans="1:114" ht="15.75" customHeight="1" x14ac:dyDescent="0.3">
      <c r="A17" s="15" t="s">
        <v>119</v>
      </c>
      <c r="B17" s="16" t="s">
        <v>181</v>
      </c>
      <c r="C17" s="16" t="s">
        <v>122</v>
      </c>
      <c r="D17" s="15" t="s">
        <v>125</v>
      </c>
      <c r="E17" s="17">
        <v>27</v>
      </c>
      <c r="F17" s="15"/>
      <c r="G17" s="15"/>
      <c r="H17" s="15">
        <v>68.58</v>
      </c>
      <c r="I17" s="18">
        <v>6.6</v>
      </c>
      <c r="J17" s="15">
        <v>25.7</v>
      </c>
      <c r="K17" s="15">
        <v>2.1</v>
      </c>
      <c r="L17" s="15"/>
      <c r="M17" s="18"/>
      <c r="N17" s="15"/>
      <c r="O17" s="17">
        <v>3</v>
      </c>
      <c r="AD17" s="15"/>
      <c r="AM17" s="15"/>
      <c r="AS17" s="15"/>
      <c r="AT17" s="15">
        <v>1</v>
      </c>
      <c r="AW17" s="15"/>
      <c r="AY17" s="15"/>
      <c r="AZ17" s="15">
        <v>1</v>
      </c>
      <c r="BM17" s="15"/>
      <c r="BR17" s="15"/>
      <c r="BT17" s="15"/>
      <c r="BU17" s="15"/>
      <c r="BY17" s="15">
        <v>1</v>
      </c>
      <c r="CS17" s="15"/>
      <c r="CT17" s="15"/>
      <c r="CY17" s="15"/>
      <c r="CZ17" s="15"/>
      <c r="DD17" s="15"/>
      <c r="DI17" s="1">
        <f t="shared" si="0"/>
        <v>3</v>
      </c>
      <c r="DJ17" s="1">
        <f t="shared" si="1"/>
        <v>3</v>
      </c>
    </row>
    <row r="18" spans="1:114" ht="15.75" customHeight="1" x14ac:dyDescent="0.3">
      <c r="A18" s="15" t="s">
        <v>119</v>
      </c>
      <c r="B18" s="16" t="s">
        <v>181</v>
      </c>
      <c r="C18" s="16" t="s">
        <v>120</v>
      </c>
      <c r="D18" s="15" t="s">
        <v>127</v>
      </c>
      <c r="E18" s="17">
        <v>30</v>
      </c>
      <c r="F18" s="15"/>
      <c r="G18" s="15"/>
      <c r="H18" s="20">
        <v>70</v>
      </c>
      <c r="I18" s="18">
        <v>4.2</v>
      </c>
      <c r="J18" s="15">
        <v>23</v>
      </c>
      <c r="K18" s="15">
        <v>0</v>
      </c>
      <c r="L18" s="15"/>
      <c r="M18" s="18"/>
      <c r="N18" s="15"/>
      <c r="O18" s="17">
        <v>3</v>
      </c>
      <c r="AD18" s="15"/>
      <c r="AM18" s="15"/>
      <c r="AS18" s="15"/>
      <c r="AT18" s="15"/>
      <c r="AW18" s="15"/>
      <c r="AY18" s="15"/>
      <c r="AZ18" s="15">
        <v>1</v>
      </c>
      <c r="BM18" s="15"/>
      <c r="BR18" s="15"/>
      <c r="BT18" s="15"/>
      <c r="BU18" s="15">
        <v>1</v>
      </c>
      <c r="BY18" s="15"/>
      <c r="CS18" s="15"/>
      <c r="CT18" s="15"/>
      <c r="CY18" s="15"/>
      <c r="CZ18" s="15"/>
      <c r="DD18" s="15"/>
      <c r="DI18" s="1">
        <f t="shared" si="0"/>
        <v>2</v>
      </c>
      <c r="DJ18" s="1">
        <f t="shared" si="1"/>
        <v>2</v>
      </c>
    </row>
    <row r="19" spans="1:114" ht="15.75" customHeight="1" x14ac:dyDescent="0.3">
      <c r="A19" s="15" t="s">
        <v>119</v>
      </c>
      <c r="B19" s="16" t="s">
        <v>182</v>
      </c>
      <c r="C19" s="16" t="s">
        <v>120</v>
      </c>
      <c r="D19" s="19">
        <v>44781</v>
      </c>
      <c r="E19" s="17">
        <v>8</v>
      </c>
      <c r="F19" s="15"/>
      <c r="G19" s="15"/>
      <c r="H19" s="20">
        <v>70</v>
      </c>
      <c r="I19" s="18">
        <v>4.2</v>
      </c>
      <c r="J19" s="15">
        <v>21</v>
      </c>
      <c r="K19" s="15">
        <v>0</v>
      </c>
      <c r="L19" s="15"/>
      <c r="M19" s="18"/>
      <c r="N19" s="15"/>
      <c r="O19" s="17">
        <v>3</v>
      </c>
      <c r="AC19" s="1">
        <v>1</v>
      </c>
      <c r="AD19" s="15"/>
      <c r="AM19" s="15"/>
      <c r="AS19" s="15"/>
      <c r="AT19" s="15"/>
      <c r="AW19" s="15"/>
      <c r="AY19" s="15"/>
      <c r="AZ19" s="15">
        <v>1</v>
      </c>
      <c r="BA19" s="1">
        <v>1</v>
      </c>
      <c r="BM19" s="15"/>
      <c r="BR19" s="15"/>
      <c r="BT19" s="15"/>
      <c r="BU19" s="15"/>
      <c r="BY19" s="15"/>
      <c r="CJ19" s="1">
        <v>1</v>
      </c>
      <c r="CS19" s="15"/>
      <c r="CT19" s="15"/>
      <c r="CY19" s="15"/>
      <c r="CZ19" s="15"/>
      <c r="DD19" s="15"/>
      <c r="DI19" s="1">
        <f t="shared" si="0"/>
        <v>4</v>
      </c>
      <c r="DJ19" s="1">
        <f t="shared" si="1"/>
        <v>4</v>
      </c>
    </row>
    <row r="20" spans="1:114" ht="15.75" customHeight="1" x14ac:dyDescent="0.3">
      <c r="A20" s="15" t="s">
        <v>119</v>
      </c>
      <c r="B20" s="16" t="s">
        <v>182</v>
      </c>
      <c r="C20" s="16" t="s">
        <v>120</v>
      </c>
      <c r="D20" s="19">
        <v>44781</v>
      </c>
      <c r="E20" s="17">
        <v>8</v>
      </c>
      <c r="F20" s="15"/>
      <c r="G20" s="15"/>
      <c r="H20" s="20">
        <v>70</v>
      </c>
      <c r="I20" s="18">
        <v>4.2</v>
      </c>
      <c r="J20" s="15">
        <v>20</v>
      </c>
      <c r="K20" s="15">
        <v>0</v>
      </c>
      <c r="L20" s="15"/>
      <c r="M20" s="18"/>
      <c r="N20" s="15"/>
      <c r="O20" s="17">
        <v>3</v>
      </c>
      <c r="AC20" s="1">
        <v>1</v>
      </c>
      <c r="AD20" s="15"/>
      <c r="AM20" s="15"/>
      <c r="AS20" s="15"/>
      <c r="AT20" s="15"/>
      <c r="AW20" s="15"/>
      <c r="AY20" s="15"/>
      <c r="AZ20" s="15"/>
      <c r="BM20" s="15"/>
      <c r="BR20" s="15"/>
      <c r="BT20" s="15"/>
      <c r="BU20" s="15"/>
      <c r="BY20" s="15"/>
      <c r="CS20" s="15"/>
      <c r="CT20" s="15"/>
      <c r="CY20" s="15"/>
      <c r="CZ20" s="15"/>
      <c r="DD20" s="15"/>
      <c r="DI20" s="1">
        <f t="shared" si="0"/>
        <v>1</v>
      </c>
      <c r="DJ20" s="1">
        <f t="shared" si="1"/>
        <v>1</v>
      </c>
    </row>
    <row r="21" spans="1:114" ht="15.75" customHeight="1" x14ac:dyDescent="0.3">
      <c r="A21" s="15" t="s">
        <v>119</v>
      </c>
      <c r="B21" s="16" t="s">
        <v>182</v>
      </c>
      <c r="C21" s="16" t="s">
        <v>120</v>
      </c>
      <c r="D21" s="19">
        <v>44812</v>
      </c>
      <c r="E21" s="17">
        <v>9</v>
      </c>
      <c r="F21" s="15"/>
      <c r="G21" s="15"/>
      <c r="H21" s="20">
        <v>70</v>
      </c>
      <c r="I21" s="18">
        <v>4.2</v>
      </c>
      <c r="J21" s="15">
        <v>21</v>
      </c>
      <c r="K21" s="15">
        <v>0</v>
      </c>
      <c r="L21" s="15"/>
      <c r="M21" s="18"/>
      <c r="N21" s="15"/>
      <c r="O21" s="17">
        <v>3</v>
      </c>
      <c r="AD21" s="15"/>
      <c r="AM21" s="15"/>
      <c r="AS21" s="15"/>
      <c r="AT21" s="15"/>
      <c r="AW21" s="15"/>
      <c r="AY21" s="15"/>
      <c r="AZ21" s="15">
        <v>1</v>
      </c>
      <c r="BM21" s="15"/>
      <c r="BR21" s="15"/>
      <c r="BT21" s="15"/>
      <c r="BU21" s="15"/>
      <c r="BY21" s="15"/>
      <c r="CS21" s="15"/>
      <c r="CT21" s="15"/>
      <c r="CY21" s="15"/>
      <c r="CZ21" s="15"/>
      <c r="DD21" s="15"/>
      <c r="DI21" s="1">
        <f t="shared" si="0"/>
        <v>1</v>
      </c>
      <c r="DJ21" s="1">
        <f t="shared" si="1"/>
        <v>1</v>
      </c>
    </row>
    <row r="22" spans="1:114" ht="15.75" customHeight="1" x14ac:dyDescent="0.3">
      <c r="A22" s="15" t="s">
        <v>119</v>
      </c>
      <c r="B22" s="16" t="s">
        <v>182</v>
      </c>
      <c r="C22" s="16" t="s">
        <v>120</v>
      </c>
      <c r="D22" s="19" t="s">
        <v>128</v>
      </c>
      <c r="E22" s="17">
        <v>15</v>
      </c>
      <c r="F22" s="15"/>
      <c r="G22" s="15"/>
      <c r="H22" s="20">
        <v>70</v>
      </c>
      <c r="I22" s="18">
        <v>4.2</v>
      </c>
      <c r="J22" s="15">
        <v>22</v>
      </c>
      <c r="K22" s="15">
        <v>0</v>
      </c>
      <c r="L22" s="15"/>
      <c r="M22" s="18"/>
      <c r="N22" s="15"/>
      <c r="O22" s="17">
        <v>3</v>
      </c>
      <c r="AD22" s="15"/>
      <c r="AM22" s="15"/>
      <c r="AS22" s="15"/>
      <c r="AT22" s="15"/>
      <c r="AW22" s="15"/>
      <c r="AY22" s="15"/>
      <c r="AZ22" s="15">
        <v>1</v>
      </c>
      <c r="BA22" s="1">
        <v>1</v>
      </c>
      <c r="BM22" s="15"/>
      <c r="BR22" s="15"/>
      <c r="BT22" s="15"/>
      <c r="BU22" s="15">
        <v>1</v>
      </c>
      <c r="BY22" s="15">
        <v>1</v>
      </c>
      <c r="CS22" s="15"/>
      <c r="CT22" s="15"/>
      <c r="CY22" s="15">
        <v>1</v>
      </c>
      <c r="CZ22" s="15"/>
      <c r="DD22" s="15"/>
      <c r="DI22" s="1">
        <f t="shared" si="0"/>
        <v>5</v>
      </c>
      <c r="DJ22" s="1">
        <f t="shared" si="1"/>
        <v>5</v>
      </c>
    </row>
    <row r="23" spans="1:114" ht="15.75" customHeight="1" x14ac:dyDescent="0.3">
      <c r="A23" s="15" t="s">
        <v>119</v>
      </c>
      <c r="B23" s="16" t="s">
        <v>182</v>
      </c>
      <c r="C23" s="16" t="s">
        <v>120</v>
      </c>
      <c r="D23" s="19">
        <v>44873</v>
      </c>
      <c r="E23" s="17">
        <v>11</v>
      </c>
      <c r="F23" s="15"/>
      <c r="G23" s="15"/>
      <c r="H23" s="20">
        <v>70</v>
      </c>
      <c r="I23" s="18">
        <v>4.2</v>
      </c>
      <c r="J23" s="15">
        <v>23</v>
      </c>
      <c r="K23" s="15">
        <v>0</v>
      </c>
      <c r="L23" s="15"/>
      <c r="M23" s="18"/>
      <c r="N23" s="15"/>
      <c r="O23" s="17">
        <v>3</v>
      </c>
      <c r="AC23" s="1">
        <v>1</v>
      </c>
      <c r="AD23" s="15"/>
      <c r="AM23" s="15"/>
      <c r="AS23" s="15"/>
      <c r="AT23" s="15"/>
      <c r="AW23" s="15"/>
      <c r="AY23" s="15"/>
      <c r="AZ23" s="15">
        <v>1</v>
      </c>
      <c r="BM23" s="15"/>
      <c r="BR23" s="15"/>
      <c r="BT23" s="15"/>
      <c r="BU23" s="15"/>
      <c r="BY23" s="15"/>
      <c r="CS23" s="15"/>
      <c r="CT23" s="15"/>
      <c r="CY23" s="15"/>
      <c r="CZ23" s="15"/>
      <c r="DD23" s="15"/>
      <c r="DI23" s="1">
        <f t="shared" si="0"/>
        <v>2</v>
      </c>
      <c r="DJ23" s="1">
        <f t="shared" si="1"/>
        <v>2</v>
      </c>
    </row>
    <row r="24" spans="1:114" ht="15.75" customHeight="1" x14ac:dyDescent="0.3">
      <c r="A24" s="15" t="s">
        <v>119</v>
      </c>
      <c r="B24" s="16" t="s">
        <v>182</v>
      </c>
      <c r="C24" s="16" t="s">
        <v>120</v>
      </c>
      <c r="D24" s="19" t="s">
        <v>129</v>
      </c>
      <c r="E24" s="17">
        <v>20</v>
      </c>
      <c r="F24" s="15"/>
      <c r="G24" s="15"/>
      <c r="H24" s="20">
        <v>70</v>
      </c>
      <c r="I24" s="18">
        <v>4.2</v>
      </c>
      <c r="J24" s="15">
        <v>22</v>
      </c>
      <c r="K24" s="15">
        <v>0</v>
      </c>
      <c r="L24" s="15"/>
      <c r="M24" s="18"/>
      <c r="N24" s="15"/>
      <c r="O24" s="17">
        <v>3</v>
      </c>
      <c r="R24" s="1">
        <v>1</v>
      </c>
      <c r="AD24" s="15"/>
      <c r="AM24" s="15"/>
      <c r="AS24" s="15"/>
      <c r="AT24" s="15"/>
      <c r="AW24" s="15"/>
      <c r="AY24" s="15"/>
      <c r="AZ24" s="15"/>
      <c r="BM24" s="15"/>
      <c r="BR24" s="15"/>
      <c r="BT24" s="15"/>
      <c r="BU24" s="15"/>
      <c r="BY24" s="15"/>
      <c r="CS24" s="15"/>
      <c r="CT24" s="15"/>
      <c r="CY24" s="15"/>
      <c r="CZ24" s="15"/>
      <c r="DD24" s="15"/>
      <c r="DI24" s="1">
        <f t="shared" si="0"/>
        <v>1</v>
      </c>
      <c r="DJ24" s="1">
        <f t="shared" si="1"/>
        <v>1</v>
      </c>
    </row>
    <row r="25" spans="1:114" ht="15.75" customHeight="1" x14ac:dyDescent="0.3">
      <c r="A25" s="15" t="s">
        <v>119</v>
      </c>
      <c r="B25" s="16" t="s">
        <v>182</v>
      </c>
      <c r="C25" s="16" t="s">
        <v>120</v>
      </c>
      <c r="D25" s="19" t="s">
        <v>130</v>
      </c>
      <c r="E25" s="17">
        <v>18</v>
      </c>
      <c r="F25" s="15"/>
      <c r="G25" s="15"/>
      <c r="H25" s="20">
        <v>70</v>
      </c>
      <c r="I25" s="18">
        <v>4.2</v>
      </c>
      <c r="J25" s="15">
        <v>25</v>
      </c>
      <c r="K25" s="15">
        <v>0</v>
      </c>
      <c r="L25" s="15"/>
      <c r="M25" s="18"/>
      <c r="N25" s="15"/>
      <c r="O25" s="17">
        <v>3</v>
      </c>
      <c r="AD25" s="15"/>
      <c r="AM25" s="15"/>
      <c r="AS25" s="15"/>
      <c r="AT25" s="15"/>
      <c r="AW25" s="15"/>
      <c r="AY25" s="15"/>
      <c r="AZ25" s="15">
        <v>1</v>
      </c>
      <c r="BM25" s="15"/>
      <c r="BR25" s="15"/>
      <c r="BT25" s="15"/>
      <c r="BU25" s="15"/>
      <c r="BY25" s="15"/>
      <c r="CS25" s="15"/>
      <c r="CT25" s="15"/>
      <c r="CY25" s="15"/>
      <c r="CZ25" s="15"/>
      <c r="DD25" s="15"/>
      <c r="DI25" s="1">
        <f t="shared" si="0"/>
        <v>1</v>
      </c>
      <c r="DJ25" s="1">
        <f t="shared" si="1"/>
        <v>1</v>
      </c>
    </row>
    <row r="26" spans="1:114" ht="15.75" customHeight="1" x14ac:dyDescent="0.3">
      <c r="A26" s="15" t="s">
        <v>119</v>
      </c>
      <c r="B26" s="16" t="s">
        <v>182</v>
      </c>
      <c r="C26" s="16" t="s">
        <v>120</v>
      </c>
      <c r="D26" s="19" t="s">
        <v>131</v>
      </c>
      <c r="E26" s="17">
        <v>21</v>
      </c>
      <c r="F26" s="15"/>
      <c r="G26" s="15"/>
      <c r="H26" s="20">
        <v>70</v>
      </c>
      <c r="I26" s="18">
        <v>4.2</v>
      </c>
      <c r="J26" s="15">
        <v>23</v>
      </c>
      <c r="K26" s="15">
        <v>0</v>
      </c>
      <c r="L26" s="15"/>
      <c r="M26" s="18"/>
      <c r="N26" s="15"/>
      <c r="O26" s="17">
        <v>3</v>
      </c>
      <c r="AD26" s="15"/>
      <c r="AM26" s="15"/>
      <c r="AS26" s="15"/>
      <c r="AT26" s="15"/>
      <c r="AW26" s="15"/>
      <c r="AY26" s="15"/>
      <c r="AZ26" s="15">
        <v>1</v>
      </c>
      <c r="BM26" s="15"/>
      <c r="BR26" s="15"/>
      <c r="BT26" s="15"/>
      <c r="BU26" s="15"/>
      <c r="BY26" s="15"/>
      <c r="CS26" s="15"/>
      <c r="CT26" s="15"/>
      <c r="CY26" s="15"/>
      <c r="CZ26" s="15"/>
      <c r="DD26" s="15"/>
      <c r="DI26" s="1">
        <f t="shared" si="0"/>
        <v>1</v>
      </c>
      <c r="DJ26" s="1">
        <f t="shared" si="1"/>
        <v>1</v>
      </c>
    </row>
    <row r="27" spans="1:114" ht="15.75" customHeight="1" x14ac:dyDescent="0.3">
      <c r="A27" s="15" t="s">
        <v>119</v>
      </c>
      <c r="B27" s="16" t="s">
        <v>182</v>
      </c>
      <c r="C27" s="16" t="s">
        <v>122</v>
      </c>
      <c r="D27" s="15" t="s">
        <v>131</v>
      </c>
      <c r="E27" s="17">
        <v>21</v>
      </c>
      <c r="F27" s="15"/>
      <c r="G27" s="15"/>
      <c r="H27" s="20">
        <v>70</v>
      </c>
      <c r="I27" s="18">
        <v>4.2</v>
      </c>
      <c r="J27" s="15">
        <v>29</v>
      </c>
      <c r="K27" s="15">
        <v>0</v>
      </c>
      <c r="L27" s="15"/>
      <c r="M27" s="18"/>
      <c r="N27" s="15"/>
      <c r="O27" s="17">
        <v>3</v>
      </c>
      <c r="AD27" s="15"/>
      <c r="AM27" s="15"/>
      <c r="AS27" s="15"/>
      <c r="AT27" s="15"/>
      <c r="AW27" s="15"/>
      <c r="AY27" s="15"/>
      <c r="AZ27" s="15">
        <v>1</v>
      </c>
      <c r="BM27" s="15"/>
      <c r="BR27" s="15"/>
      <c r="BT27" s="15"/>
      <c r="BU27" s="15"/>
      <c r="BY27" s="15"/>
      <c r="CS27" s="15"/>
      <c r="CT27" s="15"/>
      <c r="CY27" s="15"/>
      <c r="CZ27" s="15"/>
      <c r="DD27" s="15"/>
      <c r="DI27" s="1">
        <f t="shared" si="0"/>
        <v>1</v>
      </c>
      <c r="DJ27" s="1">
        <f t="shared" si="1"/>
        <v>1</v>
      </c>
    </row>
    <row r="28" spans="1:114" ht="15.75" customHeight="1" x14ac:dyDescent="0.3">
      <c r="A28" s="15" t="s">
        <v>119</v>
      </c>
      <c r="B28" s="16" t="s">
        <v>182</v>
      </c>
      <c r="C28" s="16" t="s">
        <v>122</v>
      </c>
      <c r="D28" s="15" t="s">
        <v>132</v>
      </c>
      <c r="E28" s="17">
        <v>23</v>
      </c>
      <c r="F28" s="15"/>
      <c r="G28" s="15"/>
      <c r="H28" s="20">
        <v>70</v>
      </c>
      <c r="I28" s="18">
        <v>4.2</v>
      </c>
      <c r="J28" s="15">
        <v>23</v>
      </c>
      <c r="K28" s="15">
        <v>0</v>
      </c>
      <c r="L28" s="15"/>
      <c r="M28" s="18"/>
      <c r="N28" s="15"/>
      <c r="O28" s="17">
        <v>3</v>
      </c>
      <c r="AD28" s="15"/>
      <c r="AM28" s="15"/>
      <c r="AS28" s="15"/>
      <c r="AT28" s="15"/>
      <c r="AW28" s="15"/>
      <c r="AY28" s="15"/>
      <c r="AZ28" s="15">
        <v>1</v>
      </c>
      <c r="BM28" s="15"/>
      <c r="BR28" s="15"/>
      <c r="BT28" s="15"/>
      <c r="BU28" s="15"/>
      <c r="BY28" s="15"/>
      <c r="CS28" s="15"/>
      <c r="CT28" s="15"/>
      <c r="CY28" s="15"/>
      <c r="CZ28" s="15"/>
      <c r="DD28" s="15"/>
      <c r="DI28" s="1">
        <f t="shared" si="0"/>
        <v>1</v>
      </c>
      <c r="DJ28" s="1">
        <f t="shared" si="1"/>
        <v>1</v>
      </c>
    </row>
    <row r="29" spans="1:114" ht="15.75" customHeight="1" x14ac:dyDescent="0.3">
      <c r="A29" s="15" t="s">
        <v>119</v>
      </c>
      <c r="B29" s="16" t="s">
        <v>182</v>
      </c>
      <c r="C29" s="16" t="s">
        <v>120</v>
      </c>
      <c r="D29" s="15" t="s">
        <v>133</v>
      </c>
      <c r="E29" s="17">
        <v>27</v>
      </c>
      <c r="F29" s="15"/>
      <c r="G29" s="15"/>
      <c r="H29" s="20">
        <v>70</v>
      </c>
      <c r="I29" s="18">
        <v>4.2</v>
      </c>
      <c r="J29" s="15">
        <v>23</v>
      </c>
      <c r="K29" s="15">
        <v>0</v>
      </c>
      <c r="L29" s="15"/>
      <c r="M29" s="18"/>
      <c r="N29" s="15"/>
      <c r="O29" s="17">
        <v>3</v>
      </c>
      <c r="AD29" s="15"/>
      <c r="AM29" s="15"/>
      <c r="AS29" s="15"/>
      <c r="AT29" s="15"/>
      <c r="AW29" s="15"/>
      <c r="AY29" s="15"/>
      <c r="AZ29" s="15"/>
      <c r="BM29" s="15"/>
      <c r="BR29" s="15"/>
      <c r="BT29" s="15"/>
      <c r="BU29" s="15"/>
      <c r="BY29" s="15"/>
      <c r="CJ29" s="1">
        <v>1</v>
      </c>
      <c r="CS29" s="15"/>
      <c r="CT29" s="15"/>
      <c r="CY29" s="15"/>
      <c r="CZ29" s="15"/>
      <c r="DD29" s="15"/>
      <c r="DI29" s="1">
        <f t="shared" si="0"/>
        <v>1</v>
      </c>
      <c r="DJ29" s="1">
        <f t="shared" si="1"/>
        <v>1</v>
      </c>
    </row>
    <row r="30" spans="1:114" ht="15.75" customHeight="1" x14ac:dyDescent="0.3">
      <c r="A30" s="15" t="s">
        <v>119</v>
      </c>
      <c r="B30" s="16" t="s">
        <v>182</v>
      </c>
      <c r="C30" s="16" t="s">
        <v>122</v>
      </c>
      <c r="D30" s="15" t="s">
        <v>125</v>
      </c>
      <c r="E30" s="17">
        <v>27</v>
      </c>
      <c r="F30" s="15"/>
      <c r="G30" s="15"/>
      <c r="H30" s="15">
        <v>69.17</v>
      </c>
      <c r="I30" s="18">
        <v>4.55</v>
      </c>
      <c r="J30" s="15">
        <v>27.5</v>
      </c>
      <c r="K30" s="15">
        <v>0.56999999999999995</v>
      </c>
      <c r="L30" s="15"/>
      <c r="M30" s="18"/>
      <c r="N30" s="15"/>
      <c r="O30" s="21">
        <v>3</v>
      </c>
      <c r="AD30" s="15"/>
      <c r="AM30" s="15"/>
      <c r="AS30" s="15"/>
      <c r="AT30" s="15"/>
      <c r="AW30" s="15"/>
      <c r="AY30" s="15">
        <v>1</v>
      </c>
      <c r="AZ30" s="15">
        <v>1</v>
      </c>
      <c r="BM30" s="15"/>
      <c r="BR30" s="15"/>
      <c r="BT30" s="15"/>
      <c r="BU30" s="15"/>
      <c r="BY30" s="15">
        <v>1</v>
      </c>
      <c r="CS30" s="15"/>
      <c r="CT30" s="15"/>
      <c r="CY30" s="15"/>
      <c r="CZ30" s="15"/>
      <c r="DD30" s="15"/>
      <c r="DI30" s="1">
        <f t="shared" si="0"/>
        <v>3</v>
      </c>
      <c r="DJ30" s="1">
        <f t="shared" si="1"/>
        <v>3</v>
      </c>
    </row>
    <row r="31" spans="1:114" ht="15.75" customHeight="1" x14ac:dyDescent="0.3">
      <c r="A31" s="15" t="s">
        <v>119</v>
      </c>
      <c r="B31" s="16" t="s">
        <v>182</v>
      </c>
      <c r="C31" s="16" t="s">
        <v>120</v>
      </c>
      <c r="D31" s="15" t="s">
        <v>127</v>
      </c>
      <c r="E31" s="17">
        <v>30</v>
      </c>
      <c r="F31" s="15"/>
      <c r="G31" s="15"/>
      <c r="H31" s="20">
        <v>69</v>
      </c>
      <c r="I31" s="18">
        <v>4.55</v>
      </c>
      <c r="J31" s="15">
        <v>21</v>
      </c>
      <c r="K31" s="15">
        <v>0</v>
      </c>
      <c r="L31" s="15"/>
      <c r="M31" s="18"/>
      <c r="N31" s="15"/>
      <c r="O31" s="21">
        <v>3</v>
      </c>
      <c r="AD31" s="15"/>
      <c r="AM31" s="15"/>
      <c r="AS31" s="15"/>
      <c r="AT31" s="15"/>
      <c r="AW31" s="15"/>
      <c r="AY31" s="15"/>
      <c r="AZ31" s="15">
        <v>1</v>
      </c>
      <c r="BM31" s="15"/>
      <c r="BR31" s="15"/>
      <c r="BT31" s="15"/>
      <c r="BU31" s="15"/>
      <c r="BY31" s="15"/>
      <c r="CS31" s="15"/>
      <c r="CT31" s="15"/>
      <c r="CY31" s="15"/>
      <c r="CZ31" s="15"/>
      <c r="DD31" s="15"/>
      <c r="DI31" s="1">
        <f t="shared" si="0"/>
        <v>1</v>
      </c>
      <c r="DJ31" s="1">
        <f t="shared" si="1"/>
        <v>1</v>
      </c>
    </row>
    <row r="32" spans="1:114" ht="15.75" customHeight="1" x14ac:dyDescent="0.3">
      <c r="A32" s="15"/>
      <c r="B32" s="16"/>
      <c r="C32" s="16"/>
      <c r="D32" s="15"/>
      <c r="E32" s="17"/>
      <c r="F32" s="15"/>
      <c r="G32" s="15"/>
      <c r="H32" s="15"/>
      <c r="I32" s="18"/>
      <c r="J32" s="15"/>
      <c r="K32" s="15"/>
      <c r="L32" s="15"/>
      <c r="M32" s="18"/>
      <c r="N32" s="15"/>
      <c r="O32" s="17"/>
      <c r="AD32" s="15"/>
      <c r="AM32" s="15"/>
      <c r="AS32" s="15"/>
      <c r="AT32" s="15"/>
      <c r="AW32" s="15"/>
      <c r="AY32" s="15"/>
      <c r="AZ32" s="15"/>
      <c r="BM32" s="15"/>
      <c r="BR32" s="15"/>
      <c r="BT32" s="15"/>
      <c r="BU32" s="15"/>
      <c r="BY32" s="15"/>
      <c r="CS32" s="15"/>
      <c r="CT32" s="15"/>
      <c r="CY32" s="15"/>
      <c r="CZ32" s="15"/>
      <c r="DD32" s="15"/>
      <c r="DI32" s="1">
        <f t="shared" si="0"/>
        <v>0</v>
      </c>
      <c r="DJ32" s="1">
        <f t="shared" si="1"/>
        <v>0</v>
      </c>
    </row>
    <row r="33" spans="1:114" ht="15.75" customHeight="1" x14ac:dyDescent="0.3">
      <c r="A33" s="15" t="s">
        <v>134</v>
      </c>
      <c r="B33" s="16" t="s">
        <v>176</v>
      </c>
      <c r="C33" s="16" t="s">
        <v>120</v>
      </c>
      <c r="D33" s="15" t="s">
        <v>135</v>
      </c>
      <c r="E33" s="17">
        <v>48</v>
      </c>
      <c r="F33" s="15"/>
      <c r="G33" s="15"/>
      <c r="H33" s="15">
        <v>79</v>
      </c>
      <c r="I33" s="18">
        <v>0.309</v>
      </c>
      <c r="J33" s="15">
        <v>23.3</v>
      </c>
      <c r="K33" s="15">
        <v>0.5</v>
      </c>
      <c r="L33" s="15"/>
      <c r="M33" s="18"/>
      <c r="N33" s="15">
        <v>76.67</v>
      </c>
      <c r="O33" s="17">
        <v>4</v>
      </c>
      <c r="AD33" s="15">
        <v>1</v>
      </c>
      <c r="AE33" s="22">
        <v>1</v>
      </c>
      <c r="AM33" s="15"/>
      <c r="AS33" s="15"/>
      <c r="AT33" s="15"/>
      <c r="AW33" s="15">
        <v>1</v>
      </c>
      <c r="AY33" s="15"/>
      <c r="AZ33" s="15"/>
      <c r="BM33" s="15"/>
      <c r="BR33" s="15"/>
      <c r="BT33" s="15">
        <v>1</v>
      </c>
      <c r="BU33" s="15">
        <v>1</v>
      </c>
      <c r="BW33" s="22">
        <v>1</v>
      </c>
      <c r="BY33" s="15"/>
      <c r="CS33" s="15">
        <v>1</v>
      </c>
      <c r="CT33" s="15"/>
      <c r="CY33" s="15"/>
      <c r="CZ33" s="15"/>
      <c r="DA33" s="22">
        <v>1</v>
      </c>
      <c r="DD33" s="15">
        <v>1</v>
      </c>
      <c r="DF33" s="22">
        <v>1</v>
      </c>
      <c r="DI33" s="1">
        <f t="shared" si="0"/>
        <v>10</v>
      </c>
      <c r="DJ33" s="1">
        <f t="shared" si="1"/>
        <v>10</v>
      </c>
    </row>
    <row r="34" spans="1:114" ht="15.75" customHeight="1" x14ac:dyDescent="0.3">
      <c r="A34" s="15" t="s">
        <v>134</v>
      </c>
      <c r="B34" s="16" t="s">
        <v>176</v>
      </c>
      <c r="C34" s="16" t="s">
        <v>122</v>
      </c>
      <c r="D34" s="15" t="s">
        <v>135</v>
      </c>
      <c r="E34" s="17">
        <v>48</v>
      </c>
      <c r="F34" s="15"/>
      <c r="G34" s="15"/>
      <c r="H34" s="15">
        <v>80</v>
      </c>
      <c r="I34" s="18">
        <v>0.32</v>
      </c>
      <c r="J34" s="15">
        <v>24</v>
      </c>
      <c r="K34" s="15">
        <v>0</v>
      </c>
      <c r="L34" s="15"/>
      <c r="M34" s="18"/>
      <c r="N34" s="15">
        <v>76.67</v>
      </c>
      <c r="O34" s="17">
        <v>4</v>
      </c>
      <c r="AD34" s="15">
        <v>1</v>
      </c>
      <c r="AM34" s="15"/>
      <c r="AS34" s="15"/>
      <c r="AT34" s="15"/>
      <c r="AV34" s="22">
        <v>1</v>
      </c>
      <c r="AW34" s="15">
        <v>1</v>
      </c>
      <c r="AY34" s="15"/>
      <c r="AZ34" s="15"/>
      <c r="BD34" s="1">
        <v>1</v>
      </c>
      <c r="BK34" s="22">
        <v>1</v>
      </c>
      <c r="BL34" s="22"/>
      <c r="BM34" s="15"/>
      <c r="BR34" s="15"/>
      <c r="BT34" s="15"/>
      <c r="BU34" s="15"/>
      <c r="BY34" s="15"/>
      <c r="CI34" s="1">
        <v>1</v>
      </c>
      <c r="CS34" s="15">
        <v>1</v>
      </c>
      <c r="CT34" s="15"/>
      <c r="CY34" s="15"/>
      <c r="CZ34" s="15"/>
      <c r="DD34" s="15"/>
      <c r="DI34" s="1">
        <f t="shared" si="0"/>
        <v>7</v>
      </c>
      <c r="DJ34" s="1">
        <f t="shared" si="1"/>
        <v>7</v>
      </c>
    </row>
    <row r="35" spans="1:114" ht="15.75" customHeight="1" x14ac:dyDescent="0.3">
      <c r="A35" s="15" t="s">
        <v>134</v>
      </c>
      <c r="B35" s="16" t="s">
        <v>177</v>
      </c>
      <c r="C35" s="16" t="s">
        <v>120</v>
      </c>
      <c r="D35" s="15" t="s">
        <v>135</v>
      </c>
      <c r="E35" s="17">
        <v>48</v>
      </c>
      <c r="F35" s="15"/>
      <c r="G35" s="15"/>
      <c r="H35" s="15">
        <v>80</v>
      </c>
      <c r="I35" s="18">
        <v>1.85</v>
      </c>
      <c r="J35" s="15">
        <v>25.3</v>
      </c>
      <c r="K35" s="15">
        <v>0.8</v>
      </c>
      <c r="L35" s="15"/>
      <c r="M35" s="18"/>
      <c r="N35" s="15">
        <v>93.33</v>
      </c>
      <c r="O35" s="17">
        <v>3</v>
      </c>
      <c r="AD35" s="15">
        <v>1</v>
      </c>
      <c r="AJ35" s="4">
        <v>1</v>
      </c>
      <c r="AM35" s="15"/>
      <c r="AO35" s="22">
        <v>1</v>
      </c>
      <c r="AS35" s="15"/>
      <c r="AT35" s="15"/>
      <c r="AW35" s="15"/>
      <c r="AY35" s="15"/>
      <c r="AZ35" s="15">
        <v>1</v>
      </c>
      <c r="BM35" s="15">
        <v>1</v>
      </c>
      <c r="BR35" s="15">
        <v>2</v>
      </c>
      <c r="BT35" s="15"/>
      <c r="BU35" s="15">
        <v>3</v>
      </c>
      <c r="BY35" s="15">
        <v>1</v>
      </c>
      <c r="CB35" s="1">
        <v>1</v>
      </c>
      <c r="CN35" s="4">
        <v>1</v>
      </c>
      <c r="CS35" s="15"/>
      <c r="CT35" s="15"/>
      <c r="CU35" s="22">
        <v>1</v>
      </c>
      <c r="CY35" s="15"/>
      <c r="CZ35" s="15"/>
      <c r="DB35" s="22">
        <v>1</v>
      </c>
      <c r="DC35" s="22">
        <v>1</v>
      </c>
      <c r="DD35" s="15"/>
      <c r="DE35" s="22">
        <v>1</v>
      </c>
      <c r="DI35" s="1">
        <f t="shared" si="0"/>
        <v>14</v>
      </c>
      <c r="DJ35" s="1">
        <f t="shared" si="1"/>
        <v>17</v>
      </c>
    </row>
    <row r="36" spans="1:114" ht="15.75" customHeight="1" x14ac:dyDescent="0.3">
      <c r="A36" s="15" t="s">
        <v>134</v>
      </c>
      <c r="B36" s="23" t="s">
        <v>177</v>
      </c>
      <c r="C36" s="23" t="s">
        <v>122</v>
      </c>
      <c r="D36" s="15" t="s">
        <v>135</v>
      </c>
      <c r="E36" s="17">
        <v>48</v>
      </c>
      <c r="F36" s="15"/>
      <c r="G36" s="15"/>
      <c r="H36" s="15">
        <v>58</v>
      </c>
      <c r="I36" s="18">
        <v>0.27</v>
      </c>
      <c r="J36" s="15">
        <v>26.8</v>
      </c>
      <c r="K36" s="15">
        <v>0.5</v>
      </c>
      <c r="L36" s="15"/>
      <c r="M36" s="18"/>
      <c r="N36" s="15">
        <v>88.87</v>
      </c>
      <c r="O36" s="17">
        <v>3</v>
      </c>
      <c r="AD36" s="22">
        <v>1</v>
      </c>
      <c r="AM36" s="15"/>
      <c r="AR36" s="22">
        <v>1</v>
      </c>
      <c r="AS36" s="15"/>
      <c r="AT36" s="15"/>
      <c r="AW36" s="15"/>
      <c r="AY36" s="15">
        <v>1</v>
      </c>
      <c r="AZ36" s="15"/>
      <c r="BT36" s="15"/>
      <c r="BU36" s="15"/>
      <c r="BY36" s="15"/>
      <c r="CS36" s="15"/>
      <c r="CT36" s="15"/>
      <c r="CU36" s="22">
        <v>1</v>
      </c>
      <c r="CY36" s="15">
        <v>1</v>
      </c>
      <c r="CZ36" s="15"/>
      <c r="DD36" s="15"/>
      <c r="DI36" s="1">
        <f t="shared" si="0"/>
        <v>5</v>
      </c>
      <c r="DJ36" s="1">
        <f t="shared" si="1"/>
        <v>5</v>
      </c>
    </row>
    <row r="37" spans="1:114" ht="15.75" customHeight="1" x14ac:dyDescent="0.3">
      <c r="A37" s="15" t="s">
        <v>134</v>
      </c>
      <c r="B37" s="23" t="s">
        <v>179</v>
      </c>
      <c r="C37" s="23" t="s">
        <v>120</v>
      </c>
      <c r="D37" s="15" t="s">
        <v>136</v>
      </c>
      <c r="E37" s="17">
        <v>46</v>
      </c>
      <c r="F37" s="15"/>
      <c r="G37" s="15"/>
      <c r="H37" s="20">
        <v>77</v>
      </c>
      <c r="I37" s="18">
        <v>0.28999999999999998</v>
      </c>
      <c r="J37" s="15">
        <v>22</v>
      </c>
      <c r="K37" s="15">
        <v>0</v>
      </c>
      <c r="L37" s="15"/>
      <c r="M37" s="18"/>
      <c r="N37" s="15">
        <v>88.87</v>
      </c>
      <c r="O37" s="17">
        <v>5</v>
      </c>
      <c r="AD37" s="22"/>
      <c r="AM37" s="15"/>
      <c r="AQ37" s="1">
        <v>1</v>
      </c>
      <c r="AR37" s="22"/>
      <c r="AS37" s="15"/>
      <c r="AT37" s="15"/>
      <c r="AW37" s="15"/>
      <c r="AY37" s="15"/>
      <c r="AZ37" s="15"/>
      <c r="BT37" s="15"/>
      <c r="BU37" s="15"/>
      <c r="BY37" s="15"/>
      <c r="CJ37" s="1">
        <v>1</v>
      </c>
      <c r="CS37" s="15"/>
      <c r="CT37" s="15"/>
      <c r="CU37" s="22"/>
      <c r="CY37" s="15"/>
      <c r="CZ37" s="15"/>
      <c r="DD37" s="15"/>
      <c r="DI37" s="1">
        <f t="shared" si="0"/>
        <v>2</v>
      </c>
      <c r="DJ37" s="1">
        <f t="shared" si="1"/>
        <v>2</v>
      </c>
    </row>
    <row r="38" spans="1:114" ht="15.75" customHeight="1" x14ac:dyDescent="0.3">
      <c r="A38" s="15" t="s">
        <v>134</v>
      </c>
      <c r="B38" s="23" t="s">
        <v>179</v>
      </c>
      <c r="C38" s="23" t="s">
        <v>120</v>
      </c>
      <c r="D38" s="15" t="s">
        <v>135</v>
      </c>
      <c r="E38" s="17">
        <v>48</v>
      </c>
      <c r="F38" s="15"/>
      <c r="G38" s="15"/>
      <c r="H38" s="15">
        <v>77</v>
      </c>
      <c r="I38" s="18">
        <v>0.28999999999999998</v>
      </c>
      <c r="J38" s="15">
        <v>25.9</v>
      </c>
      <c r="K38" s="15">
        <v>0</v>
      </c>
      <c r="L38" s="15"/>
      <c r="M38" s="18"/>
      <c r="N38" s="15">
        <v>98.33</v>
      </c>
      <c r="O38" s="17">
        <v>5</v>
      </c>
      <c r="Y38" s="22">
        <v>1</v>
      </c>
      <c r="AD38" s="15"/>
      <c r="AM38" s="15"/>
      <c r="AS38" s="15"/>
      <c r="AT38" s="15"/>
      <c r="AW38" s="15"/>
      <c r="AY38" s="22">
        <v>1</v>
      </c>
      <c r="AZ38" s="15">
        <v>1</v>
      </c>
      <c r="BG38" s="22">
        <v>1</v>
      </c>
      <c r="BH38" s="22">
        <v>1</v>
      </c>
      <c r="BM38" s="15"/>
      <c r="BR38" s="15">
        <v>1</v>
      </c>
      <c r="BT38" s="15">
        <v>1</v>
      </c>
      <c r="BU38" s="22">
        <v>1</v>
      </c>
      <c r="BY38" s="15">
        <v>1</v>
      </c>
      <c r="CO38" s="22">
        <v>1</v>
      </c>
      <c r="CS38" s="15"/>
      <c r="CT38" s="15"/>
      <c r="CY38" s="15"/>
      <c r="CZ38" s="15"/>
      <c r="DA38" s="22">
        <v>1</v>
      </c>
      <c r="DD38" s="15"/>
      <c r="DG38" s="22">
        <v>1</v>
      </c>
      <c r="DI38" s="1">
        <f t="shared" si="0"/>
        <v>12</v>
      </c>
      <c r="DJ38" s="1">
        <f t="shared" si="1"/>
        <v>12</v>
      </c>
    </row>
    <row r="39" spans="1:114" ht="15.75" customHeight="1" x14ac:dyDescent="0.3">
      <c r="A39" s="15" t="s">
        <v>134</v>
      </c>
      <c r="B39" s="23" t="s">
        <v>179</v>
      </c>
      <c r="C39" s="23" t="s">
        <v>122</v>
      </c>
      <c r="D39" s="15" t="s">
        <v>135</v>
      </c>
      <c r="E39" s="17">
        <v>48</v>
      </c>
      <c r="F39" s="15"/>
      <c r="G39" s="15"/>
      <c r="H39" s="15">
        <v>55</v>
      </c>
      <c r="I39" s="18">
        <v>4.9000000000000002E-2</v>
      </c>
      <c r="J39" s="15">
        <v>27.2</v>
      </c>
      <c r="K39" s="15">
        <v>0</v>
      </c>
      <c r="L39" s="15"/>
      <c r="M39" s="18"/>
      <c r="N39" s="15">
        <v>84.47</v>
      </c>
      <c r="O39" s="17">
        <v>5</v>
      </c>
      <c r="AD39" s="15"/>
      <c r="AE39" s="1">
        <v>1</v>
      </c>
      <c r="AM39" s="15"/>
      <c r="AS39" s="15"/>
      <c r="AT39" s="15"/>
      <c r="AW39" s="15"/>
      <c r="AY39" s="15"/>
      <c r="AZ39" s="15"/>
      <c r="BA39" s="22">
        <v>1</v>
      </c>
      <c r="BB39" s="22">
        <v>1</v>
      </c>
      <c r="BM39" s="15"/>
      <c r="BR39" s="15"/>
      <c r="BT39" s="15"/>
      <c r="BU39" s="15"/>
      <c r="BY39" s="15"/>
      <c r="CS39" s="15"/>
      <c r="CT39" s="15"/>
      <c r="CY39" s="15"/>
      <c r="CZ39" s="15"/>
      <c r="DD39" s="15"/>
      <c r="DI39" s="1">
        <f t="shared" si="0"/>
        <v>3</v>
      </c>
      <c r="DJ39" s="1">
        <f t="shared" si="1"/>
        <v>3</v>
      </c>
    </row>
    <row r="40" spans="1:114" ht="15.75" customHeight="1" x14ac:dyDescent="0.3">
      <c r="A40" s="15" t="s">
        <v>134</v>
      </c>
      <c r="B40" s="23" t="s">
        <v>180</v>
      </c>
      <c r="C40" s="23" t="s">
        <v>120</v>
      </c>
      <c r="D40" s="15" t="s">
        <v>135</v>
      </c>
      <c r="E40" s="17">
        <v>48</v>
      </c>
      <c r="F40" s="15"/>
      <c r="G40" s="15"/>
      <c r="H40" s="15">
        <v>76</v>
      </c>
      <c r="I40" s="18">
        <v>0.30399999999999999</v>
      </c>
      <c r="J40" s="15">
        <v>24.9</v>
      </c>
      <c r="K40" s="15">
        <v>2</v>
      </c>
      <c r="L40" s="15"/>
      <c r="M40" s="18"/>
      <c r="N40" s="15">
        <v>100</v>
      </c>
      <c r="O40" s="17">
        <v>5</v>
      </c>
      <c r="AD40" s="15"/>
      <c r="AM40" s="15"/>
      <c r="AS40" s="15"/>
      <c r="AT40" s="15"/>
      <c r="AW40" s="15"/>
      <c r="AY40" s="15"/>
      <c r="AZ40" s="15"/>
      <c r="BM40" s="15"/>
      <c r="BR40" s="15"/>
      <c r="BT40" s="15"/>
      <c r="BU40" s="15"/>
      <c r="BY40" s="15"/>
      <c r="CS40" s="15"/>
      <c r="CT40" s="15"/>
      <c r="CY40" s="15"/>
      <c r="CZ40" s="15"/>
      <c r="DD40" s="15"/>
      <c r="DI40" s="1">
        <f t="shared" si="0"/>
        <v>0</v>
      </c>
      <c r="DJ40" s="1">
        <f t="shared" si="1"/>
        <v>0</v>
      </c>
    </row>
    <row r="41" spans="1:114" ht="15.75" customHeight="1" x14ac:dyDescent="0.3">
      <c r="A41" s="15" t="s">
        <v>134</v>
      </c>
      <c r="B41" s="23" t="s">
        <v>180</v>
      </c>
      <c r="C41" s="23" t="s">
        <v>122</v>
      </c>
      <c r="D41" s="15" t="s">
        <v>135</v>
      </c>
      <c r="E41" s="17">
        <v>48</v>
      </c>
      <c r="F41" s="15"/>
      <c r="G41" s="15"/>
      <c r="H41" s="15">
        <v>47</v>
      </c>
      <c r="I41" s="18">
        <v>0.13600000000000001</v>
      </c>
      <c r="J41" s="15">
        <v>29.3</v>
      </c>
      <c r="K41" s="15">
        <v>0.7</v>
      </c>
      <c r="L41" s="15"/>
      <c r="M41" s="18"/>
      <c r="N41" s="15">
        <v>100</v>
      </c>
      <c r="O41" s="17">
        <v>5</v>
      </c>
      <c r="Y41" s="4"/>
      <c r="AD41" s="15"/>
      <c r="AE41" s="4"/>
      <c r="AJ41" s="4"/>
      <c r="AM41" s="15"/>
      <c r="AO41" s="4"/>
      <c r="AR41" s="4"/>
      <c r="AS41" s="15"/>
      <c r="AT41" s="15"/>
      <c r="AV41" s="4"/>
      <c r="AW41" s="15"/>
      <c r="AY41" s="15"/>
      <c r="AZ41" s="15">
        <v>2</v>
      </c>
      <c r="BA41" s="4"/>
      <c r="BB41" s="4"/>
      <c r="BG41" s="4"/>
      <c r="BH41" s="4"/>
      <c r="BK41" s="4"/>
      <c r="BL41" s="4"/>
      <c r="BM41" s="15"/>
      <c r="BR41" s="15"/>
      <c r="BT41" s="15"/>
      <c r="BU41" s="15"/>
      <c r="BW41" s="4"/>
      <c r="BY41" s="15">
        <v>1</v>
      </c>
      <c r="CN41" s="4"/>
      <c r="CO41" s="4"/>
      <c r="CS41" s="15"/>
      <c r="CT41" s="15"/>
      <c r="CU41" s="4"/>
      <c r="CY41" s="15"/>
      <c r="CZ41" s="15"/>
      <c r="DA41" s="4"/>
      <c r="DB41" s="4"/>
      <c r="DC41" s="4"/>
      <c r="DD41" s="15"/>
      <c r="DE41" s="4"/>
      <c r="DF41" s="4"/>
      <c r="DG41" s="4"/>
      <c r="DI41" s="1">
        <f t="shared" si="0"/>
        <v>2</v>
      </c>
      <c r="DJ41" s="1">
        <f t="shared" si="1"/>
        <v>3</v>
      </c>
    </row>
    <row r="42" spans="1:114" ht="15.75" customHeight="1" x14ac:dyDescent="0.3">
      <c r="A42" s="15" t="s">
        <v>134</v>
      </c>
      <c r="B42" s="23" t="s">
        <v>181</v>
      </c>
      <c r="C42" s="23" t="s">
        <v>120</v>
      </c>
      <c r="D42" s="15" t="s">
        <v>137</v>
      </c>
      <c r="E42" s="24">
        <v>52</v>
      </c>
      <c r="F42" s="15"/>
      <c r="G42" s="15"/>
      <c r="H42" s="20">
        <v>63</v>
      </c>
      <c r="I42" s="18">
        <v>0.08</v>
      </c>
      <c r="J42" s="15">
        <v>21</v>
      </c>
      <c r="K42" s="15">
        <v>0</v>
      </c>
      <c r="L42" s="15"/>
      <c r="M42" s="18"/>
      <c r="N42" s="15">
        <v>100</v>
      </c>
      <c r="O42" s="17">
        <v>3</v>
      </c>
      <c r="Y42" s="4"/>
      <c r="AD42" s="15"/>
      <c r="AE42" s="4"/>
      <c r="AJ42" s="4"/>
      <c r="AM42" s="15"/>
      <c r="AO42" s="4"/>
      <c r="AR42" s="4"/>
      <c r="AS42" s="15"/>
      <c r="AT42" s="15"/>
      <c r="AV42" s="4"/>
      <c r="AW42" s="15"/>
      <c r="AY42" s="15"/>
      <c r="AZ42" s="15"/>
      <c r="BA42" s="4"/>
      <c r="BB42" s="4"/>
      <c r="BG42" s="4"/>
      <c r="BH42" s="4"/>
      <c r="BK42" s="4"/>
      <c r="BL42" s="4"/>
      <c r="BM42" s="15"/>
      <c r="BR42" s="15"/>
      <c r="BT42" s="15"/>
      <c r="BU42" s="15">
        <v>1</v>
      </c>
      <c r="BW42" s="4"/>
      <c r="BY42" s="15"/>
      <c r="CN42" s="4"/>
      <c r="CO42" s="4"/>
      <c r="CS42" s="15"/>
      <c r="CT42" s="15"/>
      <c r="CU42" s="4"/>
      <c r="CY42" s="15"/>
      <c r="CZ42" s="15"/>
      <c r="DA42" s="4"/>
      <c r="DB42" s="4"/>
      <c r="DC42" s="4"/>
      <c r="DD42" s="15"/>
      <c r="DE42" s="4"/>
      <c r="DF42" s="4"/>
      <c r="DG42" s="4"/>
      <c r="DI42" s="1">
        <f t="shared" si="0"/>
        <v>1</v>
      </c>
      <c r="DJ42" s="1">
        <f t="shared" si="1"/>
        <v>1</v>
      </c>
    </row>
    <row r="43" spans="1:114" ht="15.75" customHeight="1" x14ac:dyDescent="0.3">
      <c r="A43" s="15" t="s">
        <v>138</v>
      </c>
      <c r="B43" s="23" t="s">
        <v>181</v>
      </c>
      <c r="C43" s="23" t="s">
        <v>139</v>
      </c>
      <c r="D43" s="25" t="s">
        <v>135</v>
      </c>
      <c r="E43" s="17">
        <v>48</v>
      </c>
      <c r="F43" s="15"/>
      <c r="G43" s="15"/>
      <c r="H43" s="15">
        <v>63</v>
      </c>
      <c r="I43" s="18">
        <v>6.6900000000000001E-2</v>
      </c>
      <c r="J43" s="15">
        <v>33.700000000000003</v>
      </c>
      <c r="K43" s="15">
        <v>2.4</v>
      </c>
      <c r="L43" s="15"/>
      <c r="M43" s="18"/>
      <c r="N43" s="15">
        <v>100</v>
      </c>
      <c r="O43" s="17">
        <v>3</v>
      </c>
      <c r="AD43" s="15"/>
      <c r="AM43" s="15"/>
      <c r="AS43" s="15"/>
      <c r="AT43" s="15"/>
      <c r="AW43" s="15"/>
      <c r="AY43" s="15">
        <v>1</v>
      </c>
      <c r="AZ43" s="15">
        <v>1</v>
      </c>
      <c r="BA43" s="1">
        <v>1</v>
      </c>
      <c r="BM43" s="15"/>
      <c r="BR43" s="15"/>
      <c r="BT43" s="15"/>
      <c r="BU43" s="15"/>
      <c r="BY43" s="15">
        <v>1</v>
      </c>
      <c r="CS43" s="15"/>
      <c r="CT43" s="15"/>
      <c r="CY43" s="15"/>
      <c r="CZ43" s="15"/>
      <c r="DD43" s="15"/>
      <c r="DI43" s="1">
        <f t="shared" si="0"/>
        <v>4</v>
      </c>
      <c r="DJ43" s="1">
        <f t="shared" si="1"/>
        <v>4</v>
      </c>
    </row>
    <row r="44" spans="1:114" ht="15.75" customHeight="1" x14ac:dyDescent="0.3">
      <c r="A44" s="15" t="s">
        <v>134</v>
      </c>
      <c r="B44" s="23" t="s">
        <v>181</v>
      </c>
      <c r="C44" s="23" t="s">
        <v>140</v>
      </c>
      <c r="D44" s="25" t="s">
        <v>135</v>
      </c>
      <c r="E44" s="17">
        <v>48</v>
      </c>
      <c r="F44" s="15"/>
      <c r="G44" s="15"/>
      <c r="H44" s="15">
        <v>44</v>
      </c>
      <c r="I44" s="18">
        <v>21.4</v>
      </c>
      <c r="J44" s="15">
        <v>34.4</v>
      </c>
      <c r="K44" s="15">
        <v>2</v>
      </c>
      <c r="L44" s="15"/>
      <c r="M44" s="18"/>
      <c r="N44" s="15">
        <v>100</v>
      </c>
      <c r="O44" s="17">
        <v>3</v>
      </c>
      <c r="AA44" s="1">
        <v>1</v>
      </c>
      <c r="AD44" s="15"/>
      <c r="AM44" s="15"/>
      <c r="AS44" s="15"/>
      <c r="AT44" s="15"/>
      <c r="AW44" s="15"/>
      <c r="AY44" s="15"/>
      <c r="AZ44" s="15">
        <v>1</v>
      </c>
      <c r="BB44" s="1">
        <v>1</v>
      </c>
      <c r="BM44" s="15"/>
      <c r="BP44" s="1">
        <v>1</v>
      </c>
      <c r="BR44" s="15"/>
      <c r="BT44" s="15"/>
      <c r="BU44" s="15"/>
      <c r="BY44" s="15"/>
      <c r="CS44" s="15"/>
      <c r="CT44" s="15"/>
      <c r="CY44" s="15"/>
      <c r="CZ44" s="15"/>
      <c r="DD44" s="15"/>
      <c r="DI44" s="1">
        <f t="shared" si="0"/>
        <v>4</v>
      </c>
      <c r="DJ44" s="1">
        <f t="shared" si="1"/>
        <v>4</v>
      </c>
    </row>
    <row r="45" spans="1:114" ht="15.75" customHeight="1" x14ac:dyDescent="0.3">
      <c r="A45" s="15" t="s">
        <v>134</v>
      </c>
      <c r="B45" s="23" t="s">
        <v>182</v>
      </c>
      <c r="C45" s="23" t="s">
        <v>139</v>
      </c>
      <c r="D45" s="25" t="s">
        <v>135</v>
      </c>
      <c r="E45" s="17">
        <v>48</v>
      </c>
      <c r="F45" s="15"/>
      <c r="G45" s="15"/>
      <c r="H45" s="15">
        <v>57</v>
      </c>
      <c r="I45" s="18">
        <v>32.799999999999997</v>
      </c>
      <c r="J45" s="15">
        <v>30.4</v>
      </c>
      <c r="K45" s="15">
        <v>3.9</v>
      </c>
      <c r="L45" s="15"/>
      <c r="M45" s="18"/>
      <c r="N45" s="15">
        <v>100</v>
      </c>
      <c r="O45" s="17">
        <v>3</v>
      </c>
      <c r="AD45" s="15"/>
      <c r="AM45" s="15"/>
      <c r="AS45" s="15"/>
      <c r="AT45" s="15"/>
      <c r="AW45" s="15"/>
      <c r="AY45" s="15"/>
      <c r="AZ45" s="15"/>
      <c r="BM45" s="15"/>
      <c r="BP45" s="1">
        <v>1</v>
      </c>
      <c r="BR45" s="15"/>
      <c r="BT45" s="15"/>
      <c r="BU45" s="15"/>
      <c r="BY45" s="15"/>
      <c r="CS45" s="15"/>
      <c r="CT45" s="15"/>
      <c r="CY45" s="15"/>
      <c r="CZ45" s="15"/>
      <c r="DD45" s="15"/>
      <c r="DI45" s="1">
        <f t="shared" si="0"/>
        <v>1</v>
      </c>
      <c r="DJ45" s="1">
        <f t="shared" si="1"/>
        <v>1</v>
      </c>
    </row>
    <row r="46" spans="1:114" ht="15.75" customHeight="1" x14ac:dyDescent="0.3">
      <c r="A46" s="15" t="s">
        <v>134</v>
      </c>
      <c r="B46" s="15" t="s">
        <v>182</v>
      </c>
      <c r="C46" s="15" t="s">
        <v>122</v>
      </c>
      <c r="D46" s="25" t="s">
        <v>135</v>
      </c>
      <c r="E46" s="17">
        <v>48</v>
      </c>
      <c r="F46" s="15"/>
      <c r="G46" s="15"/>
      <c r="H46" s="15">
        <v>28</v>
      </c>
      <c r="I46" s="18">
        <v>31.5</v>
      </c>
      <c r="J46" s="15">
        <v>43.8</v>
      </c>
      <c r="K46" s="15">
        <v>1.1000000000000001</v>
      </c>
      <c r="L46" s="15"/>
      <c r="M46" s="18"/>
      <c r="N46" s="15">
        <v>100</v>
      </c>
      <c r="O46" s="17">
        <v>3</v>
      </c>
      <c r="W46" s="1">
        <v>1</v>
      </c>
      <c r="AD46" s="15"/>
      <c r="AM46" s="15"/>
      <c r="AS46" s="15"/>
      <c r="AT46" s="15"/>
      <c r="AW46" s="15"/>
      <c r="AY46" s="15"/>
      <c r="AZ46" s="15"/>
      <c r="BM46" s="15"/>
      <c r="BR46" s="15"/>
      <c r="BT46" s="15"/>
      <c r="BU46" s="15"/>
      <c r="BY46" s="15">
        <v>1</v>
      </c>
      <c r="CS46" s="15"/>
      <c r="CT46" s="15"/>
      <c r="CY46" s="15"/>
      <c r="CZ46" s="15"/>
      <c r="DD46" s="15"/>
      <c r="DI46" s="1">
        <f t="shared" si="0"/>
        <v>2</v>
      </c>
      <c r="DJ46" s="1">
        <f t="shared" si="1"/>
        <v>2</v>
      </c>
    </row>
    <row r="47" spans="1:114" ht="15.75" customHeight="1" x14ac:dyDescent="0.3">
      <c r="A47" s="15"/>
      <c r="B47" s="16"/>
      <c r="C47" s="16"/>
      <c r="D47" s="15"/>
      <c r="E47" s="17"/>
      <c r="F47" s="15"/>
      <c r="G47" s="15"/>
      <c r="H47" s="15"/>
      <c r="I47" s="18"/>
      <c r="J47" s="15"/>
      <c r="K47" s="15"/>
      <c r="L47" s="15"/>
      <c r="M47" s="18"/>
      <c r="N47" s="15"/>
      <c r="O47" s="17"/>
      <c r="AD47" s="15"/>
      <c r="AM47" s="15"/>
      <c r="AS47" s="15"/>
      <c r="AT47" s="15"/>
      <c r="AW47" s="15"/>
      <c r="AY47" s="15"/>
      <c r="AZ47" s="15"/>
      <c r="BM47" s="15"/>
      <c r="BR47" s="15"/>
      <c r="BT47" s="15"/>
      <c r="BU47" s="15"/>
      <c r="BY47" s="15"/>
      <c r="CS47" s="15"/>
      <c r="CT47" s="15"/>
      <c r="CY47" s="15"/>
      <c r="CZ47" s="15"/>
      <c r="DD47" s="15"/>
      <c r="DI47" s="1">
        <f t="shared" si="0"/>
        <v>0</v>
      </c>
      <c r="DJ47" s="1">
        <f t="shared" si="1"/>
        <v>0</v>
      </c>
    </row>
    <row r="48" spans="1:114" ht="15.75" customHeight="1" x14ac:dyDescent="0.3">
      <c r="A48" s="15" t="s">
        <v>141</v>
      </c>
      <c r="B48" s="26" t="s">
        <v>176</v>
      </c>
      <c r="C48" s="26" t="s">
        <v>120</v>
      </c>
      <c r="D48" s="27" t="s">
        <v>142</v>
      </c>
      <c r="E48" s="28">
        <v>83</v>
      </c>
      <c r="F48" s="15"/>
      <c r="G48" s="15"/>
      <c r="H48" s="30">
        <v>95</v>
      </c>
      <c r="I48" s="29">
        <v>0.59</v>
      </c>
      <c r="J48" s="30">
        <v>23.4</v>
      </c>
      <c r="K48" s="30">
        <v>0</v>
      </c>
      <c r="L48" s="15"/>
      <c r="M48" s="31">
        <v>400</v>
      </c>
      <c r="N48" s="15">
        <v>70</v>
      </c>
      <c r="O48" s="21">
        <v>4</v>
      </c>
      <c r="AD48" s="15">
        <v>1</v>
      </c>
      <c r="AE48" s="1">
        <v>1</v>
      </c>
      <c r="AM48" s="15"/>
      <c r="AS48" s="15">
        <v>5</v>
      </c>
      <c r="AT48" s="15"/>
      <c r="AW48" s="15"/>
      <c r="AY48" s="15">
        <v>1</v>
      </c>
      <c r="AZ48" s="15"/>
      <c r="BM48" s="15">
        <v>1</v>
      </c>
      <c r="BR48" s="15"/>
      <c r="BT48" s="15"/>
      <c r="BU48" s="15">
        <v>2</v>
      </c>
      <c r="BW48" s="1">
        <v>2</v>
      </c>
      <c r="BY48" s="15"/>
      <c r="CP48" s="1">
        <v>4</v>
      </c>
      <c r="CS48" s="15"/>
      <c r="CT48" s="15"/>
      <c r="CY48" s="15"/>
      <c r="CZ48" s="15"/>
      <c r="DA48" s="1">
        <v>1</v>
      </c>
      <c r="DD48" s="15"/>
      <c r="DI48" s="1">
        <f t="shared" si="0"/>
        <v>9</v>
      </c>
      <c r="DJ48" s="1">
        <f t="shared" si="1"/>
        <v>18</v>
      </c>
    </row>
    <row r="49" spans="1:114" ht="15.75" customHeight="1" x14ac:dyDescent="0.3">
      <c r="A49" s="15" t="s">
        <v>141</v>
      </c>
      <c r="B49" s="26" t="s">
        <v>177</v>
      </c>
      <c r="C49" s="26" t="s">
        <v>120</v>
      </c>
      <c r="D49" s="27" t="s">
        <v>143</v>
      </c>
      <c r="E49" s="28">
        <v>84</v>
      </c>
      <c r="F49" s="15"/>
      <c r="G49" s="15"/>
      <c r="H49" s="30">
        <v>99</v>
      </c>
      <c r="I49" s="29">
        <v>34.6</v>
      </c>
      <c r="J49" s="30">
        <v>25.4</v>
      </c>
      <c r="K49" s="30">
        <v>2.2999999999999998</v>
      </c>
      <c r="L49" s="15"/>
      <c r="M49" s="29"/>
      <c r="N49" s="15">
        <v>93.33</v>
      </c>
      <c r="O49" s="21">
        <v>3</v>
      </c>
      <c r="X49" s="1">
        <v>1</v>
      </c>
      <c r="AD49" s="15">
        <v>1</v>
      </c>
      <c r="AF49" s="1">
        <v>1</v>
      </c>
      <c r="AM49" s="15"/>
      <c r="AS49" s="15"/>
      <c r="AT49" s="15"/>
      <c r="AW49" s="15"/>
      <c r="AY49" s="15">
        <v>1</v>
      </c>
      <c r="AZ49" s="15"/>
      <c r="BC49" s="1">
        <v>1</v>
      </c>
      <c r="BM49" s="15"/>
      <c r="BR49" s="15"/>
      <c r="BT49" s="15"/>
      <c r="BU49" s="15">
        <v>1</v>
      </c>
      <c r="BY49" s="15">
        <v>1</v>
      </c>
      <c r="CC49" s="1">
        <v>1</v>
      </c>
      <c r="CD49" s="1">
        <v>1</v>
      </c>
      <c r="CS49" s="15"/>
      <c r="CT49" s="15"/>
      <c r="CY49" s="15">
        <v>1</v>
      </c>
      <c r="CZ49" s="15"/>
      <c r="DA49" s="1">
        <v>1</v>
      </c>
      <c r="DD49" s="15"/>
      <c r="DI49" s="1">
        <f t="shared" si="0"/>
        <v>11</v>
      </c>
      <c r="DJ49" s="1">
        <f t="shared" si="1"/>
        <v>11</v>
      </c>
    </row>
    <row r="50" spans="1:114" ht="15.75" customHeight="1" x14ac:dyDescent="0.3">
      <c r="A50" s="15" t="s">
        <v>141</v>
      </c>
      <c r="B50" s="26" t="s">
        <v>179</v>
      </c>
      <c r="C50" s="26" t="s">
        <v>120</v>
      </c>
      <c r="D50" s="32">
        <v>44630</v>
      </c>
      <c r="E50" s="28">
        <v>74</v>
      </c>
      <c r="F50" s="15"/>
      <c r="G50" s="15"/>
      <c r="H50" s="33">
        <v>99</v>
      </c>
      <c r="I50" s="29">
        <v>0.42</v>
      </c>
      <c r="J50" s="30">
        <v>22</v>
      </c>
      <c r="K50" s="30">
        <v>0</v>
      </c>
      <c r="L50" s="15"/>
      <c r="M50" s="29"/>
      <c r="N50" s="15">
        <v>52.38</v>
      </c>
      <c r="O50" s="21">
        <v>5</v>
      </c>
      <c r="Q50" s="1">
        <v>1</v>
      </c>
      <c r="AD50" s="15"/>
      <c r="AM50" s="15"/>
      <c r="AS50" s="15"/>
      <c r="AT50" s="15"/>
      <c r="AW50" s="15"/>
      <c r="AY50" s="15"/>
      <c r="AZ50" s="15">
        <v>1</v>
      </c>
      <c r="BC50" s="1">
        <v>3</v>
      </c>
      <c r="BM50" s="15">
        <v>1</v>
      </c>
      <c r="BR50" s="15"/>
      <c r="BT50" s="15"/>
      <c r="BU50" s="15">
        <v>2</v>
      </c>
      <c r="BY50" s="15"/>
      <c r="CG50" s="1">
        <v>1</v>
      </c>
      <c r="CJ50" s="1">
        <v>1</v>
      </c>
      <c r="CS50" s="15"/>
      <c r="CT50" s="15"/>
      <c r="CY50" s="15"/>
      <c r="CZ50" s="15"/>
      <c r="DD50" s="15"/>
      <c r="DI50" s="1">
        <f t="shared" si="0"/>
        <v>7</v>
      </c>
      <c r="DJ50" s="1">
        <f t="shared" si="1"/>
        <v>10</v>
      </c>
    </row>
    <row r="51" spans="1:114" ht="15.75" customHeight="1" x14ac:dyDescent="0.3">
      <c r="A51" s="15" t="s">
        <v>141</v>
      </c>
      <c r="B51" s="26" t="s">
        <v>179</v>
      </c>
      <c r="C51" s="26" t="s">
        <v>120</v>
      </c>
      <c r="D51" s="27" t="s">
        <v>142</v>
      </c>
      <c r="E51" s="28">
        <v>83</v>
      </c>
      <c r="F51" s="15"/>
      <c r="G51" s="15"/>
      <c r="H51" s="30">
        <v>99</v>
      </c>
      <c r="I51" s="34">
        <v>0.47249999999999998</v>
      </c>
      <c r="J51" s="30">
        <v>25.7</v>
      </c>
      <c r="K51" s="26">
        <v>0</v>
      </c>
      <c r="L51" s="15"/>
      <c r="M51" s="30">
        <v>400</v>
      </c>
      <c r="N51" s="15">
        <v>90</v>
      </c>
      <c r="O51" s="21">
        <v>5</v>
      </c>
      <c r="X51" s="1">
        <v>1</v>
      </c>
      <c r="AD51" s="15"/>
      <c r="AE51" s="1">
        <v>1</v>
      </c>
      <c r="AF51" s="1">
        <v>1</v>
      </c>
      <c r="AM51" s="15"/>
      <c r="AS51" s="15"/>
      <c r="AT51" s="15"/>
      <c r="AW51" s="15"/>
      <c r="AY51" s="15"/>
      <c r="AZ51" s="15">
        <v>1</v>
      </c>
      <c r="BM51" s="15"/>
      <c r="BR51" s="15"/>
      <c r="BT51" s="15"/>
      <c r="BU51" s="15"/>
      <c r="BY51" s="15"/>
      <c r="CH51" s="1">
        <v>1</v>
      </c>
      <c r="CJ51" s="1">
        <v>2</v>
      </c>
      <c r="CS51" s="15"/>
      <c r="CT51" s="15"/>
      <c r="CY51" s="15">
        <v>1</v>
      </c>
      <c r="CZ51" s="15"/>
      <c r="DA51" s="1">
        <v>1</v>
      </c>
      <c r="DD51" s="15"/>
      <c r="DI51" s="1">
        <f t="shared" si="0"/>
        <v>8</v>
      </c>
      <c r="DJ51" s="1">
        <f t="shared" si="1"/>
        <v>9</v>
      </c>
    </row>
    <row r="52" spans="1:114" ht="15.75" customHeight="1" x14ac:dyDescent="0.3">
      <c r="A52" s="15" t="s">
        <v>141</v>
      </c>
      <c r="B52" s="26" t="s">
        <v>179</v>
      </c>
      <c r="C52" s="26" t="s">
        <v>122</v>
      </c>
      <c r="D52" s="27" t="s">
        <v>142</v>
      </c>
      <c r="E52" s="28">
        <v>83</v>
      </c>
      <c r="F52" s="15"/>
      <c r="G52" s="15"/>
      <c r="H52" s="30">
        <v>99</v>
      </c>
      <c r="I52" s="29">
        <v>32.6</v>
      </c>
      <c r="J52" s="30">
        <v>23.7</v>
      </c>
      <c r="K52" s="26">
        <v>0</v>
      </c>
      <c r="L52" s="15"/>
      <c r="M52" s="26">
        <v>400</v>
      </c>
      <c r="N52" s="15">
        <v>73.33</v>
      </c>
      <c r="O52" s="21">
        <v>5</v>
      </c>
      <c r="AD52" s="15"/>
      <c r="AM52" s="15"/>
      <c r="AS52" s="15"/>
      <c r="AT52" s="15"/>
      <c r="AW52" s="15"/>
      <c r="AY52" s="15"/>
      <c r="AZ52" s="15">
        <v>1</v>
      </c>
      <c r="BM52" s="15"/>
      <c r="BR52" s="15"/>
      <c r="BT52" s="15"/>
      <c r="BU52" s="15"/>
      <c r="BY52" s="15"/>
      <c r="CH52" s="1">
        <v>1</v>
      </c>
      <c r="CS52" s="15"/>
      <c r="CT52" s="15"/>
      <c r="CW52" s="1">
        <v>1</v>
      </c>
      <c r="CY52" s="15"/>
      <c r="CZ52" s="15"/>
      <c r="DD52" s="15"/>
      <c r="DI52" s="1">
        <f t="shared" si="0"/>
        <v>3</v>
      </c>
      <c r="DJ52" s="1">
        <f t="shared" si="1"/>
        <v>3</v>
      </c>
    </row>
    <row r="53" spans="1:114" ht="15.75" customHeight="1" x14ac:dyDescent="0.3">
      <c r="A53" s="15" t="s">
        <v>141</v>
      </c>
      <c r="B53" s="26" t="s">
        <v>180</v>
      </c>
      <c r="C53" s="26" t="s">
        <v>120</v>
      </c>
      <c r="D53" s="27" t="s">
        <v>142</v>
      </c>
      <c r="E53" s="28">
        <v>83</v>
      </c>
      <c r="F53" s="15"/>
      <c r="G53" s="15"/>
      <c r="H53" s="30">
        <v>97</v>
      </c>
      <c r="I53" s="35">
        <v>0.53600000000000003</v>
      </c>
      <c r="J53" s="30">
        <v>24.9</v>
      </c>
      <c r="K53" s="30">
        <v>0</v>
      </c>
      <c r="L53" s="15"/>
      <c r="M53" s="30">
        <v>400</v>
      </c>
      <c r="N53" s="15">
        <v>90</v>
      </c>
      <c r="O53" s="21">
        <v>5</v>
      </c>
      <c r="AD53" s="15"/>
      <c r="AM53" s="15"/>
      <c r="AS53" s="15">
        <v>4</v>
      </c>
      <c r="AT53" s="15"/>
      <c r="AW53" s="15"/>
      <c r="AY53" s="15"/>
      <c r="AZ53" s="15"/>
      <c r="BM53" s="15"/>
      <c r="BR53" s="15"/>
      <c r="BT53" s="15"/>
      <c r="BU53" s="15"/>
      <c r="BY53" s="15"/>
      <c r="CS53" s="15"/>
      <c r="CT53" s="15"/>
      <c r="CW53" s="1">
        <v>1</v>
      </c>
      <c r="CY53" s="15">
        <v>1</v>
      </c>
      <c r="CZ53" s="15"/>
      <c r="DA53" s="1">
        <v>1</v>
      </c>
      <c r="DC53" s="1">
        <v>2</v>
      </c>
      <c r="DD53" s="15"/>
      <c r="DI53" s="1">
        <f t="shared" si="0"/>
        <v>5</v>
      </c>
      <c r="DJ53" s="1">
        <f t="shared" si="1"/>
        <v>9</v>
      </c>
    </row>
    <row r="54" spans="1:114" ht="15.75" customHeight="1" x14ac:dyDescent="0.3">
      <c r="A54" s="15" t="s">
        <v>141</v>
      </c>
      <c r="B54" s="26" t="s">
        <v>180</v>
      </c>
      <c r="C54" s="26" t="s">
        <v>122</v>
      </c>
      <c r="D54" s="27" t="s">
        <v>142</v>
      </c>
      <c r="E54" s="28">
        <v>83</v>
      </c>
      <c r="F54" s="15"/>
      <c r="G54" s="15"/>
      <c r="H54" s="30">
        <v>99</v>
      </c>
      <c r="I54" s="29">
        <v>47.9</v>
      </c>
      <c r="J54" s="30">
        <v>24.1</v>
      </c>
      <c r="K54" s="30">
        <v>0.5</v>
      </c>
      <c r="L54" s="15"/>
      <c r="M54" s="30">
        <v>400</v>
      </c>
      <c r="N54" s="15">
        <v>80</v>
      </c>
      <c r="O54" s="21">
        <v>5</v>
      </c>
      <c r="AD54" s="15"/>
      <c r="AM54" s="15"/>
      <c r="AS54" s="15"/>
      <c r="AT54" s="15"/>
      <c r="AW54" s="15"/>
      <c r="AY54" s="15"/>
      <c r="AZ54" s="15"/>
      <c r="BM54" s="15"/>
      <c r="BR54" s="15"/>
      <c r="BT54" s="15"/>
      <c r="BU54" s="15"/>
      <c r="BY54" s="15"/>
      <c r="CS54" s="15"/>
      <c r="CT54" s="15"/>
      <c r="CW54" s="1">
        <v>1</v>
      </c>
      <c r="CY54" s="15"/>
      <c r="CZ54" s="15"/>
      <c r="DD54" s="15"/>
      <c r="DI54" s="1">
        <f t="shared" si="0"/>
        <v>1</v>
      </c>
      <c r="DJ54" s="1">
        <f t="shared" si="1"/>
        <v>1</v>
      </c>
    </row>
    <row r="55" spans="1:114" ht="15.75" customHeight="1" x14ac:dyDescent="0.3">
      <c r="A55" s="15" t="s">
        <v>141</v>
      </c>
      <c r="B55" s="26" t="s">
        <v>181</v>
      </c>
      <c r="C55" s="26" t="s">
        <v>120</v>
      </c>
      <c r="D55" s="27" t="s">
        <v>142</v>
      </c>
      <c r="E55" s="28">
        <v>83</v>
      </c>
      <c r="F55" s="15"/>
      <c r="G55" s="15"/>
      <c r="H55" s="30">
        <v>99</v>
      </c>
      <c r="I55" s="29">
        <v>53.2</v>
      </c>
      <c r="J55" s="30">
        <v>27.5</v>
      </c>
      <c r="K55" s="30">
        <v>0</v>
      </c>
      <c r="L55" s="15"/>
      <c r="M55" s="30">
        <v>400</v>
      </c>
      <c r="N55" s="15">
        <v>93.33</v>
      </c>
      <c r="O55" s="21">
        <v>3</v>
      </c>
      <c r="X55" s="1">
        <v>1</v>
      </c>
      <c r="AD55" s="15"/>
      <c r="AM55" s="15"/>
      <c r="AS55" s="15"/>
      <c r="AT55" s="15"/>
      <c r="AW55" s="15"/>
      <c r="AY55" s="15"/>
      <c r="AZ55" s="15">
        <v>1</v>
      </c>
      <c r="BM55" s="15"/>
      <c r="BR55" s="15"/>
      <c r="BT55" s="15"/>
      <c r="BU55" s="15"/>
      <c r="BW55" s="1">
        <v>2</v>
      </c>
      <c r="BY55" s="15">
        <v>3</v>
      </c>
      <c r="CS55" s="15"/>
      <c r="CT55" s="15"/>
      <c r="CY55" s="15"/>
      <c r="CZ55" s="15"/>
      <c r="DD55" s="15"/>
      <c r="DI55" s="1">
        <f t="shared" si="0"/>
        <v>4</v>
      </c>
      <c r="DJ55" s="1">
        <f t="shared" si="1"/>
        <v>7</v>
      </c>
    </row>
    <row r="56" spans="1:114" ht="15.75" customHeight="1" x14ac:dyDescent="0.3">
      <c r="A56" s="15" t="s">
        <v>141</v>
      </c>
      <c r="B56" s="26" t="s">
        <v>181</v>
      </c>
      <c r="C56" s="26" t="s">
        <v>122</v>
      </c>
      <c r="D56" s="27" t="s">
        <v>142</v>
      </c>
      <c r="E56" s="28">
        <v>83</v>
      </c>
      <c r="F56" s="15"/>
      <c r="G56" s="15"/>
      <c r="H56" s="30">
        <v>99</v>
      </c>
      <c r="I56" s="29">
        <v>8.23</v>
      </c>
      <c r="J56" s="30">
        <v>23.7</v>
      </c>
      <c r="K56" s="30">
        <v>0</v>
      </c>
      <c r="L56" s="15"/>
      <c r="M56" s="30">
        <v>400</v>
      </c>
      <c r="N56" s="15">
        <v>93.33</v>
      </c>
      <c r="O56" s="21">
        <v>3</v>
      </c>
      <c r="AD56" s="15"/>
      <c r="AM56" s="15"/>
      <c r="AS56" s="15"/>
      <c r="AT56" s="15"/>
      <c r="AW56" s="15"/>
      <c r="AY56" s="15"/>
      <c r="AZ56" s="15">
        <v>2</v>
      </c>
      <c r="BM56" s="15"/>
      <c r="BR56" s="15"/>
      <c r="BT56" s="15"/>
      <c r="BU56" s="15"/>
      <c r="BY56" s="15">
        <v>2</v>
      </c>
      <c r="CS56" s="15"/>
      <c r="CT56" s="15"/>
      <c r="CY56" s="15"/>
      <c r="CZ56" s="15"/>
      <c r="DD56" s="15"/>
      <c r="DI56" s="1">
        <f t="shared" si="0"/>
        <v>2</v>
      </c>
      <c r="DJ56" s="1">
        <f t="shared" si="1"/>
        <v>4</v>
      </c>
    </row>
    <row r="57" spans="1:114" ht="15.75" customHeight="1" x14ac:dyDescent="0.3">
      <c r="A57" s="15" t="s">
        <v>141</v>
      </c>
      <c r="B57" s="26" t="s">
        <v>182</v>
      </c>
      <c r="C57" s="26" t="s">
        <v>120</v>
      </c>
      <c r="D57" s="27" t="s">
        <v>142</v>
      </c>
      <c r="E57" s="28">
        <v>83</v>
      </c>
      <c r="F57" s="15"/>
      <c r="G57" s="15"/>
      <c r="H57" s="30">
        <v>77</v>
      </c>
      <c r="I57" s="29">
        <v>8.5399999999999991</v>
      </c>
      <c r="J57" s="30">
        <v>28</v>
      </c>
      <c r="K57" s="30">
        <v>1.75</v>
      </c>
      <c r="L57" s="15"/>
      <c r="M57" s="30">
        <v>400</v>
      </c>
      <c r="N57" s="15">
        <v>93.33</v>
      </c>
      <c r="O57" s="21">
        <v>3</v>
      </c>
      <c r="U57" s="1">
        <v>2</v>
      </c>
      <c r="AD57" s="15"/>
      <c r="AM57" s="15"/>
      <c r="AS57" s="15"/>
      <c r="AT57" s="15"/>
      <c r="AW57" s="15"/>
      <c r="AY57" s="15"/>
      <c r="AZ57" s="15"/>
      <c r="BM57" s="15"/>
      <c r="BR57" s="15"/>
      <c r="BT57" s="15"/>
      <c r="BU57" s="15">
        <v>3</v>
      </c>
      <c r="BY57" s="15">
        <v>1</v>
      </c>
      <c r="CH57" s="1">
        <v>1</v>
      </c>
      <c r="CS57" s="15"/>
      <c r="CT57" s="15"/>
      <c r="CY57" s="15"/>
      <c r="CZ57" s="15"/>
      <c r="DD57" s="15"/>
      <c r="DE57" s="1">
        <v>4</v>
      </c>
      <c r="DG57" s="1">
        <v>1</v>
      </c>
      <c r="DI57" s="1">
        <f t="shared" si="0"/>
        <v>6</v>
      </c>
      <c r="DJ57" s="1">
        <f t="shared" si="1"/>
        <v>12</v>
      </c>
    </row>
    <row r="58" spans="1:114" ht="15.75" customHeight="1" x14ac:dyDescent="0.3">
      <c r="A58" s="15" t="s">
        <v>141</v>
      </c>
      <c r="B58" s="26" t="s">
        <v>182</v>
      </c>
      <c r="C58" s="26" t="s">
        <v>122</v>
      </c>
      <c r="D58" s="27" t="s">
        <v>142</v>
      </c>
      <c r="E58" s="28">
        <v>83</v>
      </c>
      <c r="F58" s="15"/>
      <c r="G58" s="15"/>
      <c r="H58" s="30">
        <v>99</v>
      </c>
      <c r="I58" s="29">
        <v>7.51</v>
      </c>
      <c r="J58" s="30">
        <v>23.7</v>
      </c>
      <c r="K58" s="30">
        <v>0</v>
      </c>
      <c r="L58" s="15"/>
      <c r="M58" s="30">
        <v>400</v>
      </c>
      <c r="N58" s="15">
        <v>93.33</v>
      </c>
      <c r="O58" s="21">
        <v>3</v>
      </c>
      <c r="AD58" s="15"/>
      <c r="AM58" s="15"/>
      <c r="AS58" s="15"/>
      <c r="AT58" s="15"/>
      <c r="AW58" s="15"/>
      <c r="AY58" s="15"/>
      <c r="AZ58" s="15">
        <v>3</v>
      </c>
      <c r="BM58" s="15"/>
      <c r="BR58" s="15"/>
      <c r="BT58" s="15"/>
      <c r="BU58" s="15">
        <v>2</v>
      </c>
      <c r="BY58" s="15">
        <v>2</v>
      </c>
      <c r="CS58" s="15"/>
      <c r="CT58" s="15"/>
      <c r="CY58" s="15"/>
      <c r="CZ58" s="15"/>
      <c r="DD58" s="15"/>
      <c r="DF58" s="1">
        <v>8</v>
      </c>
      <c r="DI58" s="1">
        <f t="shared" si="0"/>
        <v>4</v>
      </c>
      <c r="DJ58" s="1">
        <f t="shared" si="1"/>
        <v>15</v>
      </c>
    </row>
    <row r="59" spans="1:114" ht="15.75" customHeight="1" x14ac:dyDescent="0.3">
      <c r="A59" s="15" t="s">
        <v>141</v>
      </c>
      <c r="B59" s="27" t="s">
        <v>183</v>
      </c>
      <c r="C59" s="27" t="s">
        <v>120</v>
      </c>
      <c r="D59" s="27" t="s">
        <v>144</v>
      </c>
      <c r="E59" s="28">
        <v>86</v>
      </c>
      <c r="F59" s="15"/>
      <c r="G59" s="15"/>
      <c r="H59" s="30">
        <v>79</v>
      </c>
      <c r="I59" s="29">
        <v>73.7</v>
      </c>
      <c r="J59" s="30">
        <v>29.1</v>
      </c>
      <c r="K59" s="30">
        <v>1</v>
      </c>
      <c r="L59" s="15"/>
      <c r="M59" s="26"/>
      <c r="N59" s="15">
        <v>80</v>
      </c>
      <c r="O59" s="21">
        <v>3</v>
      </c>
      <c r="AD59" s="15"/>
      <c r="AM59" s="15"/>
      <c r="AS59" s="15"/>
      <c r="AT59" s="15"/>
      <c r="AW59" s="15"/>
      <c r="AY59" s="15"/>
      <c r="AZ59" s="15"/>
      <c r="BM59" s="15"/>
      <c r="BR59" s="15"/>
      <c r="BT59" s="15"/>
      <c r="BU59" s="15"/>
      <c r="BY59" s="15"/>
      <c r="CS59" s="15"/>
      <c r="CT59" s="15"/>
      <c r="CY59" s="15"/>
      <c r="CZ59" s="15"/>
      <c r="DD59" s="15"/>
      <c r="DI59" s="1">
        <f t="shared" si="0"/>
        <v>0</v>
      </c>
      <c r="DJ59" s="1">
        <f t="shared" si="1"/>
        <v>0</v>
      </c>
    </row>
    <row r="60" spans="1:114" ht="15.75" customHeight="1" x14ac:dyDescent="0.3">
      <c r="A60" s="15" t="s">
        <v>141</v>
      </c>
      <c r="B60" s="27" t="s">
        <v>185</v>
      </c>
      <c r="C60" s="27" t="s">
        <v>120</v>
      </c>
      <c r="D60" s="27" t="s">
        <v>145</v>
      </c>
      <c r="E60" s="28">
        <v>90</v>
      </c>
      <c r="F60" s="15"/>
      <c r="G60" s="15"/>
      <c r="H60" s="33">
        <v>73</v>
      </c>
      <c r="I60" s="29">
        <v>50.3</v>
      </c>
      <c r="J60" s="30">
        <v>17</v>
      </c>
      <c r="K60" s="30">
        <v>0</v>
      </c>
      <c r="L60" s="15"/>
      <c r="M60" s="26"/>
      <c r="N60" s="15">
        <v>80</v>
      </c>
      <c r="O60" s="21"/>
      <c r="AD60" s="15"/>
      <c r="AM60" s="15"/>
      <c r="AS60" s="15"/>
      <c r="AT60" s="15"/>
      <c r="AW60" s="15"/>
      <c r="AY60" s="15"/>
      <c r="AZ60" s="15"/>
      <c r="BM60" s="15"/>
      <c r="BR60" s="15"/>
      <c r="BT60" s="15"/>
      <c r="BU60" s="15"/>
      <c r="BY60" s="15"/>
      <c r="CJ60" s="1">
        <v>1</v>
      </c>
      <c r="CK60" s="1">
        <v>1</v>
      </c>
      <c r="CS60" s="15"/>
      <c r="CT60" s="15"/>
      <c r="CY60" s="15"/>
      <c r="CZ60" s="15"/>
      <c r="DD60" s="15"/>
      <c r="DI60" s="1">
        <f t="shared" si="0"/>
        <v>2</v>
      </c>
      <c r="DJ60" s="1">
        <f t="shared" si="1"/>
        <v>2</v>
      </c>
    </row>
    <row r="61" spans="1:114" ht="15.75" customHeight="1" x14ac:dyDescent="0.3">
      <c r="A61" s="15" t="s">
        <v>141</v>
      </c>
      <c r="B61" s="27" t="s">
        <v>185</v>
      </c>
      <c r="C61" s="27" t="s">
        <v>120</v>
      </c>
      <c r="D61" s="27" t="s">
        <v>144</v>
      </c>
      <c r="E61" s="28">
        <v>86</v>
      </c>
      <c r="F61" s="15"/>
      <c r="G61" s="15"/>
      <c r="H61" s="30">
        <v>72</v>
      </c>
      <c r="I61" s="29">
        <v>50.4</v>
      </c>
      <c r="J61" s="30">
        <v>30.4</v>
      </c>
      <c r="K61" s="30">
        <v>0</v>
      </c>
      <c r="L61" s="15"/>
      <c r="M61" s="26"/>
      <c r="N61" s="15">
        <v>80</v>
      </c>
      <c r="O61" s="21">
        <v>1</v>
      </c>
      <c r="U61" s="1">
        <v>2</v>
      </c>
      <c r="AD61" s="15"/>
      <c r="AM61" s="15"/>
      <c r="AS61" s="15"/>
      <c r="AT61" s="15"/>
      <c r="AW61" s="15"/>
      <c r="AY61" s="15"/>
      <c r="AZ61" s="15"/>
      <c r="BM61" s="15"/>
      <c r="BO61" s="1">
        <v>2</v>
      </c>
      <c r="BP61" s="1">
        <v>3</v>
      </c>
      <c r="BR61" s="15"/>
      <c r="BT61" s="15"/>
      <c r="BU61" s="15"/>
      <c r="BY61" s="15"/>
      <c r="CS61" s="15"/>
      <c r="CT61" s="15"/>
      <c r="CY61" s="15"/>
      <c r="CZ61" s="15"/>
      <c r="DD61" s="15"/>
      <c r="DI61" s="1">
        <f t="shared" si="0"/>
        <v>3</v>
      </c>
      <c r="DJ61" s="1">
        <f t="shared" si="1"/>
        <v>7</v>
      </c>
    </row>
    <row r="62" spans="1:114" ht="15.75" customHeight="1" x14ac:dyDescent="0.3">
      <c r="A62" s="15" t="s">
        <v>141</v>
      </c>
      <c r="B62" s="27" t="s">
        <v>186</v>
      </c>
      <c r="C62" s="27" t="s">
        <v>122</v>
      </c>
      <c r="D62" s="27" t="s">
        <v>144</v>
      </c>
      <c r="E62" s="28">
        <v>86</v>
      </c>
      <c r="F62" s="15"/>
      <c r="G62" s="15"/>
      <c r="H62" s="30">
        <v>75</v>
      </c>
      <c r="I62" s="35">
        <v>0.71899999999999997</v>
      </c>
      <c r="J62" s="30">
        <v>25.8</v>
      </c>
      <c r="K62" s="30">
        <v>0</v>
      </c>
      <c r="L62" s="15"/>
      <c r="M62" s="26"/>
      <c r="N62" s="15">
        <v>80</v>
      </c>
      <c r="O62" s="21">
        <v>6</v>
      </c>
      <c r="AD62" s="15"/>
      <c r="AM62" s="15"/>
      <c r="AS62" s="15"/>
      <c r="AT62" s="15"/>
      <c r="AW62" s="15"/>
      <c r="AY62" s="15"/>
      <c r="AZ62" s="15"/>
      <c r="BM62" s="15"/>
      <c r="BR62" s="15"/>
      <c r="BT62" s="15"/>
      <c r="BU62" s="15"/>
      <c r="BY62" s="15"/>
      <c r="CS62" s="15"/>
      <c r="CT62" s="15"/>
      <c r="CY62" s="15"/>
      <c r="CZ62" s="15"/>
      <c r="DD62" s="15"/>
      <c r="DI62" s="1">
        <f t="shared" si="0"/>
        <v>0</v>
      </c>
      <c r="DJ62" s="1">
        <f t="shared" si="1"/>
        <v>0</v>
      </c>
    </row>
    <row r="63" spans="1:114" ht="15.75" customHeight="1" x14ac:dyDescent="0.3">
      <c r="A63" s="15"/>
      <c r="B63" s="16"/>
      <c r="C63" s="16"/>
      <c r="D63" s="15"/>
      <c r="F63" s="15"/>
      <c r="G63" s="15"/>
      <c r="H63" s="15"/>
      <c r="I63" s="18"/>
      <c r="J63" s="15"/>
      <c r="K63" s="15"/>
      <c r="L63" s="15"/>
      <c r="M63" s="15"/>
      <c r="N63" s="15"/>
      <c r="O63" s="17"/>
      <c r="AD63" s="15"/>
      <c r="AM63" s="15"/>
      <c r="AS63" s="15"/>
      <c r="AT63" s="15"/>
      <c r="AW63" s="15"/>
      <c r="AY63" s="15"/>
      <c r="AZ63" s="15"/>
      <c r="BM63" s="15"/>
      <c r="BR63" s="15"/>
      <c r="BT63" s="15"/>
      <c r="BU63" s="15"/>
      <c r="BY63" s="15"/>
      <c r="CS63" s="15"/>
      <c r="CT63" s="15"/>
      <c r="CY63" s="15"/>
      <c r="CZ63" s="15"/>
      <c r="DD63" s="15"/>
      <c r="DI63" s="1">
        <f t="shared" si="0"/>
        <v>0</v>
      </c>
      <c r="DJ63" s="1">
        <f t="shared" si="1"/>
        <v>0</v>
      </c>
    </row>
    <row r="64" spans="1:114" ht="15.75" customHeight="1" x14ac:dyDescent="0.3">
      <c r="A64" s="15" t="s">
        <v>146</v>
      </c>
      <c r="B64" s="23" t="s">
        <v>176</v>
      </c>
      <c r="C64" s="23" t="s">
        <v>122</v>
      </c>
      <c r="D64" s="15" t="s">
        <v>147</v>
      </c>
      <c r="E64" s="17">
        <v>117</v>
      </c>
      <c r="F64" s="15"/>
      <c r="G64" s="15"/>
      <c r="H64" s="15">
        <v>99</v>
      </c>
      <c r="I64" s="36">
        <v>0.27700000000000002</v>
      </c>
      <c r="J64" s="15">
        <v>26.4</v>
      </c>
      <c r="K64" s="15">
        <v>0</v>
      </c>
      <c r="L64" s="15">
        <v>100</v>
      </c>
      <c r="M64" s="15"/>
      <c r="N64" s="15">
        <v>23.81</v>
      </c>
      <c r="O64" s="17">
        <v>4</v>
      </c>
      <c r="AD64" s="15">
        <v>2</v>
      </c>
      <c r="AL64" s="1">
        <v>1</v>
      </c>
      <c r="AM64" s="15"/>
      <c r="AS64" s="15"/>
      <c r="AT64" s="15"/>
      <c r="AW64" s="15"/>
      <c r="AY64" s="15"/>
      <c r="AZ64" s="15"/>
      <c r="BM64" s="15">
        <v>1</v>
      </c>
      <c r="BR64" s="15"/>
      <c r="BT64" s="15"/>
      <c r="BU64" s="15">
        <v>3</v>
      </c>
      <c r="BY64" s="15"/>
      <c r="CN64" s="1">
        <v>4</v>
      </c>
      <c r="CP64" s="1">
        <v>11</v>
      </c>
      <c r="CS64" s="15"/>
      <c r="CT64" s="15"/>
      <c r="CY64" s="15"/>
      <c r="CZ64" s="15"/>
      <c r="DD64" s="15"/>
      <c r="DI64" s="1">
        <f t="shared" si="0"/>
        <v>6</v>
      </c>
      <c r="DJ64" s="1">
        <f t="shared" si="1"/>
        <v>22</v>
      </c>
    </row>
    <row r="65" spans="1:114" ht="15.75" customHeight="1" x14ac:dyDescent="0.3">
      <c r="A65" s="15" t="s">
        <v>146</v>
      </c>
      <c r="B65" s="23" t="s">
        <v>177</v>
      </c>
      <c r="C65" s="23" t="s">
        <v>120</v>
      </c>
      <c r="D65" s="15" t="s">
        <v>148</v>
      </c>
      <c r="E65" s="17">
        <v>119</v>
      </c>
      <c r="F65" s="15"/>
      <c r="G65" s="15"/>
      <c r="H65" s="15">
        <v>92</v>
      </c>
      <c r="I65" s="18">
        <v>0.78</v>
      </c>
      <c r="J65" s="15">
        <v>24.6</v>
      </c>
      <c r="K65" s="15">
        <v>0</v>
      </c>
      <c r="L65" s="15">
        <v>5</v>
      </c>
      <c r="M65" s="15"/>
      <c r="N65" s="15">
        <v>100</v>
      </c>
      <c r="O65" s="17">
        <v>3</v>
      </c>
      <c r="Q65" s="1">
        <v>1</v>
      </c>
      <c r="AD65" s="15">
        <v>3</v>
      </c>
      <c r="AM65" s="15">
        <v>1</v>
      </c>
      <c r="AS65" s="15"/>
      <c r="AT65" s="15"/>
      <c r="AW65" s="15"/>
      <c r="AY65" s="15"/>
      <c r="AZ65" s="15"/>
      <c r="BI65" s="1">
        <v>1</v>
      </c>
      <c r="BM65" s="15"/>
      <c r="BR65" s="15"/>
      <c r="BT65" s="15"/>
      <c r="BU65" s="15">
        <v>4</v>
      </c>
      <c r="BY65" s="15"/>
      <c r="BZ65" s="1">
        <v>1</v>
      </c>
      <c r="CG65" s="1">
        <v>1</v>
      </c>
      <c r="CJ65" s="1">
        <v>1</v>
      </c>
      <c r="CQ65" s="1">
        <v>1</v>
      </c>
      <c r="CS65" s="15"/>
      <c r="CT65" s="15"/>
      <c r="CY65" s="15"/>
      <c r="CZ65" s="15"/>
      <c r="DD65" s="15"/>
      <c r="DI65" s="1">
        <f t="shared" si="0"/>
        <v>9</v>
      </c>
      <c r="DJ65" s="1">
        <f t="shared" si="1"/>
        <v>14</v>
      </c>
    </row>
    <row r="66" spans="1:114" ht="15.75" customHeight="1" x14ac:dyDescent="0.3">
      <c r="A66" s="15" t="s">
        <v>146</v>
      </c>
      <c r="B66" s="23" t="s">
        <v>179</v>
      </c>
      <c r="C66" s="23" t="s">
        <v>120</v>
      </c>
      <c r="D66" s="15" t="s">
        <v>148</v>
      </c>
      <c r="E66" s="17">
        <v>119</v>
      </c>
      <c r="F66" s="15"/>
      <c r="G66" s="15"/>
      <c r="H66" s="15">
        <v>94</v>
      </c>
      <c r="I66" s="36">
        <v>0.50800000000000001</v>
      </c>
      <c r="J66" s="15">
        <v>24.8</v>
      </c>
      <c r="K66" s="15">
        <v>0</v>
      </c>
      <c r="L66" s="15">
        <v>5</v>
      </c>
      <c r="M66" s="15"/>
      <c r="N66" s="15">
        <v>100</v>
      </c>
      <c r="O66" s="17">
        <v>5</v>
      </c>
      <c r="AD66" s="15"/>
      <c r="AF66" s="1">
        <v>1</v>
      </c>
      <c r="AM66" s="15"/>
      <c r="AS66" s="15"/>
      <c r="AT66" s="15"/>
      <c r="AW66" s="15"/>
      <c r="AY66" s="15"/>
      <c r="AZ66" s="15"/>
      <c r="BA66" s="1">
        <v>1</v>
      </c>
      <c r="BD66" s="1">
        <v>1</v>
      </c>
      <c r="BE66" s="1">
        <v>1</v>
      </c>
      <c r="BM66" s="15">
        <v>1</v>
      </c>
      <c r="BR66" s="15"/>
      <c r="BT66" s="15"/>
      <c r="BU66" s="15"/>
      <c r="BY66" s="15"/>
      <c r="CD66" s="1">
        <v>1</v>
      </c>
      <c r="CF66" s="1">
        <v>1</v>
      </c>
      <c r="CG66" s="1">
        <v>1</v>
      </c>
      <c r="CS66" s="15"/>
      <c r="CT66" s="15"/>
      <c r="CY66" s="15"/>
      <c r="CZ66" s="15"/>
      <c r="DD66" s="15"/>
      <c r="DI66" s="1">
        <f t="shared" si="0"/>
        <v>8</v>
      </c>
      <c r="DJ66" s="1">
        <f t="shared" si="1"/>
        <v>8</v>
      </c>
    </row>
    <row r="67" spans="1:114" ht="15.75" customHeight="1" x14ac:dyDescent="0.3">
      <c r="A67" s="15" t="s">
        <v>146</v>
      </c>
      <c r="B67" s="23" t="s">
        <v>179</v>
      </c>
      <c r="C67" s="23" t="s">
        <v>120</v>
      </c>
      <c r="D67" s="15" t="s">
        <v>149</v>
      </c>
      <c r="E67" s="17">
        <v>105</v>
      </c>
      <c r="F67" s="15"/>
      <c r="G67" s="15"/>
      <c r="H67" s="15">
        <v>94</v>
      </c>
      <c r="I67" s="36">
        <v>0.5</v>
      </c>
      <c r="J67" s="15">
        <v>24.8</v>
      </c>
      <c r="K67" s="15">
        <v>0</v>
      </c>
      <c r="L67" s="15">
        <v>100</v>
      </c>
      <c r="M67" s="15"/>
      <c r="N67" s="15">
        <v>66.67</v>
      </c>
      <c r="O67" s="17">
        <v>5</v>
      </c>
      <c r="AD67" s="15"/>
      <c r="AM67" s="15"/>
      <c r="AS67" s="15"/>
      <c r="AT67" s="15"/>
      <c r="AW67" s="15"/>
      <c r="AY67" s="15"/>
      <c r="AZ67" s="15"/>
      <c r="BM67" s="15"/>
      <c r="BR67" s="15"/>
      <c r="BT67" s="15"/>
      <c r="BU67" s="15"/>
      <c r="BY67" s="15"/>
      <c r="CL67" s="1">
        <v>5</v>
      </c>
      <c r="CS67" s="15"/>
      <c r="CT67" s="15"/>
      <c r="CY67" s="15">
        <v>1</v>
      </c>
      <c r="CZ67" s="15"/>
      <c r="DD67" s="15"/>
      <c r="DI67" s="1">
        <f t="shared" si="0"/>
        <v>2</v>
      </c>
      <c r="DJ67" s="1">
        <f t="shared" si="1"/>
        <v>6</v>
      </c>
    </row>
    <row r="68" spans="1:114" ht="15.75" customHeight="1" x14ac:dyDescent="0.3">
      <c r="A68" s="15" t="s">
        <v>146</v>
      </c>
      <c r="B68" s="23" t="s">
        <v>179</v>
      </c>
      <c r="C68" s="23" t="s">
        <v>120</v>
      </c>
      <c r="D68" s="15" t="s">
        <v>150</v>
      </c>
      <c r="E68" s="17">
        <v>108</v>
      </c>
      <c r="F68" s="15"/>
      <c r="G68" s="15"/>
      <c r="H68" s="20">
        <v>94</v>
      </c>
      <c r="I68" s="36">
        <v>0.5</v>
      </c>
      <c r="J68" s="15">
        <v>23</v>
      </c>
      <c r="K68" s="15">
        <v>0</v>
      </c>
      <c r="L68" s="15">
        <v>100</v>
      </c>
      <c r="M68" s="15"/>
      <c r="N68" s="15">
        <v>66.67</v>
      </c>
      <c r="O68" s="17">
        <v>5</v>
      </c>
      <c r="AD68" s="15"/>
      <c r="AF68" s="1">
        <v>1</v>
      </c>
      <c r="AM68" s="15"/>
      <c r="AN68" s="1">
        <v>1</v>
      </c>
      <c r="AS68" s="15"/>
      <c r="AT68" s="15"/>
      <c r="AW68" s="15"/>
      <c r="AY68" s="15">
        <v>1</v>
      </c>
      <c r="AZ68" s="15"/>
      <c r="BM68" s="15"/>
      <c r="BR68" s="15"/>
      <c r="BT68" s="15"/>
      <c r="BU68" s="15"/>
      <c r="BY68" s="15"/>
      <c r="CD68" s="1">
        <v>1</v>
      </c>
      <c r="CG68" s="1">
        <v>1</v>
      </c>
      <c r="CS68" s="15"/>
      <c r="CT68" s="15"/>
      <c r="CY68" s="15"/>
      <c r="CZ68" s="15"/>
      <c r="DD68" s="15"/>
      <c r="DI68" s="1">
        <f t="shared" si="0"/>
        <v>5</v>
      </c>
      <c r="DJ68" s="1">
        <f t="shared" si="1"/>
        <v>5</v>
      </c>
    </row>
    <row r="69" spans="1:114" ht="15.75" customHeight="1" x14ac:dyDescent="0.3">
      <c r="A69" s="15" t="s">
        <v>146</v>
      </c>
      <c r="B69" s="23" t="s">
        <v>179</v>
      </c>
      <c r="C69" s="23" t="s">
        <v>120</v>
      </c>
      <c r="D69" s="15" t="s">
        <v>151</v>
      </c>
      <c r="E69" s="17">
        <v>111</v>
      </c>
      <c r="F69" s="15"/>
      <c r="G69" s="15"/>
      <c r="H69" s="20">
        <v>94</v>
      </c>
      <c r="I69" s="36">
        <v>0.5</v>
      </c>
      <c r="J69" s="15">
        <v>22</v>
      </c>
      <c r="K69" s="15">
        <v>0</v>
      </c>
      <c r="L69" s="15">
        <v>100</v>
      </c>
      <c r="M69" s="15"/>
      <c r="N69" s="15">
        <v>66.67</v>
      </c>
      <c r="O69" s="17">
        <v>5</v>
      </c>
      <c r="AD69" s="15"/>
      <c r="AM69" s="15">
        <v>1</v>
      </c>
      <c r="AS69" s="15"/>
      <c r="AT69" s="15"/>
      <c r="AW69" s="15"/>
      <c r="AY69" s="15"/>
      <c r="AZ69" s="15"/>
      <c r="BM69" s="15"/>
      <c r="BR69" s="15"/>
      <c r="BT69" s="15"/>
      <c r="BU69" s="15"/>
      <c r="BY69" s="15"/>
      <c r="CS69" s="15"/>
      <c r="CT69" s="15"/>
      <c r="CY69" s="15"/>
      <c r="CZ69" s="15"/>
      <c r="DD69" s="15"/>
      <c r="DI69" s="1">
        <f t="shared" si="0"/>
        <v>1</v>
      </c>
      <c r="DJ69" s="1">
        <f t="shared" si="1"/>
        <v>1</v>
      </c>
    </row>
    <row r="70" spans="1:114" ht="15.75" customHeight="1" x14ac:dyDescent="0.3">
      <c r="A70" s="15" t="s">
        <v>146</v>
      </c>
      <c r="B70" s="23" t="s">
        <v>181</v>
      </c>
      <c r="C70" s="23" t="s">
        <v>120</v>
      </c>
      <c r="D70" s="15" t="s">
        <v>149</v>
      </c>
      <c r="E70" s="17">
        <v>105</v>
      </c>
      <c r="F70" s="15"/>
      <c r="G70" s="15"/>
      <c r="H70" s="15">
        <v>99</v>
      </c>
      <c r="I70" s="18">
        <v>7.59</v>
      </c>
      <c r="J70" s="15">
        <v>23.9</v>
      </c>
      <c r="K70" s="15">
        <v>0</v>
      </c>
      <c r="L70" s="15">
        <v>100</v>
      </c>
      <c r="M70" s="15">
        <v>500</v>
      </c>
      <c r="N70" s="15">
        <v>66.67</v>
      </c>
      <c r="O70" s="17">
        <v>3</v>
      </c>
      <c r="AD70" s="15"/>
      <c r="AM70" s="15"/>
      <c r="AS70" s="15"/>
      <c r="AT70" s="15"/>
      <c r="AW70" s="15"/>
      <c r="AY70" s="15"/>
      <c r="AZ70" s="15"/>
      <c r="BM70" s="15"/>
      <c r="BR70" s="15"/>
      <c r="BT70" s="15"/>
      <c r="BU70" s="15"/>
      <c r="BY70" s="15"/>
      <c r="CG70" s="1">
        <v>1</v>
      </c>
      <c r="CI70" s="1">
        <v>1</v>
      </c>
      <c r="CJ70" s="1">
        <v>1</v>
      </c>
      <c r="CS70" s="15"/>
      <c r="CT70" s="15"/>
      <c r="CW70" s="1">
        <v>2</v>
      </c>
      <c r="CY70" s="15"/>
      <c r="CZ70" s="15"/>
      <c r="DA70" s="1">
        <v>1</v>
      </c>
      <c r="DD70" s="15"/>
      <c r="DI70" s="1">
        <f t="shared" ref="DI70:DI133" si="2">COUNT(P70:DH70)</f>
        <v>5</v>
      </c>
      <c r="DJ70" s="1">
        <f t="shared" ref="DJ70:DJ133" si="3">SUM(P70:DH70)</f>
        <v>6</v>
      </c>
    </row>
    <row r="71" spans="1:114" ht="15.75" customHeight="1" x14ac:dyDescent="0.3">
      <c r="A71" s="15" t="s">
        <v>146</v>
      </c>
      <c r="B71" s="23" t="s">
        <v>182</v>
      </c>
      <c r="C71" s="23" t="s">
        <v>120</v>
      </c>
      <c r="D71" s="15" t="s">
        <v>149</v>
      </c>
      <c r="E71" s="17">
        <v>105</v>
      </c>
      <c r="F71" s="15"/>
      <c r="G71" s="15"/>
      <c r="H71" s="15">
        <v>99</v>
      </c>
      <c r="I71" s="18">
        <v>13.05</v>
      </c>
      <c r="J71" s="15">
        <v>25.9</v>
      </c>
      <c r="K71" s="15">
        <v>0.45</v>
      </c>
      <c r="L71" s="15">
        <v>100</v>
      </c>
      <c r="M71" s="15">
        <v>500</v>
      </c>
      <c r="N71" s="15">
        <v>100</v>
      </c>
      <c r="O71" s="17">
        <v>3</v>
      </c>
      <c r="AD71" s="15"/>
      <c r="AM71" s="15"/>
      <c r="AS71" s="15"/>
      <c r="AT71" s="15"/>
      <c r="AW71" s="15"/>
      <c r="AY71" s="15"/>
      <c r="AZ71" s="15"/>
      <c r="BM71" s="15"/>
      <c r="BR71" s="15"/>
      <c r="BT71" s="15"/>
      <c r="BU71" s="15"/>
      <c r="BY71" s="15">
        <v>1</v>
      </c>
      <c r="CJ71" s="1">
        <v>1</v>
      </c>
      <c r="CK71" s="1">
        <v>1</v>
      </c>
      <c r="CS71" s="15"/>
      <c r="CT71" s="15"/>
      <c r="CW71" s="1">
        <v>1</v>
      </c>
      <c r="CY71" s="15"/>
      <c r="CZ71" s="15"/>
      <c r="DD71" s="15"/>
      <c r="DI71" s="1">
        <f t="shared" si="2"/>
        <v>4</v>
      </c>
      <c r="DJ71" s="1">
        <f t="shared" si="3"/>
        <v>4</v>
      </c>
    </row>
    <row r="72" spans="1:114" ht="15.75" customHeight="1" x14ac:dyDescent="0.3">
      <c r="A72" s="15" t="s">
        <v>146</v>
      </c>
      <c r="B72" s="23" t="s">
        <v>184</v>
      </c>
      <c r="C72" s="23" t="s">
        <v>120</v>
      </c>
      <c r="D72" s="15" t="s">
        <v>149</v>
      </c>
      <c r="E72" s="17">
        <v>105</v>
      </c>
      <c r="F72" s="15"/>
      <c r="G72" s="15"/>
      <c r="H72" s="15">
        <v>93</v>
      </c>
      <c r="I72" s="18">
        <v>6.64</v>
      </c>
      <c r="J72" s="15">
        <v>26</v>
      </c>
      <c r="K72" s="15">
        <v>0</v>
      </c>
      <c r="L72" s="15">
        <v>100</v>
      </c>
      <c r="M72" s="15">
        <v>500</v>
      </c>
      <c r="N72" s="15">
        <v>100</v>
      </c>
      <c r="O72" s="17">
        <v>2</v>
      </c>
      <c r="Y72" s="1">
        <v>1</v>
      </c>
      <c r="AD72" s="15"/>
      <c r="AM72" s="15"/>
      <c r="AS72" s="15"/>
      <c r="AT72" s="15"/>
      <c r="AV72" s="1">
        <v>2</v>
      </c>
      <c r="AW72" s="15"/>
      <c r="AY72" s="15"/>
      <c r="AZ72" s="15"/>
      <c r="BG72" s="1">
        <v>3</v>
      </c>
      <c r="BI72" s="1">
        <v>2</v>
      </c>
      <c r="BM72" s="15"/>
      <c r="BN72" s="1">
        <v>3</v>
      </c>
      <c r="BR72" s="15"/>
      <c r="BT72" s="15"/>
      <c r="BU72" s="15"/>
      <c r="BY72" s="15"/>
      <c r="CA72" s="1">
        <v>1</v>
      </c>
      <c r="CB72" s="1">
        <v>1</v>
      </c>
      <c r="CS72" s="15"/>
      <c r="CT72" s="15"/>
      <c r="CY72" s="15"/>
      <c r="CZ72" s="15"/>
      <c r="DD72" s="15"/>
      <c r="DI72" s="1">
        <f t="shared" si="2"/>
        <v>7</v>
      </c>
      <c r="DJ72" s="1">
        <f t="shared" si="3"/>
        <v>13</v>
      </c>
    </row>
    <row r="73" spans="1:114" ht="15.75" customHeight="1" x14ac:dyDescent="0.3">
      <c r="A73" s="15" t="s">
        <v>146</v>
      </c>
      <c r="B73" s="23" t="s">
        <v>184</v>
      </c>
      <c r="C73" s="23" t="s">
        <v>120</v>
      </c>
      <c r="D73" s="15" t="s">
        <v>152</v>
      </c>
      <c r="E73" s="17">
        <v>118</v>
      </c>
      <c r="F73" s="15"/>
      <c r="G73" s="15"/>
      <c r="H73" s="15">
        <v>59</v>
      </c>
      <c r="I73" s="18">
        <v>39.5</v>
      </c>
      <c r="J73" s="15">
        <v>31.13</v>
      </c>
      <c r="K73" s="15">
        <v>2.1</v>
      </c>
      <c r="L73" s="15">
        <v>100</v>
      </c>
      <c r="M73" s="15"/>
      <c r="N73" s="15">
        <v>100</v>
      </c>
      <c r="O73" s="17">
        <v>2</v>
      </c>
      <c r="AD73" s="15"/>
      <c r="AM73" s="15"/>
      <c r="AS73" s="15">
        <v>3</v>
      </c>
      <c r="AT73" s="15"/>
      <c r="AU73" s="1">
        <v>3</v>
      </c>
      <c r="AV73" s="1">
        <v>1</v>
      </c>
      <c r="AW73" s="15"/>
      <c r="AY73" s="15"/>
      <c r="AZ73" s="15"/>
      <c r="BM73" s="15"/>
      <c r="BN73" s="1">
        <v>2</v>
      </c>
      <c r="BR73" s="15"/>
      <c r="BT73" s="15"/>
      <c r="BU73" s="15"/>
      <c r="BY73" s="15"/>
      <c r="CS73" s="15"/>
      <c r="CT73" s="15"/>
      <c r="CY73" s="15"/>
      <c r="CZ73" s="15"/>
      <c r="DD73" s="15"/>
      <c r="DI73" s="1">
        <f t="shared" si="2"/>
        <v>4</v>
      </c>
      <c r="DJ73" s="1">
        <f t="shared" si="3"/>
        <v>9</v>
      </c>
    </row>
    <row r="74" spans="1:114" ht="15.75" customHeight="1" x14ac:dyDescent="0.3">
      <c r="A74" s="15" t="s">
        <v>146</v>
      </c>
      <c r="B74" s="23" t="s">
        <v>184</v>
      </c>
      <c r="C74" s="23" t="s">
        <v>122</v>
      </c>
      <c r="D74" s="15" t="s">
        <v>152</v>
      </c>
      <c r="E74" s="17">
        <v>118</v>
      </c>
      <c r="F74" s="15"/>
      <c r="G74" s="15"/>
      <c r="H74" s="15">
        <v>80</v>
      </c>
      <c r="I74" s="18">
        <v>6.56</v>
      </c>
      <c r="J74" s="15">
        <v>23.9</v>
      </c>
      <c r="K74" s="15">
        <v>0</v>
      </c>
      <c r="L74" s="15">
        <v>100</v>
      </c>
      <c r="M74" s="15"/>
      <c r="N74" s="15">
        <v>95.24</v>
      </c>
      <c r="O74" s="17">
        <v>2</v>
      </c>
      <c r="AD74" s="15"/>
      <c r="AM74" s="15"/>
      <c r="AS74" s="15"/>
      <c r="AT74" s="15"/>
      <c r="AW74" s="15"/>
      <c r="AY74" s="15"/>
      <c r="AZ74" s="15"/>
      <c r="BM74" s="15"/>
      <c r="BR74" s="15"/>
      <c r="BT74" s="15"/>
      <c r="BU74" s="15"/>
      <c r="BY74" s="15"/>
      <c r="CS74" s="15"/>
      <c r="CT74" s="15"/>
      <c r="CY74" s="15"/>
      <c r="CZ74" s="15"/>
      <c r="DD74" s="15"/>
      <c r="DI74" s="1">
        <f t="shared" si="2"/>
        <v>0</v>
      </c>
      <c r="DJ74" s="1">
        <f t="shared" si="3"/>
        <v>0</v>
      </c>
    </row>
    <row r="75" spans="1:114" ht="15.75" customHeight="1" x14ac:dyDescent="0.3">
      <c r="A75" s="15" t="s">
        <v>146</v>
      </c>
      <c r="B75" s="23" t="s">
        <v>183</v>
      </c>
      <c r="C75" s="23" t="s">
        <v>120</v>
      </c>
      <c r="D75" s="15" t="s">
        <v>152</v>
      </c>
      <c r="E75" s="17">
        <v>118</v>
      </c>
      <c r="F75" s="15"/>
      <c r="G75" s="15"/>
      <c r="H75" s="15">
        <v>79</v>
      </c>
      <c r="I75" s="18">
        <v>15.5</v>
      </c>
      <c r="J75" s="15">
        <v>28.3</v>
      </c>
      <c r="K75" s="15">
        <v>0</v>
      </c>
      <c r="L75" s="15">
        <v>100</v>
      </c>
      <c r="M75" s="15"/>
      <c r="N75" s="15">
        <v>100</v>
      </c>
      <c r="O75" s="17">
        <v>3</v>
      </c>
      <c r="W75" s="1">
        <v>1</v>
      </c>
      <c r="Y75" s="1">
        <v>1</v>
      </c>
      <c r="AD75" s="15"/>
      <c r="AM75" s="15"/>
      <c r="AS75" s="15"/>
      <c r="AT75" s="15"/>
      <c r="AW75" s="15"/>
      <c r="AY75" s="15"/>
      <c r="AZ75" s="15"/>
      <c r="BM75" s="15"/>
      <c r="BR75" s="15"/>
      <c r="BT75" s="15"/>
      <c r="BU75" s="15"/>
      <c r="BY75" s="15"/>
      <c r="CS75" s="15"/>
      <c r="CT75" s="15"/>
      <c r="CY75" s="15"/>
      <c r="CZ75" s="15"/>
      <c r="DA75" s="1">
        <v>1</v>
      </c>
      <c r="DD75" s="15"/>
      <c r="DI75" s="1">
        <f t="shared" si="2"/>
        <v>3</v>
      </c>
      <c r="DJ75" s="1">
        <f t="shared" si="3"/>
        <v>3</v>
      </c>
    </row>
    <row r="76" spans="1:114" ht="15.75" customHeight="1" x14ac:dyDescent="0.3">
      <c r="A76" s="15" t="s">
        <v>146</v>
      </c>
      <c r="B76" s="23" t="s">
        <v>183</v>
      </c>
      <c r="C76" s="23" t="s">
        <v>122</v>
      </c>
      <c r="D76" s="15" t="s">
        <v>152</v>
      </c>
      <c r="E76" s="17">
        <v>118</v>
      </c>
      <c r="F76" s="15"/>
      <c r="G76" s="15"/>
      <c r="H76" s="15">
        <v>79</v>
      </c>
      <c r="I76" s="18">
        <v>4.87</v>
      </c>
      <c r="J76" s="15">
        <v>25.2</v>
      </c>
      <c r="K76" s="15">
        <v>0</v>
      </c>
      <c r="L76" s="15">
        <v>100</v>
      </c>
      <c r="M76" s="15"/>
      <c r="N76" s="15">
        <v>71.430000000000007</v>
      </c>
      <c r="O76" s="17">
        <v>3</v>
      </c>
      <c r="AD76" s="15"/>
      <c r="AM76" s="15"/>
      <c r="AS76" s="15"/>
      <c r="AT76" s="15"/>
      <c r="AW76" s="15"/>
      <c r="AY76" s="15"/>
      <c r="AZ76" s="15"/>
      <c r="BM76" s="15"/>
      <c r="BR76" s="15"/>
      <c r="BT76" s="15"/>
      <c r="BU76" s="15"/>
      <c r="BY76" s="15"/>
      <c r="CS76" s="15"/>
      <c r="CT76" s="15"/>
      <c r="CY76" s="15"/>
      <c r="CZ76" s="15"/>
      <c r="DD76" s="15"/>
      <c r="DI76" s="1">
        <f t="shared" si="2"/>
        <v>0</v>
      </c>
      <c r="DJ76" s="1">
        <f t="shared" si="3"/>
        <v>0</v>
      </c>
    </row>
    <row r="77" spans="1:114" ht="15.75" customHeight="1" x14ac:dyDescent="0.3">
      <c r="A77" s="15" t="s">
        <v>146</v>
      </c>
      <c r="B77" s="23" t="s">
        <v>185</v>
      </c>
      <c r="C77" s="23" t="s">
        <v>120</v>
      </c>
      <c r="D77" s="15" t="s">
        <v>152</v>
      </c>
      <c r="E77" s="17">
        <v>118</v>
      </c>
      <c r="F77" s="15"/>
      <c r="G77" s="15"/>
      <c r="H77" s="15">
        <v>86</v>
      </c>
      <c r="I77" s="18">
        <v>19.5</v>
      </c>
      <c r="J77" s="15">
        <v>27.4</v>
      </c>
      <c r="K77" s="15">
        <v>2.9</v>
      </c>
      <c r="L77" s="15">
        <v>100</v>
      </c>
      <c r="M77" s="15"/>
      <c r="N77" s="15">
        <v>71.430000000000007</v>
      </c>
      <c r="O77" s="17">
        <v>1</v>
      </c>
      <c r="Y77" s="1">
        <v>2</v>
      </c>
      <c r="AD77" s="15"/>
      <c r="AM77" s="15"/>
      <c r="AS77" s="15">
        <v>2</v>
      </c>
      <c r="AT77" s="15"/>
      <c r="AW77" s="15"/>
      <c r="AY77" s="15"/>
      <c r="AZ77" s="15"/>
      <c r="BM77" s="15"/>
      <c r="BR77" s="15"/>
      <c r="BT77" s="15"/>
      <c r="BU77" s="15"/>
      <c r="BY77" s="15"/>
      <c r="CS77" s="15"/>
      <c r="CT77" s="15"/>
      <c r="CY77" s="15"/>
      <c r="CZ77" s="15"/>
      <c r="DA77" s="1">
        <v>1</v>
      </c>
      <c r="DD77" s="15"/>
      <c r="DI77" s="1">
        <f t="shared" si="2"/>
        <v>3</v>
      </c>
      <c r="DJ77" s="1">
        <f t="shared" si="3"/>
        <v>5</v>
      </c>
    </row>
    <row r="78" spans="1:114" ht="15.75" customHeight="1" x14ac:dyDescent="0.3">
      <c r="A78" s="15" t="s">
        <v>146</v>
      </c>
      <c r="B78" s="23" t="s">
        <v>186</v>
      </c>
      <c r="C78" s="23" t="s">
        <v>120</v>
      </c>
      <c r="D78" s="15" t="s">
        <v>152</v>
      </c>
      <c r="E78" s="17">
        <v>118</v>
      </c>
      <c r="F78" s="15"/>
      <c r="G78" s="15"/>
      <c r="H78" s="15">
        <v>79</v>
      </c>
      <c r="I78" s="18">
        <v>0.56999999999999995</v>
      </c>
      <c r="J78" s="15">
        <v>24.8</v>
      </c>
      <c r="K78" s="15">
        <v>0</v>
      </c>
      <c r="L78" s="15">
        <v>100</v>
      </c>
      <c r="M78" s="15"/>
      <c r="N78" s="15">
        <v>100</v>
      </c>
      <c r="O78" s="17">
        <v>6</v>
      </c>
      <c r="W78" s="1">
        <v>1</v>
      </c>
      <c r="Y78" s="1">
        <v>1</v>
      </c>
      <c r="AD78" s="15"/>
      <c r="AM78" s="15"/>
      <c r="AS78" s="15">
        <v>2</v>
      </c>
      <c r="AT78" s="15"/>
      <c r="AW78" s="15"/>
      <c r="AY78" s="15"/>
      <c r="AZ78" s="15"/>
      <c r="BM78" s="15"/>
      <c r="BR78" s="15"/>
      <c r="BT78" s="15"/>
      <c r="BU78" s="15"/>
      <c r="BY78" s="15"/>
      <c r="CS78" s="15"/>
      <c r="CT78" s="15"/>
      <c r="CY78" s="15"/>
      <c r="CZ78" s="15"/>
      <c r="DD78" s="15"/>
      <c r="DI78" s="1">
        <f t="shared" si="2"/>
        <v>3</v>
      </c>
      <c r="DJ78" s="1">
        <f t="shared" si="3"/>
        <v>4</v>
      </c>
    </row>
    <row r="79" spans="1:114" ht="15.75" customHeight="1" x14ac:dyDescent="0.3">
      <c r="A79" s="15" t="s">
        <v>146</v>
      </c>
      <c r="B79" s="23" t="s">
        <v>186</v>
      </c>
      <c r="C79" s="23" t="s">
        <v>122</v>
      </c>
      <c r="D79" s="15" t="s">
        <v>149</v>
      </c>
      <c r="E79" s="17">
        <v>105</v>
      </c>
      <c r="F79" s="15"/>
      <c r="G79" s="15"/>
      <c r="H79" s="15">
        <v>96</v>
      </c>
      <c r="I79" s="18">
        <v>15.05</v>
      </c>
      <c r="J79" s="15">
        <v>30.2</v>
      </c>
      <c r="K79" s="15">
        <v>0</v>
      </c>
      <c r="L79" s="15">
        <v>100</v>
      </c>
      <c r="M79" s="15">
        <v>500</v>
      </c>
      <c r="N79" s="15">
        <v>66.67</v>
      </c>
      <c r="O79" s="17">
        <v>6</v>
      </c>
      <c r="AD79" s="15"/>
      <c r="AM79" s="15"/>
      <c r="AS79" s="15"/>
      <c r="AT79" s="15"/>
      <c r="AW79" s="15"/>
      <c r="AY79" s="15"/>
      <c r="AZ79" s="15"/>
      <c r="BD79" s="1">
        <v>1</v>
      </c>
      <c r="BM79" s="15"/>
      <c r="BR79" s="15"/>
      <c r="BT79" s="15"/>
      <c r="BU79" s="15"/>
      <c r="BY79" s="15"/>
      <c r="CM79" s="1">
        <v>5</v>
      </c>
      <c r="CS79" s="15"/>
      <c r="CT79" s="15"/>
      <c r="CY79" s="15"/>
      <c r="CZ79" s="15"/>
      <c r="DD79" s="15"/>
      <c r="DI79" s="1">
        <f t="shared" si="2"/>
        <v>2</v>
      </c>
      <c r="DJ79" s="1">
        <f t="shared" si="3"/>
        <v>6</v>
      </c>
    </row>
    <row r="80" spans="1:114" ht="15.75" customHeight="1" x14ac:dyDescent="0.3">
      <c r="A80" s="15" t="s">
        <v>146</v>
      </c>
      <c r="B80" s="15" t="s">
        <v>186</v>
      </c>
      <c r="C80" s="15" t="s">
        <v>122</v>
      </c>
      <c r="D80" s="15" t="s">
        <v>152</v>
      </c>
      <c r="E80" s="17">
        <v>118</v>
      </c>
      <c r="F80" s="15"/>
      <c r="G80" s="15"/>
      <c r="H80" s="15">
        <v>57</v>
      </c>
      <c r="I80" s="18">
        <v>153.19999999999999</v>
      </c>
      <c r="J80" s="15">
        <v>30.2</v>
      </c>
      <c r="K80" s="15">
        <v>0.4</v>
      </c>
      <c r="L80" s="15">
        <v>100</v>
      </c>
      <c r="M80" s="15"/>
      <c r="N80" s="15">
        <v>71.430000000000007</v>
      </c>
      <c r="O80" s="17">
        <v>6</v>
      </c>
      <c r="AD80" s="15"/>
      <c r="AM80" s="15"/>
      <c r="AS80" s="15"/>
      <c r="AT80" s="15"/>
      <c r="AW80" s="15"/>
      <c r="AY80" s="15"/>
      <c r="AZ80" s="15"/>
      <c r="BM80" s="15"/>
      <c r="BP80" s="1">
        <v>1</v>
      </c>
      <c r="BQ80" s="1">
        <v>2</v>
      </c>
      <c r="BR80" s="15"/>
      <c r="BT80" s="15"/>
      <c r="BU80" s="15"/>
      <c r="BY80" s="15"/>
      <c r="CS80" s="15"/>
      <c r="CT80" s="15"/>
      <c r="CY80" s="15"/>
      <c r="CZ80" s="15"/>
      <c r="DD80" s="15"/>
      <c r="DI80" s="1">
        <f t="shared" si="2"/>
        <v>2</v>
      </c>
      <c r="DJ80" s="1">
        <f t="shared" si="3"/>
        <v>3</v>
      </c>
    </row>
    <row r="81" spans="1:114" ht="15.75" customHeight="1" x14ac:dyDescent="0.3">
      <c r="A81" s="15"/>
      <c r="B81" s="37"/>
      <c r="C81" s="27"/>
      <c r="E81" s="17"/>
      <c r="F81" s="15"/>
      <c r="G81" s="15"/>
      <c r="H81" s="15"/>
      <c r="I81" s="18"/>
      <c r="J81" s="15"/>
      <c r="K81" s="15"/>
      <c r="L81" s="15"/>
      <c r="M81" s="15"/>
      <c r="N81" s="15"/>
      <c r="O81" s="17"/>
      <c r="AD81" s="15"/>
      <c r="AM81" s="15"/>
      <c r="AS81" s="15"/>
      <c r="AT81" s="15"/>
      <c r="AW81" s="15"/>
      <c r="AY81" s="15"/>
      <c r="AZ81" s="15"/>
      <c r="BM81" s="15"/>
      <c r="BR81" s="15"/>
      <c r="BT81" s="15"/>
      <c r="BU81" s="15"/>
      <c r="BY81" s="15"/>
      <c r="CS81" s="15"/>
      <c r="CT81" s="15"/>
      <c r="CY81" s="15"/>
      <c r="CZ81" s="15"/>
      <c r="DD81" s="15"/>
      <c r="DI81" s="1">
        <f t="shared" si="2"/>
        <v>0</v>
      </c>
      <c r="DJ81" s="1">
        <f t="shared" si="3"/>
        <v>0</v>
      </c>
    </row>
    <row r="82" spans="1:114" ht="15.75" customHeight="1" x14ac:dyDescent="0.3">
      <c r="A82" s="15" t="s">
        <v>153</v>
      </c>
      <c r="B82" s="23" t="s">
        <v>176</v>
      </c>
      <c r="C82" s="23" t="s">
        <v>120</v>
      </c>
      <c r="D82" s="19">
        <v>44877</v>
      </c>
      <c r="E82" s="17">
        <v>133</v>
      </c>
      <c r="F82" s="15"/>
      <c r="G82" s="15"/>
      <c r="H82" s="15">
        <v>98</v>
      </c>
      <c r="I82" s="18">
        <v>7.54</v>
      </c>
      <c r="J82" s="15">
        <v>25.8</v>
      </c>
      <c r="K82" s="15">
        <v>0</v>
      </c>
      <c r="L82" s="15">
        <v>100</v>
      </c>
      <c r="M82" s="15"/>
      <c r="N82" s="15">
        <v>55.4</v>
      </c>
      <c r="O82" s="17">
        <v>4</v>
      </c>
      <c r="S82" s="1">
        <v>1</v>
      </c>
      <c r="X82" s="1">
        <v>1</v>
      </c>
      <c r="AD82" s="15"/>
      <c r="AM82" s="15"/>
      <c r="AS82" s="15"/>
      <c r="AT82" s="15"/>
      <c r="AW82" s="15"/>
      <c r="AY82" s="15">
        <v>1</v>
      </c>
      <c r="AZ82" s="15"/>
      <c r="BM82" s="15"/>
      <c r="BR82" s="15"/>
      <c r="BT82" s="15"/>
      <c r="BU82" s="15">
        <v>2</v>
      </c>
      <c r="BY82" s="15"/>
      <c r="CS82" s="15"/>
      <c r="CT82" s="15"/>
      <c r="CW82" s="1">
        <v>2</v>
      </c>
      <c r="CY82" s="15"/>
      <c r="CZ82" s="15"/>
      <c r="DD82" s="15"/>
      <c r="DI82" s="1">
        <f t="shared" si="2"/>
        <v>5</v>
      </c>
      <c r="DJ82" s="1">
        <f t="shared" si="3"/>
        <v>7</v>
      </c>
    </row>
    <row r="83" spans="1:114" ht="15.75" customHeight="1" x14ac:dyDescent="0.3">
      <c r="A83" s="15" t="s">
        <v>153</v>
      </c>
      <c r="B83" s="23" t="s">
        <v>176</v>
      </c>
      <c r="C83" s="23" t="s">
        <v>120</v>
      </c>
      <c r="D83" s="15" t="s">
        <v>154</v>
      </c>
      <c r="E83" s="17">
        <v>146</v>
      </c>
      <c r="F83" s="15"/>
      <c r="G83" s="15"/>
      <c r="H83" s="15">
        <v>99</v>
      </c>
      <c r="I83" s="18">
        <v>6.06</v>
      </c>
      <c r="J83" s="15">
        <v>25.35</v>
      </c>
      <c r="K83" s="15">
        <v>0</v>
      </c>
      <c r="L83" s="15">
        <v>100</v>
      </c>
      <c r="M83" s="15"/>
      <c r="N83" s="15">
        <v>95.24</v>
      </c>
      <c r="O83" s="17">
        <v>4</v>
      </c>
      <c r="R83" s="1">
        <v>1</v>
      </c>
      <c r="AD83" s="15"/>
      <c r="AM83" s="15"/>
      <c r="AS83" s="15"/>
      <c r="AT83" s="15"/>
      <c r="AW83" s="15"/>
      <c r="AY83" s="15"/>
      <c r="AZ83" s="15"/>
      <c r="BM83" s="15">
        <v>1</v>
      </c>
      <c r="BR83" s="15"/>
      <c r="BT83" s="15"/>
      <c r="BU83" s="15"/>
      <c r="BY83" s="15">
        <v>1</v>
      </c>
      <c r="CD83" s="1">
        <v>1</v>
      </c>
      <c r="CK83" s="1">
        <v>1</v>
      </c>
      <c r="CS83" s="15">
        <v>1</v>
      </c>
      <c r="CT83" s="15"/>
      <c r="CY83" s="15">
        <v>1</v>
      </c>
      <c r="CZ83" s="15"/>
      <c r="DA83" s="1">
        <v>1</v>
      </c>
      <c r="DD83" s="15">
        <v>1</v>
      </c>
      <c r="DI83" s="1">
        <f t="shared" si="2"/>
        <v>9</v>
      </c>
      <c r="DJ83" s="1">
        <f t="shared" si="3"/>
        <v>9</v>
      </c>
    </row>
    <row r="84" spans="1:114" ht="15.75" customHeight="1" x14ac:dyDescent="0.3">
      <c r="A84" s="15" t="s">
        <v>153</v>
      </c>
      <c r="B84" s="23" t="s">
        <v>177</v>
      </c>
      <c r="C84" s="23" t="s">
        <v>120</v>
      </c>
      <c r="D84" s="15" t="s">
        <v>154</v>
      </c>
      <c r="E84" s="17">
        <v>146</v>
      </c>
      <c r="F84" s="15"/>
      <c r="G84" s="15"/>
      <c r="H84" s="15">
        <v>98</v>
      </c>
      <c r="I84" s="18">
        <v>0.77</v>
      </c>
      <c r="J84" s="15">
        <v>22.6</v>
      </c>
      <c r="K84" s="15">
        <v>0</v>
      </c>
      <c r="L84" s="15">
        <v>100</v>
      </c>
      <c r="M84" s="15"/>
      <c r="N84" s="15">
        <v>71.430000000000007</v>
      </c>
      <c r="O84" s="17">
        <v>3</v>
      </c>
      <c r="AD84" s="15">
        <v>3</v>
      </c>
      <c r="AI84" s="1">
        <v>1</v>
      </c>
      <c r="AM84" s="15"/>
      <c r="AS84" s="15"/>
      <c r="AT84" s="15"/>
      <c r="AW84" s="15"/>
      <c r="AY84" s="15"/>
      <c r="AZ84" s="15">
        <v>1</v>
      </c>
      <c r="BM84" s="15"/>
      <c r="BR84" s="15"/>
      <c r="BT84" s="15"/>
      <c r="BU84" s="15">
        <v>1</v>
      </c>
      <c r="BY84" s="15">
        <v>1</v>
      </c>
      <c r="CG84" s="1">
        <v>1</v>
      </c>
      <c r="CN84" s="1">
        <v>5</v>
      </c>
      <c r="CS84" s="15"/>
      <c r="CT84" s="15"/>
      <c r="CY84" s="15">
        <v>1</v>
      </c>
      <c r="CZ84" s="15"/>
      <c r="DD84" s="15"/>
      <c r="DI84" s="1">
        <f t="shared" si="2"/>
        <v>8</v>
      </c>
      <c r="DJ84" s="1">
        <f t="shared" si="3"/>
        <v>14</v>
      </c>
    </row>
    <row r="85" spans="1:114" ht="15.75" customHeight="1" x14ac:dyDescent="0.3">
      <c r="A85" s="15" t="s">
        <v>153</v>
      </c>
      <c r="B85" s="23" t="s">
        <v>177</v>
      </c>
      <c r="C85" s="23" t="s">
        <v>122</v>
      </c>
      <c r="D85" s="19">
        <v>44846</v>
      </c>
      <c r="E85" s="17">
        <v>132</v>
      </c>
      <c r="F85" s="15"/>
      <c r="G85" s="15"/>
      <c r="H85" s="15">
        <v>82</v>
      </c>
      <c r="I85" s="36">
        <v>0.19800000000000001</v>
      </c>
      <c r="J85" s="15">
        <v>24.3</v>
      </c>
      <c r="K85" s="15">
        <v>0</v>
      </c>
      <c r="L85" s="15">
        <v>20</v>
      </c>
      <c r="M85" s="15"/>
      <c r="N85" s="15">
        <v>47.62</v>
      </c>
      <c r="O85" s="17">
        <v>3</v>
      </c>
      <c r="AD85" s="15">
        <v>1</v>
      </c>
      <c r="AF85" s="1">
        <v>1</v>
      </c>
      <c r="AM85" s="15"/>
      <c r="AS85" s="15"/>
      <c r="AT85" s="15"/>
      <c r="AW85" s="15"/>
      <c r="AY85" s="15"/>
      <c r="AZ85" s="15">
        <v>1</v>
      </c>
      <c r="BI85" s="1">
        <v>1</v>
      </c>
      <c r="BM85" s="15">
        <v>1</v>
      </c>
      <c r="BR85" s="15"/>
      <c r="BT85" s="15"/>
      <c r="BU85" s="15"/>
      <c r="BY85" s="15"/>
      <c r="CN85" s="1">
        <v>3</v>
      </c>
      <c r="CO85" s="1">
        <v>1</v>
      </c>
      <c r="CS85" s="15"/>
      <c r="CT85" s="15">
        <v>1</v>
      </c>
      <c r="CW85" s="1">
        <v>2</v>
      </c>
      <c r="CY85" s="15"/>
      <c r="CZ85" s="15"/>
      <c r="DD85" s="15"/>
      <c r="DI85" s="1">
        <f t="shared" si="2"/>
        <v>9</v>
      </c>
      <c r="DJ85" s="1">
        <f t="shared" si="3"/>
        <v>12</v>
      </c>
    </row>
    <row r="86" spans="1:114" ht="15.75" customHeight="1" x14ac:dyDescent="0.3">
      <c r="A86" s="15" t="s">
        <v>153</v>
      </c>
      <c r="B86" s="23" t="s">
        <v>179</v>
      </c>
      <c r="C86" s="23" t="s">
        <v>120</v>
      </c>
      <c r="D86" s="19" t="s">
        <v>155</v>
      </c>
      <c r="E86" s="17">
        <v>144</v>
      </c>
      <c r="F86" s="15"/>
      <c r="G86" s="15"/>
      <c r="H86" s="15">
        <v>98</v>
      </c>
      <c r="I86" s="18">
        <v>3.69</v>
      </c>
      <c r="J86" s="15">
        <v>22.35</v>
      </c>
      <c r="K86" s="15">
        <v>0</v>
      </c>
      <c r="L86" s="15">
        <v>0</v>
      </c>
      <c r="M86" s="15"/>
      <c r="N86" s="15">
        <v>100</v>
      </c>
      <c r="O86" s="17">
        <v>5</v>
      </c>
      <c r="AD86" s="15"/>
      <c r="AM86" s="15"/>
      <c r="AS86" s="15"/>
      <c r="AT86" s="15"/>
      <c r="AW86" s="15"/>
      <c r="AY86" s="15"/>
      <c r="AZ86" s="15">
        <v>1</v>
      </c>
      <c r="BM86" s="15"/>
      <c r="BR86" s="15"/>
      <c r="BT86" s="15"/>
      <c r="BU86" s="15"/>
      <c r="BY86" s="15"/>
      <c r="CG86" s="1">
        <v>1</v>
      </c>
      <c r="CL86" s="1">
        <v>5</v>
      </c>
      <c r="CS86" s="15"/>
      <c r="CT86" s="15"/>
      <c r="CY86" s="15"/>
      <c r="CZ86" s="15"/>
      <c r="DD86" s="15"/>
      <c r="DI86" s="1">
        <f t="shared" si="2"/>
        <v>3</v>
      </c>
      <c r="DJ86" s="1">
        <f t="shared" si="3"/>
        <v>7</v>
      </c>
    </row>
    <row r="87" spans="1:114" ht="15.75" customHeight="1" x14ac:dyDescent="0.3">
      <c r="A87" s="15" t="s">
        <v>153</v>
      </c>
      <c r="B87" s="23" t="s">
        <v>179</v>
      </c>
      <c r="C87" s="23" t="s">
        <v>120</v>
      </c>
      <c r="D87" s="15" t="s">
        <v>155</v>
      </c>
      <c r="E87" s="17">
        <v>144</v>
      </c>
      <c r="F87" s="15"/>
      <c r="G87" s="15"/>
      <c r="H87" s="15">
        <v>98</v>
      </c>
      <c r="I87" s="18">
        <v>3.69</v>
      </c>
      <c r="J87" s="15">
        <v>22.35</v>
      </c>
      <c r="K87" s="15">
        <v>0</v>
      </c>
      <c r="L87" s="15">
        <v>0</v>
      </c>
      <c r="M87" s="15"/>
      <c r="N87" s="15">
        <v>100</v>
      </c>
      <c r="O87" s="17">
        <v>5</v>
      </c>
      <c r="AD87" s="15"/>
      <c r="AM87" s="15">
        <v>1</v>
      </c>
      <c r="AN87" s="1">
        <v>1</v>
      </c>
      <c r="AS87" s="15"/>
      <c r="AT87" s="15"/>
      <c r="AW87" s="15"/>
      <c r="AY87" s="15"/>
      <c r="AZ87" s="15"/>
      <c r="BI87" s="1">
        <v>1</v>
      </c>
      <c r="BL87" s="1">
        <v>1</v>
      </c>
      <c r="BM87" s="15"/>
      <c r="BR87" s="15"/>
      <c r="BT87" s="15">
        <v>1</v>
      </c>
      <c r="BU87" s="15"/>
      <c r="BY87" s="15"/>
      <c r="BZ87" s="1">
        <v>1</v>
      </c>
      <c r="CD87" s="1">
        <v>1</v>
      </c>
      <c r="CG87" s="1">
        <v>1</v>
      </c>
      <c r="CI87" s="1">
        <v>2</v>
      </c>
      <c r="CJ87" s="1">
        <v>1</v>
      </c>
      <c r="CS87" s="15"/>
      <c r="CT87" s="15"/>
      <c r="CU87" s="1">
        <v>1</v>
      </c>
      <c r="CY87" s="15">
        <v>1</v>
      </c>
      <c r="CZ87" s="15"/>
      <c r="DA87" s="1">
        <v>1</v>
      </c>
      <c r="DD87" s="15"/>
      <c r="DI87" s="1">
        <f t="shared" si="2"/>
        <v>13</v>
      </c>
      <c r="DJ87" s="1">
        <f t="shared" si="3"/>
        <v>14</v>
      </c>
    </row>
    <row r="88" spans="1:114" ht="15.75" customHeight="1" x14ac:dyDescent="0.3">
      <c r="A88" s="15" t="s">
        <v>153</v>
      </c>
      <c r="B88" s="23" t="s">
        <v>179</v>
      </c>
      <c r="C88" s="23" t="s">
        <v>122</v>
      </c>
      <c r="D88" s="19">
        <v>44846</v>
      </c>
      <c r="E88" s="17">
        <v>132</v>
      </c>
      <c r="F88" s="15"/>
      <c r="G88" s="15"/>
      <c r="H88" s="15">
        <v>90</v>
      </c>
      <c r="I88" s="36">
        <v>3.5000000000000003E-2</v>
      </c>
      <c r="J88" s="15">
        <v>24.2</v>
      </c>
      <c r="K88" s="15">
        <v>0</v>
      </c>
      <c r="L88" s="15">
        <v>20</v>
      </c>
      <c r="M88" s="15"/>
      <c r="N88" s="15">
        <v>100</v>
      </c>
      <c r="O88" s="17">
        <v>5</v>
      </c>
      <c r="AD88" s="15"/>
      <c r="AM88" s="15"/>
      <c r="AN88" s="1">
        <v>1</v>
      </c>
      <c r="AS88" s="15"/>
      <c r="AT88" s="15"/>
      <c r="AW88" s="15"/>
      <c r="AY88" s="15"/>
      <c r="AZ88" s="15"/>
      <c r="BM88" s="15"/>
      <c r="BR88" s="15"/>
      <c r="BT88" s="15"/>
      <c r="BU88" s="15"/>
      <c r="BY88" s="15"/>
      <c r="CS88" s="15"/>
      <c r="CT88" s="15"/>
      <c r="CY88" s="15"/>
      <c r="CZ88" s="15"/>
      <c r="DD88" s="15"/>
      <c r="DI88" s="1">
        <f t="shared" si="2"/>
        <v>1</v>
      </c>
      <c r="DJ88" s="1">
        <f t="shared" si="3"/>
        <v>1</v>
      </c>
    </row>
    <row r="89" spans="1:114" ht="15.75" customHeight="1" x14ac:dyDescent="0.3">
      <c r="A89" s="15" t="s">
        <v>153</v>
      </c>
      <c r="B89" s="23" t="s">
        <v>179</v>
      </c>
      <c r="C89" s="23" t="s">
        <v>122</v>
      </c>
      <c r="D89" s="19">
        <v>44877</v>
      </c>
      <c r="E89" s="17">
        <v>133</v>
      </c>
      <c r="F89" s="15"/>
      <c r="G89" s="15"/>
      <c r="H89" s="15">
        <v>61</v>
      </c>
      <c r="I89" s="36">
        <v>9.4E-2</v>
      </c>
      <c r="J89" s="15">
        <v>25.5</v>
      </c>
      <c r="K89" s="15">
        <v>0</v>
      </c>
      <c r="L89" s="15">
        <v>15</v>
      </c>
      <c r="M89" s="15"/>
      <c r="N89" s="15">
        <v>71.430000000000007</v>
      </c>
      <c r="O89" s="17">
        <v>5</v>
      </c>
      <c r="AD89" s="15"/>
      <c r="AF89" s="1">
        <v>1</v>
      </c>
      <c r="AK89" s="1">
        <v>1</v>
      </c>
      <c r="AM89" s="15"/>
      <c r="AS89" s="15"/>
      <c r="AT89" s="15"/>
      <c r="AW89" s="15"/>
      <c r="AY89" s="15"/>
      <c r="AZ89" s="15">
        <v>2</v>
      </c>
      <c r="BD89" s="1">
        <v>2</v>
      </c>
      <c r="BM89" s="15"/>
      <c r="BR89" s="15"/>
      <c r="BT89" s="15"/>
      <c r="BU89" s="15"/>
      <c r="BY89" s="15"/>
      <c r="CD89" s="1">
        <v>1</v>
      </c>
      <c r="CK89" s="1">
        <v>1</v>
      </c>
      <c r="CS89" s="15"/>
      <c r="CT89" s="15"/>
      <c r="CY89" s="15"/>
      <c r="CZ89" s="15"/>
      <c r="DD89" s="15"/>
      <c r="DI89" s="1">
        <f t="shared" si="2"/>
        <v>6</v>
      </c>
      <c r="DJ89" s="1">
        <f t="shared" si="3"/>
        <v>8</v>
      </c>
    </row>
    <row r="90" spans="1:114" ht="15.75" customHeight="1" x14ac:dyDescent="0.3">
      <c r="A90" s="15" t="s">
        <v>153</v>
      </c>
      <c r="B90" s="23" t="s">
        <v>179</v>
      </c>
      <c r="C90" s="23" t="s">
        <v>122</v>
      </c>
      <c r="D90" s="19" t="s">
        <v>156</v>
      </c>
      <c r="E90" s="17">
        <v>145</v>
      </c>
      <c r="F90" s="15"/>
      <c r="G90" s="15"/>
      <c r="H90" s="15">
        <v>65</v>
      </c>
      <c r="I90" s="36">
        <v>3.5000000000000003E-2</v>
      </c>
      <c r="J90" s="15">
        <v>25.7</v>
      </c>
      <c r="K90" s="15">
        <v>0</v>
      </c>
      <c r="L90" s="15">
        <v>100</v>
      </c>
      <c r="M90" s="15">
        <v>560</v>
      </c>
      <c r="N90" s="15">
        <v>100</v>
      </c>
      <c r="O90" s="17">
        <v>5</v>
      </c>
      <c r="AD90" s="15"/>
      <c r="AM90" s="15"/>
      <c r="AS90" s="15"/>
      <c r="AT90" s="15"/>
      <c r="AW90" s="15"/>
      <c r="AY90" s="15"/>
      <c r="AZ90" s="15">
        <v>1</v>
      </c>
      <c r="BM90" s="15"/>
      <c r="BR90" s="15"/>
      <c r="BT90" s="15"/>
      <c r="BU90" s="15"/>
      <c r="BY90" s="15"/>
      <c r="CG90" s="1">
        <v>1</v>
      </c>
      <c r="CJ90" s="1">
        <v>1</v>
      </c>
      <c r="CS90" s="15"/>
      <c r="CT90" s="15"/>
      <c r="CY90" s="15"/>
      <c r="CZ90" s="15"/>
      <c r="DD90" s="15"/>
      <c r="DI90" s="1">
        <f t="shared" si="2"/>
        <v>3</v>
      </c>
      <c r="DJ90" s="1">
        <f t="shared" si="3"/>
        <v>3</v>
      </c>
    </row>
    <row r="91" spans="1:114" ht="15.75" customHeight="1" x14ac:dyDescent="0.3">
      <c r="A91" s="15" t="s">
        <v>153</v>
      </c>
      <c r="B91" s="23" t="s">
        <v>180</v>
      </c>
      <c r="C91" s="23" t="s">
        <v>120</v>
      </c>
      <c r="D91" s="15" t="s">
        <v>155</v>
      </c>
      <c r="E91" s="17">
        <v>144</v>
      </c>
      <c r="F91" s="15"/>
      <c r="G91" s="15"/>
      <c r="H91" s="15">
        <v>85</v>
      </c>
      <c r="I91" s="18">
        <v>3.81</v>
      </c>
      <c r="J91" s="15">
        <v>25</v>
      </c>
      <c r="K91" s="15">
        <v>0</v>
      </c>
      <c r="L91" s="15">
        <v>78.33</v>
      </c>
      <c r="M91" s="15"/>
      <c r="N91" s="15">
        <v>100</v>
      </c>
      <c r="O91" s="17">
        <v>5</v>
      </c>
      <c r="X91" s="1">
        <v>1</v>
      </c>
      <c r="AD91" s="15"/>
      <c r="AM91" s="15"/>
      <c r="AS91" s="15"/>
      <c r="AT91" s="15"/>
      <c r="AW91" s="15"/>
      <c r="AY91" s="15"/>
      <c r="AZ91" s="15"/>
      <c r="BM91" s="15"/>
      <c r="BR91" s="15"/>
      <c r="BT91" s="15"/>
      <c r="BU91" s="15"/>
      <c r="BY91" s="15"/>
      <c r="CG91" s="1">
        <v>1</v>
      </c>
      <c r="CS91" s="15"/>
      <c r="CT91" s="15"/>
      <c r="CY91" s="15"/>
      <c r="CZ91" s="15"/>
      <c r="DA91" s="1">
        <v>1</v>
      </c>
      <c r="DD91" s="15"/>
      <c r="DI91" s="1">
        <f t="shared" si="2"/>
        <v>3</v>
      </c>
      <c r="DJ91" s="1">
        <f t="shared" si="3"/>
        <v>3</v>
      </c>
    </row>
    <row r="92" spans="1:114" ht="15.75" customHeight="1" x14ac:dyDescent="0.3">
      <c r="A92" s="15" t="s">
        <v>153</v>
      </c>
      <c r="B92" s="23" t="s">
        <v>180</v>
      </c>
      <c r="C92" s="23" t="s">
        <v>122</v>
      </c>
      <c r="D92" s="19">
        <v>44877</v>
      </c>
      <c r="E92" s="17">
        <v>133</v>
      </c>
      <c r="F92" s="15"/>
      <c r="G92" s="15"/>
      <c r="H92" s="15">
        <v>61</v>
      </c>
      <c r="I92" s="18">
        <v>4.78</v>
      </c>
      <c r="J92" s="15">
        <v>28.7</v>
      </c>
      <c r="K92" s="15">
        <v>0</v>
      </c>
      <c r="L92" s="15">
        <v>100</v>
      </c>
      <c r="M92" s="15"/>
      <c r="N92" s="15">
        <v>66.67</v>
      </c>
      <c r="O92" s="17">
        <v>5</v>
      </c>
      <c r="AD92" s="15"/>
      <c r="AM92" s="15"/>
      <c r="AS92" s="15"/>
      <c r="AT92" s="15"/>
      <c r="AW92" s="15"/>
      <c r="AY92" s="15"/>
      <c r="AZ92" s="15"/>
      <c r="BM92" s="15"/>
      <c r="BR92" s="15"/>
      <c r="BT92" s="15"/>
      <c r="BU92" s="15"/>
      <c r="BY92" s="15"/>
      <c r="CS92" s="15"/>
      <c r="CT92" s="15"/>
      <c r="CY92" s="15"/>
      <c r="CZ92" s="15"/>
      <c r="DD92" s="15"/>
      <c r="DI92" s="1">
        <f t="shared" si="2"/>
        <v>0</v>
      </c>
      <c r="DJ92" s="1">
        <f t="shared" si="3"/>
        <v>0</v>
      </c>
    </row>
    <row r="93" spans="1:114" ht="15.75" customHeight="1" x14ac:dyDescent="0.3">
      <c r="A93" s="15" t="s">
        <v>153</v>
      </c>
      <c r="B93" s="23" t="s">
        <v>180</v>
      </c>
      <c r="C93" s="23" t="s">
        <v>122</v>
      </c>
      <c r="D93" s="19">
        <v>44877</v>
      </c>
      <c r="E93" s="17">
        <v>133</v>
      </c>
      <c r="F93" s="15"/>
      <c r="G93" s="15"/>
      <c r="H93" s="15">
        <v>47</v>
      </c>
      <c r="I93" s="36">
        <v>0.74399999999999999</v>
      </c>
      <c r="J93" s="15">
        <v>29.9</v>
      </c>
      <c r="K93" s="15">
        <v>0</v>
      </c>
      <c r="L93" s="15">
        <v>2</v>
      </c>
      <c r="M93" s="15"/>
      <c r="N93" s="15">
        <v>95.24</v>
      </c>
      <c r="O93" s="17">
        <v>5</v>
      </c>
      <c r="AD93" s="15"/>
      <c r="AM93" s="15"/>
      <c r="AS93" s="15"/>
      <c r="AT93" s="15"/>
      <c r="AW93" s="15"/>
      <c r="AY93" s="15"/>
      <c r="AZ93" s="15">
        <v>1</v>
      </c>
      <c r="BB93" s="1">
        <v>1</v>
      </c>
      <c r="BM93" s="15"/>
      <c r="BR93" s="15"/>
      <c r="BT93" s="15"/>
      <c r="BU93" s="15"/>
      <c r="BY93" s="15"/>
      <c r="CS93" s="15"/>
      <c r="CT93" s="15"/>
      <c r="CY93" s="15"/>
      <c r="CZ93" s="15"/>
      <c r="DD93" s="15"/>
      <c r="DI93" s="1">
        <f t="shared" si="2"/>
        <v>2</v>
      </c>
      <c r="DJ93" s="1">
        <f t="shared" si="3"/>
        <v>2</v>
      </c>
    </row>
    <row r="94" spans="1:114" ht="15.75" customHeight="1" x14ac:dyDescent="0.3">
      <c r="A94" s="15" t="s">
        <v>153</v>
      </c>
      <c r="B94" s="23" t="s">
        <v>180</v>
      </c>
      <c r="C94" s="23" t="s">
        <v>122</v>
      </c>
      <c r="D94" s="19" t="s">
        <v>156</v>
      </c>
      <c r="E94" s="17">
        <v>145</v>
      </c>
      <c r="F94" s="15"/>
      <c r="G94" s="15"/>
      <c r="H94" s="15">
        <v>50</v>
      </c>
      <c r="I94" s="36">
        <v>0.7</v>
      </c>
      <c r="J94" s="15">
        <v>26.3</v>
      </c>
      <c r="K94" s="15">
        <v>0</v>
      </c>
      <c r="L94" s="15">
        <v>100</v>
      </c>
      <c r="M94" s="15">
        <v>560</v>
      </c>
      <c r="N94" s="15">
        <v>47.62</v>
      </c>
      <c r="O94" s="17">
        <v>5</v>
      </c>
      <c r="AD94" s="15"/>
      <c r="AF94" s="1">
        <v>4</v>
      </c>
      <c r="AM94" s="15"/>
      <c r="AS94" s="15"/>
      <c r="AT94" s="15"/>
      <c r="AW94" s="15"/>
      <c r="AY94" s="15"/>
      <c r="AZ94" s="15">
        <v>1</v>
      </c>
      <c r="BM94" s="15"/>
      <c r="BR94" s="15"/>
      <c r="BT94" s="15"/>
      <c r="BU94" s="15"/>
      <c r="BY94" s="15"/>
      <c r="CS94" s="15"/>
      <c r="CT94" s="15"/>
      <c r="CY94" s="15"/>
      <c r="CZ94" s="15"/>
      <c r="DD94" s="15"/>
      <c r="DI94" s="1">
        <f t="shared" si="2"/>
        <v>2</v>
      </c>
      <c r="DJ94" s="1">
        <f t="shared" si="3"/>
        <v>5</v>
      </c>
    </row>
    <row r="95" spans="1:114" ht="15.75" customHeight="1" x14ac:dyDescent="0.3">
      <c r="A95" s="15" t="s">
        <v>153</v>
      </c>
      <c r="B95" s="23" t="s">
        <v>181</v>
      </c>
      <c r="C95" s="23" t="s">
        <v>120</v>
      </c>
      <c r="D95" s="15" t="s">
        <v>155</v>
      </c>
      <c r="E95" s="17">
        <v>144</v>
      </c>
      <c r="F95" s="15"/>
      <c r="G95" s="15"/>
      <c r="H95" s="15">
        <v>85</v>
      </c>
      <c r="I95" s="18">
        <v>13.84</v>
      </c>
      <c r="J95" s="15">
        <v>26.7</v>
      </c>
      <c r="K95" s="15">
        <v>0</v>
      </c>
      <c r="L95" s="15">
        <v>100</v>
      </c>
      <c r="M95" s="15"/>
      <c r="N95" s="15">
        <v>95.24</v>
      </c>
      <c r="O95" s="17">
        <v>3</v>
      </c>
      <c r="AD95" s="15"/>
      <c r="AM95" s="15"/>
      <c r="AS95" s="15"/>
      <c r="AT95" s="15"/>
      <c r="AU95" s="1">
        <v>2</v>
      </c>
      <c r="AW95" s="15"/>
      <c r="AY95" s="15"/>
      <c r="AZ95" s="15"/>
      <c r="BM95" s="15"/>
      <c r="BR95" s="15"/>
      <c r="BT95" s="15"/>
      <c r="BU95" s="15"/>
      <c r="BY95" s="15"/>
      <c r="CG95" s="1">
        <v>1</v>
      </c>
      <c r="CI95" s="1">
        <v>2</v>
      </c>
      <c r="CS95" s="15"/>
      <c r="CT95" s="15"/>
      <c r="CY95" s="15"/>
      <c r="CZ95" s="15"/>
      <c r="DA95" s="1">
        <v>1</v>
      </c>
      <c r="DD95" s="15"/>
      <c r="DI95" s="1">
        <f t="shared" si="2"/>
        <v>4</v>
      </c>
      <c r="DJ95" s="1">
        <f t="shared" si="3"/>
        <v>6</v>
      </c>
    </row>
    <row r="96" spans="1:114" ht="15.75" customHeight="1" x14ac:dyDescent="0.3">
      <c r="A96" s="15" t="s">
        <v>153</v>
      </c>
      <c r="B96" s="23" t="s">
        <v>181</v>
      </c>
      <c r="C96" s="23" t="s">
        <v>122</v>
      </c>
      <c r="D96" s="19">
        <v>44877</v>
      </c>
      <c r="E96" s="17">
        <v>133</v>
      </c>
      <c r="F96" s="15"/>
      <c r="G96" s="15"/>
      <c r="H96" s="15">
        <v>55</v>
      </c>
      <c r="I96" s="18">
        <v>55.3</v>
      </c>
      <c r="J96" s="15">
        <v>30.2</v>
      </c>
      <c r="K96" s="15">
        <v>0</v>
      </c>
      <c r="L96" s="15">
        <v>100</v>
      </c>
      <c r="M96" s="15"/>
      <c r="N96" s="15">
        <v>95.24</v>
      </c>
      <c r="O96" s="17">
        <v>3</v>
      </c>
      <c r="AD96" s="15"/>
      <c r="AM96" s="15"/>
      <c r="AS96" s="15"/>
      <c r="AT96" s="15"/>
      <c r="AW96" s="15"/>
      <c r="AY96" s="15"/>
      <c r="AZ96" s="15"/>
      <c r="BM96" s="15"/>
      <c r="BR96" s="15"/>
      <c r="BT96" s="15"/>
      <c r="BU96" s="15"/>
      <c r="BY96" s="15"/>
      <c r="CS96" s="15"/>
      <c r="CT96" s="15"/>
      <c r="CY96" s="15"/>
      <c r="CZ96" s="15"/>
      <c r="DD96" s="15"/>
      <c r="DI96" s="1">
        <f t="shared" si="2"/>
        <v>0</v>
      </c>
      <c r="DJ96" s="1">
        <f t="shared" si="3"/>
        <v>0</v>
      </c>
    </row>
    <row r="97" spans="1:114" ht="15.75" customHeight="1" x14ac:dyDescent="0.3">
      <c r="A97" s="15" t="s">
        <v>153</v>
      </c>
      <c r="B97" s="23" t="s">
        <v>181</v>
      </c>
      <c r="C97" s="23" t="s">
        <v>122</v>
      </c>
      <c r="D97" s="19">
        <v>44877</v>
      </c>
      <c r="E97" s="17">
        <v>133</v>
      </c>
      <c r="F97" s="15"/>
      <c r="G97" s="15"/>
      <c r="H97" s="15">
        <v>51</v>
      </c>
      <c r="I97" s="18">
        <v>26.78</v>
      </c>
      <c r="J97" s="15">
        <v>30.7</v>
      </c>
      <c r="K97" s="15">
        <v>0</v>
      </c>
      <c r="L97" s="15">
        <v>23.33</v>
      </c>
      <c r="M97" s="15"/>
      <c r="N97" s="15">
        <v>100</v>
      </c>
      <c r="O97" s="17">
        <v>3</v>
      </c>
      <c r="AD97" s="15"/>
      <c r="AL97" s="1">
        <v>1</v>
      </c>
      <c r="AM97" s="15"/>
      <c r="AS97" s="15"/>
      <c r="AT97" s="15"/>
      <c r="AW97" s="15"/>
      <c r="AY97" s="15"/>
      <c r="AZ97" s="15">
        <v>1</v>
      </c>
      <c r="BM97" s="15"/>
      <c r="BR97" s="15"/>
      <c r="BT97" s="15"/>
      <c r="BU97" s="15"/>
      <c r="BY97" s="15"/>
      <c r="CS97" s="15"/>
      <c r="CT97" s="15"/>
      <c r="CY97" s="15"/>
      <c r="CZ97" s="15"/>
      <c r="DD97" s="15"/>
      <c r="DI97" s="1">
        <f t="shared" si="2"/>
        <v>2</v>
      </c>
      <c r="DJ97" s="1">
        <f t="shared" si="3"/>
        <v>2</v>
      </c>
    </row>
    <row r="98" spans="1:114" ht="15.75" customHeight="1" x14ac:dyDescent="0.3">
      <c r="A98" s="15" t="s">
        <v>153</v>
      </c>
      <c r="B98" s="23" t="s">
        <v>182</v>
      </c>
      <c r="C98" s="23" t="s">
        <v>120</v>
      </c>
      <c r="D98" s="15" t="s">
        <v>155</v>
      </c>
      <c r="E98" s="17">
        <v>144</v>
      </c>
      <c r="F98" s="15"/>
      <c r="G98" s="15"/>
      <c r="H98" s="15">
        <v>90</v>
      </c>
      <c r="I98" s="18">
        <v>8.44</v>
      </c>
      <c r="J98" s="15">
        <v>27.4</v>
      </c>
      <c r="K98" s="15">
        <v>0.8</v>
      </c>
      <c r="L98" s="15">
        <v>100</v>
      </c>
      <c r="M98" s="15"/>
      <c r="N98" s="15">
        <v>100</v>
      </c>
      <c r="O98" s="17">
        <v>3</v>
      </c>
      <c r="W98" s="1">
        <v>1</v>
      </c>
      <c r="Y98" s="1">
        <v>1</v>
      </c>
      <c r="AD98" s="15"/>
      <c r="AM98" s="15"/>
      <c r="AS98" s="15"/>
      <c r="AT98" s="15">
        <v>3</v>
      </c>
      <c r="AU98" s="1">
        <v>2</v>
      </c>
      <c r="AV98" s="1">
        <v>2</v>
      </c>
      <c r="AW98" s="15"/>
      <c r="AY98" s="15"/>
      <c r="AZ98" s="15"/>
      <c r="BA98" s="1">
        <v>1</v>
      </c>
      <c r="BJ98" s="1">
        <v>1</v>
      </c>
      <c r="BM98" s="15"/>
      <c r="BN98" s="1">
        <v>2</v>
      </c>
      <c r="BR98" s="15"/>
      <c r="BT98" s="15">
        <v>1</v>
      </c>
      <c r="BU98" s="15"/>
      <c r="BY98" s="15">
        <v>1</v>
      </c>
      <c r="CI98" s="1">
        <v>1</v>
      </c>
      <c r="CS98" s="15"/>
      <c r="CT98" s="15"/>
      <c r="CY98" s="15"/>
      <c r="CZ98" s="15"/>
      <c r="DA98" s="1">
        <v>1</v>
      </c>
      <c r="DD98" s="15"/>
      <c r="DI98" s="1">
        <f t="shared" si="2"/>
        <v>12</v>
      </c>
      <c r="DJ98" s="1">
        <f t="shared" si="3"/>
        <v>17</v>
      </c>
    </row>
    <row r="99" spans="1:114" ht="15.75" customHeight="1" x14ac:dyDescent="0.3">
      <c r="A99" s="15" t="s">
        <v>153</v>
      </c>
      <c r="B99" s="16" t="s">
        <v>182</v>
      </c>
      <c r="C99" s="16" t="s">
        <v>122</v>
      </c>
      <c r="D99" s="19">
        <v>44877</v>
      </c>
      <c r="E99" s="17">
        <v>133</v>
      </c>
      <c r="F99" s="15"/>
      <c r="G99" s="15"/>
      <c r="H99" s="15">
        <v>58</v>
      </c>
      <c r="I99" s="18">
        <v>30.1</v>
      </c>
      <c r="J99" s="15">
        <v>29.1</v>
      </c>
      <c r="K99" s="15">
        <v>0</v>
      </c>
      <c r="L99" s="15">
        <v>98.75</v>
      </c>
      <c r="M99" s="15"/>
      <c r="N99" s="15">
        <v>100</v>
      </c>
      <c r="O99" s="17">
        <v>3</v>
      </c>
      <c r="AD99" s="15"/>
      <c r="AM99" s="15"/>
      <c r="AS99" s="15"/>
      <c r="AT99" s="15"/>
      <c r="AV99" s="1">
        <v>1</v>
      </c>
      <c r="AW99" s="15"/>
      <c r="AY99" s="15"/>
      <c r="AZ99" s="15"/>
      <c r="BM99" s="15"/>
      <c r="BR99" s="15"/>
      <c r="BT99" s="15">
        <v>1</v>
      </c>
      <c r="BU99" s="15"/>
      <c r="BY99" s="15"/>
      <c r="CS99" s="15"/>
      <c r="CT99" s="15"/>
      <c r="CY99" s="15"/>
      <c r="CZ99" s="15"/>
      <c r="DD99" s="15"/>
      <c r="DI99" s="1">
        <f t="shared" si="2"/>
        <v>2</v>
      </c>
      <c r="DJ99" s="1">
        <f t="shared" si="3"/>
        <v>2</v>
      </c>
    </row>
    <row r="100" spans="1:114" ht="15.75" customHeight="1" x14ac:dyDescent="0.3">
      <c r="A100" s="15" t="s">
        <v>153</v>
      </c>
      <c r="B100" s="23" t="s">
        <v>184</v>
      </c>
      <c r="C100" s="23" t="s">
        <v>120</v>
      </c>
      <c r="D100" s="19" t="s">
        <v>157</v>
      </c>
      <c r="E100" s="17">
        <v>143</v>
      </c>
      <c r="F100" s="15"/>
      <c r="G100" s="15"/>
      <c r="H100" s="15">
        <v>77</v>
      </c>
      <c r="I100" s="36">
        <v>1.79</v>
      </c>
      <c r="J100" s="15">
        <v>23.98</v>
      </c>
      <c r="K100" s="15">
        <v>0.83</v>
      </c>
      <c r="L100" s="15">
        <v>100</v>
      </c>
      <c r="M100" s="15">
        <v>850</v>
      </c>
      <c r="N100" s="15">
        <v>76.19</v>
      </c>
      <c r="O100" s="17">
        <v>2</v>
      </c>
      <c r="Y100" s="1">
        <v>1</v>
      </c>
      <c r="AD100" s="15"/>
      <c r="AM100" s="15"/>
      <c r="AS100" s="15"/>
      <c r="AT100" s="15"/>
      <c r="AV100" s="1">
        <v>1</v>
      </c>
      <c r="AW100" s="15"/>
      <c r="AY100" s="15"/>
      <c r="AZ100" s="15"/>
      <c r="BM100" s="15"/>
      <c r="BR100" s="15"/>
      <c r="BT100" s="15"/>
      <c r="BU100" s="15"/>
      <c r="BY100" s="15"/>
      <c r="CB100" s="1">
        <v>1</v>
      </c>
      <c r="CS100" s="15"/>
      <c r="CT100" s="15"/>
      <c r="CY100" s="15"/>
      <c r="CZ100" s="15"/>
      <c r="DD100" s="15"/>
      <c r="DI100" s="1">
        <f t="shared" si="2"/>
        <v>3</v>
      </c>
      <c r="DJ100" s="1">
        <f t="shared" si="3"/>
        <v>3</v>
      </c>
    </row>
    <row r="101" spans="1:114" ht="15.75" customHeight="1" x14ac:dyDescent="0.3">
      <c r="A101" s="15" t="s">
        <v>153</v>
      </c>
      <c r="B101" s="23" t="s">
        <v>184</v>
      </c>
      <c r="C101" s="23" t="s">
        <v>120</v>
      </c>
      <c r="D101" s="19" t="s">
        <v>156</v>
      </c>
      <c r="E101" s="17">
        <v>145</v>
      </c>
      <c r="F101" s="15"/>
      <c r="G101" s="15"/>
      <c r="H101" s="15">
        <v>78</v>
      </c>
      <c r="I101" s="36">
        <v>20.350000000000001</v>
      </c>
      <c r="J101" s="15">
        <v>22.55</v>
      </c>
      <c r="K101" s="15">
        <v>0</v>
      </c>
      <c r="L101" s="15">
        <v>38.33</v>
      </c>
      <c r="M101" s="1">
        <v>560</v>
      </c>
      <c r="N101" s="15">
        <v>100</v>
      </c>
      <c r="O101" s="17">
        <v>2</v>
      </c>
      <c r="Y101" s="1">
        <v>1</v>
      </c>
      <c r="AD101" s="15"/>
      <c r="AM101" s="15"/>
      <c r="AS101" s="15">
        <v>5</v>
      </c>
      <c r="AT101" s="15"/>
      <c r="AU101" s="1">
        <v>3</v>
      </c>
      <c r="AV101" s="1">
        <v>1</v>
      </c>
      <c r="AW101" s="15"/>
      <c r="AY101" s="15"/>
      <c r="AZ101" s="15"/>
      <c r="BM101" s="15"/>
      <c r="BN101" s="1">
        <v>3</v>
      </c>
      <c r="BR101" s="15"/>
      <c r="BT101" s="15"/>
      <c r="BU101" s="15"/>
      <c r="BY101" s="15"/>
      <c r="CS101" s="15"/>
      <c r="CT101" s="15"/>
      <c r="CY101" s="15"/>
      <c r="CZ101" s="15"/>
      <c r="DA101" s="1">
        <v>1</v>
      </c>
      <c r="DD101" s="15"/>
      <c r="DI101" s="1">
        <f t="shared" si="2"/>
        <v>6</v>
      </c>
      <c r="DJ101" s="1">
        <f t="shared" si="3"/>
        <v>14</v>
      </c>
    </row>
    <row r="102" spans="1:114" ht="15.75" customHeight="1" x14ac:dyDescent="0.3">
      <c r="A102" s="15" t="s">
        <v>153</v>
      </c>
      <c r="B102" s="23" t="s">
        <v>184</v>
      </c>
      <c r="C102" s="23" t="s">
        <v>122</v>
      </c>
      <c r="D102" s="19" t="s">
        <v>157</v>
      </c>
      <c r="E102" s="17">
        <v>143</v>
      </c>
      <c r="F102" s="15"/>
      <c r="G102" s="15"/>
      <c r="H102" s="15">
        <v>98</v>
      </c>
      <c r="I102" s="36">
        <v>3.05</v>
      </c>
      <c r="J102" s="15">
        <v>21.7</v>
      </c>
      <c r="K102" s="15">
        <v>0.9</v>
      </c>
      <c r="L102" s="15">
        <v>100</v>
      </c>
      <c r="M102" s="15">
        <v>850</v>
      </c>
      <c r="N102" s="15">
        <v>100</v>
      </c>
      <c r="O102" s="17">
        <v>2</v>
      </c>
      <c r="AD102" s="15"/>
      <c r="AM102" s="15"/>
      <c r="AS102" s="15"/>
      <c r="AT102" s="15"/>
      <c r="AW102" s="15"/>
      <c r="AY102" s="15"/>
      <c r="AZ102" s="15"/>
      <c r="BM102" s="15"/>
      <c r="BR102" s="15"/>
      <c r="BT102" s="15"/>
      <c r="BU102" s="15"/>
      <c r="BY102" s="15"/>
      <c r="CS102" s="15"/>
      <c r="CT102" s="15"/>
      <c r="CY102" s="15"/>
      <c r="CZ102" s="15"/>
      <c r="DA102" s="1">
        <v>1</v>
      </c>
      <c r="DD102" s="15"/>
      <c r="DI102" s="1">
        <f t="shared" si="2"/>
        <v>1</v>
      </c>
      <c r="DJ102" s="1">
        <f t="shared" si="3"/>
        <v>1</v>
      </c>
    </row>
    <row r="103" spans="1:114" ht="15.75" customHeight="1" x14ac:dyDescent="0.3">
      <c r="A103" s="15" t="s">
        <v>153</v>
      </c>
      <c r="B103" s="23" t="s">
        <v>184</v>
      </c>
      <c r="C103" s="23" t="s">
        <v>122</v>
      </c>
      <c r="D103" s="19" t="s">
        <v>156</v>
      </c>
      <c r="E103" s="17">
        <v>145</v>
      </c>
      <c r="F103" s="15"/>
      <c r="G103" s="15"/>
      <c r="H103" s="15">
        <v>77</v>
      </c>
      <c r="I103" s="36">
        <v>12.54</v>
      </c>
      <c r="J103" s="15">
        <v>25.3</v>
      </c>
      <c r="K103" s="15">
        <v>1</v>
      </c>
      <c r="L103" s="15">
        <v>100</v>
      </c>
      <c r="M103" s="15">
        <v>560</v>
      </c>
      <c r="N103" s="15">
        <v>100</v>
      </c>
      <c r="O103" s="17">
        <v>2</v>
      </c>
      <c r="Y103" s="1">
        <v>5</v>
      </c>
      <c r="AD103" s="15"/>
      <c r="AM103" s="15"/>
      <c r="AS103" s="15"/>
      <c r="AT103" s="15"/>
      <c r="AW103" s="15"/>
      <c r="AY103" s="15"/>
      <c r="AZ103" s="15"/>
      <c r="BM103" s="15"/>
      <c r="BR103" s="15"/>
      <c r="BT103" s="15"/>
      <c r="BU103" s="15"/>
      <c r="BY103" s="15"/>
      <c r="CS103" s="15"/>
      <c r="CT103" s="15"/>
      <c r="CY103" s="15"/>
      <c r="CZ103" s="15"/>
      <c r="DD103" s="15"/>
      <c r="DI103" s="1">
        <f t="shared" si="2"/>
        <v>1</v>
      </c>
      <c r="DJ103" s="1">
        <f t="shared" si="3"/>
        <v>5</v>
      </c>
    </row>
    <row r="104" spans="1:114" ht="15.75" customHeight="1" x14ac:dyDescent="0.3">
      <c r="A104" s="15" t="s">
        <v>153</v>
      </c>
      <c r="B104" s="23" t="s">
        <v>183</v>
      </c>
      <c r="C104" s="23" t="s">
        <v>120</v>
      </c>
      <c r="D104" s="19" t="s">
        <v>157</v>
      </c>
      <c r="E104" s="17">
        <v>143</v>
      </c>
      <c r="F104" s="15"/>
      <c r="G104" s="15"/>
      <c r="H104" s="15">
        <v>95</v>
      </c>
      <c r="I104" s="18">
        <v>10.69</v>
      </c>
      <c r="J104" s="15">
        <v>22.8</v>
      </c>
      <c r="K104" s="15">
        <v>1.2</v>
      </c>
      <c r="L104" s="15">
        <v>100</v>
      </c>
      <c r="M104" s="15">
        <v>850</v>
      </c>
      <c r="N104" s="15">
        <v>100</v>
      </c>
      <c r="O104" s="17">
        <v>3</v>
      </c>
      <c r="AD104" s="15"/>
      <c r="AM104" s="15"/>
      <c r="AS104" s="15"/>
      <c r="AT104" s="15"/>
      <c r="AU104" s="1">
        <v>1</v>
      </c>
      <c r="AV104" s="1">
        <v>4</v>
      </c>
      <c r="AW104" s="15"/>
      <c r="AY104" s="15"/>
      <c r="AZ104" s="15"/>
      <c r="BM104" s="15"/>
      <c r="BN104" s="1">
        <v>1</v>
      </c>
      <c r="BR104" s="15"/>
      <c r="BT104" s="15"/>
      <c r="BU104" s="15"/>
      <c r="BY104" s="15"/>
      <c r="CS104" s="15"/>
      <c r="CT104" s="15"/>
      <c r="CY104" s="15"/>
      <c r="CZ104" s="15"/>
      <c r="DA104" s="1">
        <v>1</v>
      </c>
      <c r="DD104" s="15"/>
      <c r="DI104" s="1">
        <f t="shared" si="2"/>
        <v>4</v>
      </c>
      <c r="DJ104" s="1">
        <f t="shared" si="3"/>
        <v>7</v>
      </c>
    </row>
    <row r="105" spans="1:114" ht="15.75" customHeight="1" x14ac:dyDescent="0.3">
      <c r="A105" s="15" t="s">
        <v>153</v>
      </c>
      <c r="B105" s="23" t="s">
        <v>183</v>
      </c>
      <c r="C105" s="23" t="s">
        <v>120</v>
      </c>
      <c r="D105" s="19" t="s">
        <v>156</v>
      </c>
      <c r="E105" s="17">
        <v>145</v>
      </c>
      <c r="F105" s="15"/>
      <c r="G105" s="15"/>
      <c r="H105" s="15">
        <v>95</v>
      </c>
      <c r="I105" s="18">
        <v>5.99</v>
      </c>
      <c r="J105" s="15">
        <v>25.7</v>
      </c>
      <c r="K105" s="15">
        <v>0</v>
      </c>
      <c r="L105" s="15">
        <v>100</v>
      </c>
      <c r="M105" s="15">
        <v>560</v>
      </c>
      <c r="N105" s="15">
        <v>100</v>
      </c>
      <c r="O105" s="17">
        <v>3</v>
      </c>
      <c r="X105" s="1">
        <v>3</v>
      </c>
      <c r="AD105" s="15"/>
      <c r="AM105" s="15"/>
      <c r="AS105" s="15"/>
      <c r="AT105" s="15"/>
      <c r="AW105" s="15"/>
      <c r="AY105" s="15"/>
      <c r="AZ105" s="15"/>
      <c r="BJ105" s="1">
        <v>1</v>
      </c>
      <c r="BM105" s="15"/>
      <c r="BR105" s="15"/>
      <c r="BT105" s="15">
        <v>1</v>
      </c>
      <c r="BU105" s="15"/>
      <c r="BY105" s="15"/>
      <c r="CG105" s="1">
        <v>1</v>
      </c>
      <c r="CK105" s="1">
        <v>1</v>
      </c>
      <c r="CS105" s="15"/>
      <c r="CT105" s="15"/>
      <c r="CY105" s="15"/>
      <c r="CZ105" s="15"/>
      <c r="DD105" s="15"/>
      <c r="DI105" s="1">
        <f t="shared" si="2"/>
        <v>5</v>
      </c>
      <c r="DJ105" s="1">
        <f t="shared" si="3"/>
        <v>7</v>
      </c>
    </row>
    <row r="106" spans="1:114" ht="15.75" customHeight="1" x14ac:dyDescent="0.3">
      <c r="A106" s="15" t="s">
        <v>153</v>
      </c>
      <c r="B106" s="16" t="s">
        <v>183</v>
      </c>
      <c r="C106" s="16" t="s">
        <v>122</v>
      </c>
      <c r="D106" s="19" t="s">
        <v>157</v>
      </c>
      <c r="E106" s="17">
        <v>143</v>
      </c>
      <c r="F106" s="15"/>
      <c r="G106" s="15"/>
      <c r="H106" s="15">
        <v>98</v>
      </c>
      <c r="I106" s="18">
        <v>3.61</v>
      </c>
      <c r="J106" s="15">
        <v>23</v>
      </c>
      <c r="K106" s="15">
        <v>0</v>
      </c>
      <c r="L106" s="15">
        <v>100</v>
      </c>
      <c r="M106" s="15">
        <v>850</v>
      </c>
      <c r="N106" s="15">
        <v>76.19</v>
      </c>
      <c r="O106" s="17">
        <v>3</v>
      </c>
      <c r="AD106" s="15"/>
      <c r="AM106" s="15"/>
      <c r="AS106" s="15"/>
      <c r="AT106" s="15"/>
      <c r="AW106" s="15"/>
      <c r="AY106" s="15"/>
      <c r="AZ106" s="15"/>
      <c r="BM106" s="15"/>
      <c r="BR106" s="15"/>
      <c r="BT106" s="15"/>
      <c r="BU106" s="15"/>
      <c r="BY106" s="15"/>
      <c r="CS106" s="15"/>
      <c r="CT106" s="15"/>
      <c r="CY106" s="15"/>
      <c r="CZ106" s="15"/>
      <c r="DD106" s="15"/>
      <c r="DI106" s="1">
        <f t="shared" si="2"/>
        <v>0</v>
      </c>
      <c r="DJ106" s="1">
        <f t="shared" si="3"/>
        <v>0</v>
      </c>
    </row>
    <row r="107" spans="1:114" ht="15.75" customHeight="1" x14ac:dyDescent="0.3">
      <c r="A107" s="15" t="s">
        <v>153</v>
      </c>
      <c r="B107" s="23" t="s">
        <v>183</v>
      </c>
      <c r="C107" s="23" t="s">
        <v>122</v>
      </c>
      <c r="D107" s="19" t="s">
        <v>156</v>
      </c>
      <c r="E107" s="17">
        <v>145</v>
      </c>
      <c r="F107" s="15"/>
      <c r="G107" s="15"/>
      <c r="H107" s="15">
        <v>80</v>
      </c>
      <c r="I107" s="18">
        <v>6.89</v>
      </c>
      <c r="J107" s="15">
        <v>24.3</v>
      </c>
      <c r="K107" s="15">
        <v>0.87</v>
      </c>
      <c r="L107" s="15">
        <v>100</v>
      </c>
      <c r="M107" s="15">
        <v>560</v>
      </c>
      <c r="N107" s="15">
        <v>100</v>
      </c>
      <c r="O107" s="17">
        <v>3</v>
      </c>
      <c r="X107" s="1">
        <v>1</v>
      </c>
      <c r="AD107" s="15"/>
      <c r="AM107" s="15"/>
      <c r="AS107" s="15"/>
      <c r="AT107" s="15"/>
      <c r="AW107" s="15"/>
      <c r="AY107" s="15"/>
      <c r="AZ107" s="15"/>
      <c r="BM107" s="15"/>
      <c r="BR107" s="15"/>
      <c r="BT107" s="15"/>
      <c r="BU107" s="15"/>
      <c r="BY107" s="15"/>
      <c r="CG107" s="1">
        <v>1</v>
      </c>
      <c r="CS107" s="15"/>
      <c r="CT107" s="15"/>
      <c r="CY107" s="15"/>
      <c r="CZ107" s="15"/>
      <c r="DD107" s="15"/>
      <c r="DI107" s="1">
        <f t="shared" si="2"/>
        <v>2</v>
      </c>
      <c r="DJ107" s="1">
        <f t="shared" si="3"/>
        <v>2</v>
      </c>
    </row>
    <row r="108" spans="1:114" ht="15.75" customHeight="1" x14ac:dyDescent="0.3">
      <c r="A108" s="15" t="s">
        <v>153</v>
      </c>
      <c r="B108" s="23" t="s">
        <v>185</v>
      </c>
      <c r="C108" s="23" t="s">
        <v>120</v>
      </c>
      <c r="D108" s="19" t="s">
        <v>157</v>
      </c>
      <c r="E108" s="17">
        <v>143</v>
      </c>
      <c r="F108" s="15"/>
      <c r="G108" s="15"/>
      <c r="H108" s="15">
        <v>80</v>
      </c>
      <c r="I108" s="36">
        <v>14.7</v>
      </c>
      <c r="J108" s="15">
        <v>24.13</v>
      </c>
      <c r="K108" s="15">
        <v>2.1</v>
      </c>
      <c r="L108" s="15">
        <v>100</v>
      </c>
      <c r="M108" s="15">
        <v>850</v>
      </c>
      <c r="N108" s="15">
        <v>100</v>
      </c>
      <c r="O108" s="17">
        <v>1</v>
      </c>
      <c r="AD108" s="15"/>
      <c r="AM108" s="15"/>
      <c r="AS108" s="15"/>
      <c r="AT108" s="15"/>
      <c r="AU108" s="1">
        <v>1</v>
      </c>
      <c r="AV108" s="1">
        <v>5</v>
      </c>
      <c r="AW108" s="15"/>
      <c r="AY108" s="15"/>
      <c r="AZ108" s="15"/>
      <c r="BM108" s="15"/>
      <c r="BR108" s="15"/>
      <c r="BT108" s="15"/>
      <c r="BU108" s="15"/>
      <c r="BY108" s="15"/>
      <c r="CE108" s="1">
        <v>5</v>
      </c>
      <c r="CS108" s="15"/>
      <c r="CT108" s="15"/>
      <c r="CY108" s="15"/>
      <c r="CZ108" s="15"/>
      <c r="DD108" s="15"/>
      <c r="DI108" s="1">
        <f t="shared" si="2"/>
        <v>3</v>
      </c>
      <c r="DJ108" s="1">
        <f t="shared" si="3"/>
        <v>11</v>
      </c>
    </row>
    <row r="109" spans="1:114" ht="15.75" customHeight="1" x14ac:dyDescent="0.3">
      <c r="A109" s="15" t="s">
        <v>153</v>
      </c>
      <c r="B109" s="23" t="s">
        <v>185</v>
      </c>
      <c r="C109" s="23" t="s">
        <v>120</v>
      </c>
      <c r="D109" s="19" t="s">
        <v>156</v>
      </c>
      <c r="E109" s="17">
        <v>145</v>
      </c>
      <c r="F109" s="15"/>
      <c r="G109" s="15"/>
      <c r="H109" s="15">
        <v>99</v>
      </c>
      <c r="I109" s="36">
        <v>12.46</v>
      </c>
      <c r="J109" s="15">
        <v>22.9</v>
      </c>
      <c r="K109" s="15">
        <v>0</v>
      </c>
      <c r="L109" s="15">
        <v>100</v>
      </c>
      <c r="M109" s="15">
        <v>560</v>
      </c>
      <c r="N109" s="15">
        <v>95.24</v>
      </c>
      <c r="O109" s="17">
        <v>1</v>
      </c>
      <c r="AD109" s="15"/>
      <c r="AM109" s="15"/>
      <c r="AS109" s="15"/>
      <c r="AT109" s="15"/>
      <c r="AU109" s="1">
        <v>1</v>
      </c>
      <c r="AW109" s="15"/>
      <c r="AY109" s="15"/>
      <c r="AZ109" s="15"/>
      <c r="BM109" s="15"/>
      <c r="BN109" s="1">
        <v>1</v>
      </c>
      <c r="BO109" s="1">
        <v>1</v>
      </c>
      <c r="BP109" s="1">
        <v>2</v>
      </c>
      <c r="BR109" s="15"/>
      <c r="BT109" s="15"/>
      <c r="BU109" s="15"/>
      <c r="BY109" s="15"/>
      <c r="CS109" s="15"/>
      <c r="CT109" s="15"/>
      <c r="CY109" s="15"/>
      <c r="CZ109" s="15"/>
      <c r="DD109" s="15"/>
      <c r="DI109" s="1">
        <f t="shared" si="2"/>
        <v>4</v>
      </c>
      <c r="DJ109" s="1">
        <f t="shared" si="3"/>
        <v>5</v>
      </c>
    </row>
    <row r="110" spans="1:114" ht="15.75" customHeight="1" x14ac:dyDescent="0.3">
      <c r="A110" s="15" t="s">
        <v>153</v>
      </c>
      <c r="B110" s="16" t="s">
        <v>185</v>
      </c>
      <c r="C110" s="16" t="s">
        <v>122</v>
      </c>
      <c r="D110" s="19" t="s">
        <v>157</v>
      </c>
      <c r="E110" s="17">
        <v>143</v>
      </c>
      <c r="F110" s="15"/>
      <c r="G110" s="15"/>
      <c r="H110" s="15">
        <v>99</v>
      </c>
      <c r="I110" s="18">
        <v>8.2799999999999994</v>
      </c>
      <c r="J110" s="15">
        <v>24.2</v>
      </c>
      <c r="K110" s="15">
        <v>0</v>
      </c>
      <c r="L110" s="15">
        <v>100</v>
      </c>
      <c r="M110" s="15">
        <v>850</v>
      </c>
      <c r="N110" s="15">
        <v>76.19</v>
      </c>
      <c r="O110" s="17">
        <v>1</v>
      </c>
      <c r="AD110" s="15"/>
      <c r="AM110" s="15"/>
      <c r="AS110" s="15"/>
      <c r="AT110" s="15"/>
      <c r="AW110" s="15"/>
      <c r="AY110" s="15"/>
      <c r="AZ110" s="15"/>
      <c r="BM110" s="15"/>
      <c r="BR110" s="15"/>
      <c r="BT110" s="15"/>
      <c r="BU110" s="15"/>
      <c r="BY110" s="15"/>
      <c r="CS110" s="15"/>
      <c r="CT110" s="15"/>
      <c r="CY110" s="15"/>
      <c r="CZ110" s="15"/>
      <c r="DD110" s="15"/>
      <c r="DI110" s="1">
        <f t="shared" si="2"/>
        <v>0</v>
      </c>
      <c r="DJ110" s="1">
        <f t="shared" si="3"/>
        <v>0</v>
      </c>
    </row>
    <row r="111" spans="1:114" ht="15.75" customHeight="1" x14ac:dyDescent="0.3">
      <c r="A111" s="15" t="s">
        <v>153</v>
      </c>
      <c r="B111" s="16" t="s">
        <v>185</v>
      </c>
      <c r="C111" s="16" t="s">
        <v>122</v>
      </c>
      <c r="D111" s="19" t="s">
        <v>156</v>
      </c>
      <c r="E111" s="17">
        <v>145</v>
      </c>
      <c r="F111" s="15"/>
      <c r="G111" s="15"/>
      <c r="H111" s="15">
        <v>99</v>
      </c>
      <c r="I111" s="18">
        <v>7.19</v>
      </c>
      <c r="J111" s="15">
        <v>23.4</v>
      </c>
      <c r="K111" s="15">
        <v>1.5</v>
      </c>
      <c r="L111" s="15">
        <v>100</v>
      </c>
      <c r="M111" s="15">
        <v>560</v>
      </c>
      <c r="N111" s="15">
        <v>76.19</v>
      </c>
      <c r="O111" s="17">
        <v>1</v>
      </c>
      <c r="AD111" s="15"/>
      <c r="AM111" s="15"/>
      <c r="AS111" s="15"/>
      <c r="AT111" s="15"/>
      <c r="AW111" s="15"/>
      <c r="AY111" s="15"/>
      <c r="AZ111" s="15"/>
      <c r="BM111" s="15"/>
      <c r="BR111" s="15"/>
      <c r="BT111" s="15"/>
      <c r="BU111" s="15"/>
      <c r="BY111" s="15"/>
      <c r="CS111" s="15"/>
      <c r="CT111" s="15"/>
      <c r="CY111" s="15"/>
      <c r="CZ111" s="15"/>
      <c r="DD111" s="15"/>
      <c r="DI111" s="1">
        <f t="shared" si="2"/>
        <v>0</v>
      </c>
      <c r="DJ111" s="1">
        <f t="shared" si="3"/>
        <v>0</v>
      </c>
    </row>
    <row r="112" spans="1:114" ht="15.75" customHeight="1" x14ac:dyDescent="0.3">
      <c r="A112" s="15" t="s">
        <v>153</v>
      </c>
      <c r="B112" s="23" t="s">
        <v>186</v>
      </c>
      <c r="C112" s="23" t="s">
        <v>120</v>
      </c>
      <c r="D112" s="19" t="s">
        <v>157</v>
      </c>
      <c r="E112" s="17">
        <v>143</v>
      </c>
      <c r="F112" s="15"/>
      <c r="G112" s="15"/>
      <c r="H112" s="15">
        <v>95</v>
      </c>
      <c r="I112" s="18">
        <v>1.44</v>
      </c>
      <c r="J112" s="15">
        <v>25.1</v>
      </c>
      <c r="K112" s="15">
        <v>0</v>
      </c>
      <c r="L112" s="15">
        <v>100</v>
      </c>
      <c r="M112" s="15">
        <v>850</v>
      </c>
      <c r="N112" s="15">
        <v>76.19</v>
      </c>
      <c r="O112" s="17">
        <v>6</v>
      </c>
      <c r="AD112" s="15"/>
      <c r="AM112" s="15"/>
      <c r="AS112" s="15">
        <v>4</v>
      </c>
      <c r="AT112" s="15"/>
      <c r="AU112" s="1">
        <v>3</v>
      </c>
      <c r="AW112" s="15"/>
      <c r="AY112" s="15"/>
      <c r="AZ112" s="15"/>
      <c r="BM112" s="15"/>
      <c r="BR112" s="15"/>
      <c r="BT112" s="15"/>
      <c r="BU112" s="15"/>
      <c r="BY112" s="15"/>
      <c r="CS112" s="15"/>
      <c r="CT112" s="15"/>
      <c r="CY112" s="15"/>
      <c r="CZ112" s="15"/>
      <c r="DD112" s="15"/>
      <c r="DI112" s="1">
        <f t="shared" si="2"/>
        <v>2</v>
      </c>
      <c r="DJ112" s="1">
        <f t="shared" si="3"/>
        <v>7</v>
      </c>
    </row>
    <row r="113" spans="1:114" ht="15.75" customHeight="1" x14ac:dyDescent="0.3">
      <c r="A113" s="15" t="s">
        <v>153</v>
      </c>
      <c r="B113" s="23" t="s">
        <v>186</v>
      </c>
      <c r="C113" s="23" t="s">
        <v>120</v>
      </c>
      <c r="D113" s="19" t="s">
        <v>156</v>
      </c>
      <c r="E113" s="17">
        <v>145</v>
      </c>
      <c r="F113" s="15"/>
      <c r="G113" s="15"/>
      <c r="H113" s="15">
        <v>99</v>
      </c>
      <c r="I113" s="18">
        <v>0.54</v>
      </c>
      <c r="J113" s="15">
        <v>21.9</v>
      </c>
      <c r="K113" s="15">
        <v>0</v>
      </c>
      <c r="L113" s="15">
        <v>100</v>
      </c>
      <c r="M113" s="15">
        <v>560</v>
      </c>
      <c r="N113" s="15">
        <v>76.19</v>
      </c>
      <c r="O113" s="17">
        <v>6</v>
      </c>
      <c r="AD113" s="15"/>
      <c r="AM113" s="15"/>
      <c r="AP113" s="1">
        <v>1</v>
      </c>
      <c r="AS113" s="15"/>
      <c r="AT113" s="15"/>
      <c r="AW113" s="15"/>
      <c r="AY113" s="15"/>
      <c r="AZ113" s="15"/>
      <c r="BM113" s="15"/>
      <c r="BR113" s="15"/>
      <c r="BT113" s="15"/>
      <c r="BU113" s="15"/>
      <c r="BX113" s="1">
        <v>1</v>
      </c>
      <c r="BY113" s="15"/>
      <c r="CS113" s="15"/>
      <c r="CT113" s="15"/>
      <c r="CY113" s="15"/>
      <c r="CZ113" s="15"/>
      <c r="DA113" s="1">
        <v>1</v>
      </c>
      <c r="DD113" s="15"/>
      <c r="DI113" s="1">
        <f t="shared" si="2"/>
        <v>3</v>
      </c>
      <c r="DJ113" s="1">
        <f t="shared" si="3"/>
        <v>3</v>
      </c>
    </row>
    <row r="114" spans="1:114" ht="15.75" customHeight="1" x14ac:dyDescent="0.3">
      <c r="A114" s="15" t="s">
        <v>153</v>
      </c>
      <c r="B114" s="23" t="s">
        <v>186</v>
      </c>
      <c r="C114" s="23" t="s">
        <v>122</v>
      </c>
      <c r="D114" s="19" t="s">
        <v>157</v>
      </c>
      <c r="E114" s="17">
        <v>143</v>
      </c>
      <c r="F114" s="15"/>
      <c r="G114" s="15"/>
      <c r="H114" s="15">
        <v>99</v>
      </c>
      <c r="I114" s="18">
        <v>0.63</v>
      </c>
      <c r="J114" s="15">
        <v>25.1</v>
      </c>
      <c r="K114" s="15">
        <v>0</v>
      </c>
      <c r="L114" s="15">
        <v>100</v>
      </c>
      <c r="M114" s="15">
        <v>850</v>
      </c>
      <c r="N114" s="15">
        <v>95.24</v>
      </c>
      <c r="O114" s="17">
        <v>6</v>
      </c>
      <c r="Y114" s="1">
        <v>1</v>
      </c>
      <c r="AD114" s="15"/>
      <c r="AM114" s="15"/>
      <c r="AS114" s="15">
        <v>4</v>
      </c>
      <c r="AT114" s="15"/>
      <c r="AU114" s="1">
        <v>3</v>
      </c>
      <c r="AW114" s="15"/>
      <c r="AY114" s="15"/>
      <c r="AZ114" s="15"/>
      <c r="BM114" s="15"/>
      <c r="BR114" s="15"/>
      <c r="BT114" s="15"/>
      <c r="BU114" s="15"/>
      <c r="BY114" s="15"/>
      <c r="CS114" s="15"/>
      <c r="CT114" s="15"/>
      <c r="CY114" s="15"/>
      <c r="CZ114" s="15"/>
      <c r="DD114" s="15"/>
      <c r="DI114" s="1">
        <f t="shared" si="2"/>
        <v>3</v>
      </c>
      <c r="DJ114" s="1">
        <f t="shared" si="3"/>
        <v>8</v>
      </c>
    </row>
    <row r="115" spans="1:114" ht="15.75" customHeight="1" x14ac:dyDescent="0.3">
      <c r="A115" s="15" t="s">
        <v>153</v>
      </c>
      <c r="B115" s="23" t="s">
        <v>186</v>
      </c>
      <c r="C115" s="23" t="s">
        <v>122</v>
      </c>
      <c r="D115" s="19" t="s">
        <v>156</v>
      </c>
      <c r="E115" s="17">
        <v>145</v>
      </c>
      <c r="F115" s="15"/>
      <c r="G115" s="15"/>
      <c r="H115" s="15">
        <v>99</v>
      </c>
      <c r="I115" s="18">
        <v>1.67</v>
      </c>
      <c r="J115" s="15">
        <v>25.2</v>
      </c>
      <c r="K115" s="15">
        <v>0</v>
      </c>
      <c r="L115" s="15">
        <v>100</v>
      </c>
      <c r="M115" s="15">
        <v>560</v>
      </c>
      <c r="N115" s="15">
        <v>14.29</v>
      </c>
      <c r="O115" s="17">
        <v>6</v>
      </c>
      <c r="AD115" s="15"/>
      <c r="AM115" s="15"/>
      <c r="AS115" s="15"/>
      <c r="AT115" s="15"/>
      <c r="AW115" s="15"/>
      <c r="AY115" s="15"/>
      <c r="AZ115" s="15"/>
      <c r="BM115" s="15"/>
      <c r="BR115" s="15"/>
      <c r="BT115" s="15"/>
      <c r="BU115" s="15"/>
      <c r="BY115" s="15"/>
      <c r="CF115" s="1">
        <v>1</v>
      </c>
      <c r="CK115" s="1">
        <v>1</v>
      </c>
      <c r="CS115" s="15"/>
      <c r="CT115" s="15"/>
      <c r="CY115" s="15"/>
      <c r="CZ115" s="15"/>
      <c r="DD115" s="15"/>
      <c r="DH115" s="1">
        <v>2</v>
      </c>
      <c r="DI115" s="1">
        <f t="shared" si="2"/>
        <v>3</v>
      </c>
      <c r="DJ115" s="1">
        <f t="shared" si="3"/>
        <v>4</v>
      </c>
    </row>
    <row r="116" spans="1:114" ht="15.75" customHeight="1" x14ac:dyDescent="0.3">
      <c r="A116" s="15"/>
      <c r="C116" s="23"/>
      <c r="D116" s="19"/>
      <c r="E116" s="38"/>
      <c r="F116" s="15"/>
      <c r="G116" s="15"/>
      <c r="H116" s="15"/>
      <c r="I116" s="18"/>
      <c r="J116" s="15"/>
      <c r="K116" s="15"/>
      <c r="L116" s="15"/>
      <c r="M116" s="15"/>
      <c r="N116" s="15"/>
      <c r="O116" s="17"/>
      <c r="AD116" s="15"/>
      <c r="AM116" s="15"/>
      <c r="AS116" s="15"/>
      <c r="AT116" s="15"/>
      <c r="AW116" s="15"/>
      <c r="AY116" s="15"/>
      <c r="AZ116" s="15"/>
      <c r="BM116" s="15"/>
      <c r="BR116" s="15"/>
      <c r="BT116" s="15"/>
      <c r="BU116" s="15"/>
      <c r="BY116" s="15"/>
      <c r="CS116" s="15"/>
      <c r="CT116" s="15"/>
      <c r="CY116" s="15"/>
      <c r="CZ116" s="15"/>
      <c r="DD116" s="15"/>
      <c r="DI116" s="1">
        <f t="shared" si="2"/>
        <v>0</v>
      </c>
      <c r="DJ116" s="1">
        <f t="shared" si="3"/>
        <v>0</v>
      </c>
    </row>
    <row r="117" spans="1:114" ht="15.75" customHeight="1" x14ac:dyDescent="0.3">
      <c r="A117" s="15" t="s">
        <v>158</v>
      </c>
      <c r="B117" s="23" t="s">
        <v>176</v>
      </c>
      <c r="C117" s="23" t="s">
        <v>120</v>
      </c>
      <c r="D117" s="19">
        <v>45108</v>
      </c>
      <c r="E117" s="5">
        <v>160</v>
      </c>
      <c r="F117" s="15"/>
      <c r="G117" s="15"/>
      <c r="H117" s="15">
        <v>96</v>
      </c>
      <c r="I117" s="18">
        <v>1.1399999999999999</v>
      </c>
      <c r="J117" s="15">
        <v>26.4</v>
      </c>
      <c r="K117" s="15">
        <v>0</v>
      </c>
      <c r="L117" s="15">
        <v>22</v>
      </c>
      <c r="M117" s="15">
        <v>450</v>
      </c>
      <c r="N117" s="15">
        <v>71.42</v>
      </c>
      <c r="O117" s="17">
        <v>4</v>
      </c>
      <c r="S117" s="1">
        <v>1</v>
      </c>
      <c r="AD117" s="15"/>
      <c r="AM117" s="15"/>
      <c r="AS117" s="15">
        <v>4</v>
      </c>
      <c r="AT117" s="15"/>
      <c r="AW117" s="15"/>
      <c r="AY117" s="15"/>
      <c r="AZ117" s="15"/>
      <c r="BM117" s="15"/>
      <c r="BR117" s="15"/>
      <c r="BT117" s="15"/>
      <c r="BU117" s="15"/>
      <c r="BY117" s="15"/>
      <c r="CD117" s="1">
        <v>1</v>
      </c>
      <c r="CJ117" s="1">
        <v>1</v>
      </c>
      <c r="CS117" s="15"/>
      <c r="CT117" s="15"/>
      <c r="CY117" s="15"/>
      <c r="CZ117" s="15"/>
      <c r="DD117" s="15"/>
      <c r="DI117" s="1">
        <f t="shared" si="2"/>
        <v>4</v>
      </c>
      <c r="DJ117" s="1">
        <f t="shared" si="3"/>
        <v>7</v>
      </c>
    </row>
    <row r="118" spans="1:114" ht="15.75" customHeight="1" x14ac:dyDescent="0.3">
      <c r="A118" s="15" t="s">
        <v>158</v>
      </c>
      <c r="B118" s="23" t="s">
        <v>176</v>
      </c>
      <c r="C118" s="23" t="s">
        <v>120</v>
      </c>
      <c r="D118" s="19" t="s">
        <v>159</v>
      </c>
      <c r="E118" s="5">
        <v>169</v>
      </c>
      <c r="F118" s="15"/>
      <c r="G118" s="15"/>
      <c r="H118" s="15">
        <v>99</v>
      </c>
      <c r="I118" s="18">
        <v>8.51</v>
      </c>
      <c r="J118" s="15">
        <v>26.5</v>
      </c>
      <c r="K118" s="15">
        <v>0</v>
      </c>
      <c r="L118" s="15">
        <v>36.659999999999997</v>
      </c>
      <c r="M118" s="15"/>
      <c r="N118" s="15">
        <v>95.24</v>
      </c>
      <c r="O118" s="17">
        <v>4</v>
      </c>
      <c r="AD118" s="15"/>
      <c r="AM118" s="15">
        <v>1</v>
      </c>
      <c r="AS118" s="15"/>
      <c r="AT118" s="15"/>
      <c r="AW118" s="15"/>
      <c r="AY118" s="15">
        <v>1</v>
      </c>
      <c r="AZ118" s="15"/>
      <c r="BM118" s="15"/>
      <c r="BR118" s="15"/>
      <c r="BT118" s="15"/>
      <c r="BU118" s="15"/>
      <c r="BY118" s="15"/>
      <c r="CD118" s="1">
        <v>1</v>
      </c>
      <c r="CJ118" s="1">
        <v>1</v>
      </c>
      <c r="CL118" s="1">
        <v>1</v>
      </c>
      <c r="CS118" s="15"/>
      <c r="CT118" s="15"/>
      <c r="CV118" s="1">
        <v>1</v>
      </c>
      <c r="CY118" s="15"/>
      <c r="CZ118" s="15"/>
      <c r="DA118" s="1">
        <v>1</v>
      </c>
      <c r="DB118" s="1">
        <v>1</v>
      </c>
      <c r="DD118" s="15"/>
      <c r="DG118" s="1">
        <v>1</v>
      </c>
      <c r="DI118" s="1">
        <f t="shared" si="2"/>
        <v>9</v>
      </c>
      <c r="DJ118" s="1">
        <f t="shared" si="3"/>
        <v>9</v>
      </c>
    </row>
    <row r="119" spans="1:114" ht="15.75" customHeight="1" x14ac:dyDescent="0.3">
      <c r="A119" s="15" t="s">
        <v>158</v>
      </c>
      <c r="B119" s="23" t="s">
        <v>176</v>
      </c>
      <c r="C119" s="23" t="s">
        <v>120</v>
      </c>
      <c r="D119" s="19" t="s">
        <v>160</v>
      </c>
      <c r="E119" s="5">
        <v>174</v>
      </c>
      <c r="F119" s="15"/>
      <c r="G119" s="15"/>
      <c r="H119" s="15">
        <v>99</v>
      </c>
      <c r="I119" s="18">
        <v>8.52</v>
      </c>
      <c r="J119" s="15">
        <v>26.5</v>
      </c>
      <c r="K119" s="15">
        <v>0</v>
      </c>
      <c r="L119" s="15">
        <v>100</v>
      </c>
      <c r="M119" s="15"/>
      <c r="N119" s="15">
        <v>95.24</v>
      </c>
      <c r="O119" s="17">
        <v>4</v>
      </c>
      <c r="AD119" s="15"/>
      <c r="AM119" s="15"/>
      <c r="AS119" s="15"/>
      <c r="AT119" s="15"/>
      <c r="AW119" s="15"/>
      <c r="AY119" s="15"/>
      <c r="AZ119" s="15"/>
      <c r="BD119" s="1">
        <v>1</v>
      </c>
      <c r="BJ119" s="1">
        <v>1</v>
      </c>
      <c r="BM119" s="15"/>
      <c r="BR119" s="15"/>
      <c r="BT119" s="15"/>
      <c r="BU119" s="15"/>
      <c r="BW119" s="1">
        <v>1</v>
      </c>
      <c r="BY119" s="15"/>
      <c r="CJ119" s="1">
        <v>1</v>
      </c>
      <c r="CK119" s="1">
        <v>2</v>
      </c>
      <c r="CS119" s="15"/>
      <c r="CT119" s="15"/>
      <c r="CY119" s="15"/>
      <c r="CZ119" s="15"/>
      <c r="DD119" s="15"/>
      <c r="DI119" s="1">
        <f t="shared" si="2"/>
        <v>5</v>
      </c>
      <c r="DJ119" s="1">
        <f t="shared" si="3"/>
        <v>6</v>
      </c>
    </row>
    <row r="120" spans="1:114" ht="15.75" customHeight="1" x14ac:dyDescent="0.3">
      <c r="A120" s="15" t="s">
        <v>158</v>
      </c>
      <c r="B120" s="23" t="s">
        <v>178</v>
      </c>
      <c r="C120" s="23" t="s">
        <v>120</v>
      </c>
      <c r="D120" s="19" t="s">
        <v>159</v>
      </c>
      <c r="E120" s="5">
        <v>169</v>
      </c>
      <c r="F120" s="15"/>
      <c r="G120" s="15"/>
      <c r="H120" s="15">
        <v>99</v>
      </c>
      <c r="I120" s="18">
        <v>6.93</v>
      </c>
      <c r="J120" s="15">
        <v>23.5</v>
      </c>
      <c r="K120" s="15">
        <v>0</v>
      </c>
      <c r="L120" s="15">
        <v>98</v>
      </c>
      <c r="M120" s="15"/>
      <c r="N120" s="15">
        <v>95.24</v>
      </c>
      <c r="O120" s="17">
        <v>3</v>
      </c>
      <c r="X120" s="1">
        <v>1</v>
      </c>
      <c r="AD120" s="15">
        <v>1</v>
      </c>
      <c r="AF120" s="1">
        <v>1</v>
      </c>
      <c r="AM120" s="15"/>
      <c r="AS120" s="15"/>
      <c r="AT120" s="15"/>
      <c r="AW120" s="15"/>
      <c r="AY120" s="15">
        <v>1</v>
      </c>
      <c r="AZ120" s="15"/>
      <c r="BC120" s="1">
        <v>1</v>
      </c>
      <c r="BJ120" s="1">
        <v>1</v>
      </c>
      <c r="BM120" s="15"/>
      <c r="BR120" s="15"/>
      <c r="BT120" s="15"/>
      <c r="BU120" s="15"/>
      <c r="BY120" s="15"/>
      <c r="CJ120" s="1">
        <v>1</v>
      </c>
      <c r="CS120" s="15"/>
      <c r="CT120" s="15"/>
      <c r="CY120" s="15"/>
      <c r="CZ120" s="15"/>
      <c r="DD120" s="15"/>
      <c r="DI120" s="1">
        <f t="shared" si="2"/>
        <v>7</v>
      </c>
      <c r="DJ120" s="1">
        <f t="shared" si="3"/>
        <v>7</v>
      </c>
    </row>
    <row r="121" spans="1:114" ht="15.75" customHeight="1" x14ac:dyDescent="0.3">
      <c r="A121" s="15" t="s">
        <v>158</v>
      </c>
      <c r="B121" s="23" t="s">
        <v>178</v>
      </c>
      <c r="C121" s="23" t="s">
        <v>120</v>
      </c>
      <c r="D121" s="19" t="s">
        <v>161</v>
      </c>
      <c r="E121" s="5">
        <v>175</v>
      </c>
      <c r="F121" s="15"/>
      <c r="G121" s="15"/>
      <c r="H121" s="15">
        <v>99</v>
      </c>
      <c r="I121" s="18">
        <v>6.8</v>
      </c>
      <c r="J121" s="15">
        <v>23.5</v>
      </c>
      <c r="K121" s="15">
        <v>0</v>
      </c>
      <c r="L121" s="15">
        <v>100</v>
      </c>
      <c r="M121" s="15"/>
      <c r="N121" s="15">
        <v>95.24</v>
      </c>
      <c r="O121" s="17">
        <v>3</v>
      </c>
      <c r="AD121" s="15"/>
      <c r="AM121" s="15"/>
      <c r="AS121" s="15"/>
      <c r="AT121" s="15"/>
      <c r="AW121" s="15"/>
      <c r="AY121" s="15"/>
      <c r="AZ121" s="15"/>
      <c r="BM121" s="15"/>
      <c r="BR121" s="15"/>
      <c r="BT121" s="15">
        <v>1</v>
      </c>
      <c r="BU121" s="15"/>
      <c r="BY121" s="15"/>
      <c r="CS121" s="15"/>
      <c r="CT121" s="15"/>
      <c r="CY121" s="15"/>
      <c r="CZ121" s="15"/>
      <c r="DD121" s="15"/>
      <c r="DI121" s="1">
        <f t="shared" si="2"/>
        <v>1</v>
      </c>
      <c r="DJ121" s="1">
        <f t="shared" si="3"/>
        <v>1</v>
      </c>
    </row>
    <row r="122" spans="1:114" ht="15.75" customHeight="1" x14ac:dyDescent="0.3">
      <c r="A122" s="15" t="s">
        <v>158</v>
      </c>
      <c r="B122" s="23" t="s">
        <v>179</v>
      </c>
      <c r="C122" s="23" t="s">
        <v>120</v>
      </c>
      <c r="D122" s="19" t="s">
        <v>162</v>
      </c>
      <c r="E122" s="5">
        <v>167</v>
      </c>
      <c r="F122" s="15"/>
      <c r="G122" s="15"/>
      <c r="H122" s="15">
        <v>89</v>
      </c>
      <c r="I122" s="18">
        <v>2.74</v>
      </c>
      <c r="J122" s="15">
        <v>23.5</v>
      </c>
      <c r="K122" s="15">
        <v>0</v>
      </c>
      <c r="L122" s="15">
        <v>0</v>
      </c>
      <c r="M122" s="15">
        <v>600</v>
      </c>
      <c r="N122" s="15">
        <v>95.24</v>
      </c>
      <c r="O122" s="17">
        <v>5</v>
      </c>
      <c r="AD122" s="15"/>
      <c r="AF122" s="1">
        <v>1</v>
      </c>
      <c r="AM122" s="15"/>
      <c r="AN122" s="1">
        <v>1</v>
      </c>
      <c r="AS122" s="15"/>
      <c r="AT122" s="15"/>
      <c r="AW122" s="15"/>
      <c r="AX122" s="1">
        <v>2</v>
      </c>
      <c r="AY122" s="15">
        <v>1</v>
      </c>
      <c r="AZ122" s="15">
        <v>2</v>
      </c>
      <c r="BM122" s="15"/>
      <c r="BR122" s="15">
        <v>1</v>
      </c>
      <c r="BT122" s="15">
        <v>1</v>
      </c>
      <c r="BU122" s="15"/>
      <c r="BY122" s="15">
        <v>1</v>
      </c>
      <c r="CI122" s="1">
        <v>1</v>
      </c>
      <c r="CS122" s="15"/>
      <c r="CT122" s="15"/>
      <c r="CW122" s="1">
        <v>1</v>
      </c>
      <c r="CY122" s="15"/>
      <c r="CZ122" s="15"/>
      <c r="DA122" s="1">
        <v>1</v>
      </c>
      <c r="DB122" s="1">
        <v>1</v>
      </c>
      <c r="DD122" s="15"/>
      <c r="DG122" s="1">
        <v>2</v>
      </c>
      <c r="DI122" s="1">
        <f t="shared" si="2"/>
        <v>13</v>
      </c>
      <c r="DJ122" s="1">
        <f t="shared" si="3"/>
        <v>16</v>
      </c>
    </row>
    <row r="123" spans="1:114" ht="15.75" customHeight="1" x14ac:dyDescent="0.3">
      <c r="A123" s="15" t="s">
        <v>158</v>
      </c>
      <c r="B123" s="23" t="s">
        <v>179</v>
      </c>
      <c r="C123" s="23" t="s">
        <v>120</v>
      </c>
      <c r="D123" s="19" t="s">
        <v>159</v>
      </c>
      <c r="E123" s="5">
        <v>169</v>
      </c>
      <c r="F123" s="15"/>
      <c r="G123" s="15"/>
      <c r="H123" s="15">
        <v>99</v>
      </c>
      <c r="I123" s="18">
        <v>0.32</v>
      </c>
      <c r="J123" s="15">
        <v>21.5</v>
      </c>
      <c r="K123" s="15">
        <v>0</v>
      </c>
      <c r="L123" s="15">
        <v>100</v>
      </c>
      <c r="M123" s="15"/>
      <c r="N123" s="1">
        <v>100</v>
      </c>
      <c r="O123" s="17">
        <v>5</v>
      </c>
      <c r="AD123" s="15"/>
      <c r="AM123" s="15"/>
      <c r="AS123" s="15"/>
      <c r="AT123" s="15"/>
      <c r="AW123" s="15"/>
      <c r="AY123" s="15"/>
      <c r="AZ123" s="15">
        <v>1</v>
      </c>
      <c r="BM123" s="15"/>
      <c r="BR123" s="15"/>
      <c r="BT123" s="15"/>
      <c r="BU123" s="15"/>
      <c r="BY123" s="15"/>
      <c r="CS123" s="15"/>
      <c r="CT123" s="15"/>
      <c r="CV123" s="1">
        <v>1</v>
      </c>
      <c r="CY123" s="15">
        <v>1</v>
      </c>
      <c r="CZ123" s="15"/>
      <c r="DD123" s="15"/>
      <c r="DI123" s="1">
        <f t="shared" si="2"/>
        <v>3</v>
      </c>
      <c r="DJ123" s="1">
        <f t="shared" si="3"/>
        <v>3</v>
      </c>
    </row>
    <row r="124" spans="1:114" ht="15.75" customHeight="1" x14ac:dyDescent="0.3">
      <c r="A124" s="15" t="s">
        <v>158</v>
      </c>
      <c r="B124" s="23" t="s">
        <v>179</v>
      </c>
      <c r="C124" s="23" t="s">
        <v>122</v>
      </c>
      <c r="D124" s="19">
        <v>45108</v>
      </c>
      <c r="E124" s="5">
        <v>160</v>
      </c>
      <c r="F124" s="15"/>
      <c r="G124" s="15"/>
      <c r="H124" s="15">
        <v>87</v>
      </c>
      <c r="I124" s="18">
        <v>0.03</v>
      </c>
      <c r="J124" s="15">
        <v>23.2</v>
      </c>
      <c r="K124" s="15">
        <v>0</v>
      </c>
      <c r="L124" s="15">
        <v>100</v>
      </c>
      <c r="M124" s="15">
        <v>450</v>
      </c>
      <c r="N124" s="15">
        <v>71.42</v>
      </c>
      <c r="O124" s="17">
        <v>5</v>
      </c>
      <c r="AD124" s="15"/>
      <c r="AM124" s="15">
        <v>1</v>
      </c>
      <c r="AS124" s="15"/>
      <c r="AT124" s="15"/>
      <c r="AW124" s="15"/>
      <c r="AY124" s="15"/>
      <c r="AZ124" s="15">
        <v>1</v>
      </c>
      <c r="BM124" s="15"/>
      <c r="BR124" s="15"/>
      <c r="BT124" s="15">
        <v>1</v>
      </c>
      <c r="BU124" s="15"/>
      <c r="BY124" s="15"/>
      <c r="CS124" s="15"/>
      <c r="CT124" s="15"/>
      <c r="CY124" s="15"/>
      <c r="CZ124" s="15"/>
      <c r="DD124" s="15"/>
      <c r="DI124" s="1">
        <f t="shared" si="2"/>
        <v>3</v>
      </c>
      <c r="DJ124" s="1">
        <f t="shared" si="3"/>
        <v>3</v>
      </c>
    </row>
    <row r="125" spans="1:114" ht="15.75" customHeight="1" x14ac:dyDescent="0.3">
      <c r="A125" s="15" t="s">
        <v>158</v>
      </c>
      <c r="B125" s="23" t="s">
        <v>179</v>
      </c>
      <c r="C125" s="23" t="s">
        <v>122</v>
      </c>
      <c r="D125" s="19" t="s">
        <v>163</v>
      </c>
      <c r="E125" s="5">
        <v>168</v>
      </c>
      <c r="F125" s="15"/>
      <c r="G125" s="15"/>
      <c r="H125" s="15">
        <v>85</v>
      </c>
      <c r="I125" s="18">
        <v>0.04</v>
      </c>
      <c r="J125" s="15">
        <v>23.2</v>
      </c>
      <c r="K125" s="15">
        <v>0</v>
      </c>
      <c r="L125" s="15">
        <v>50</v>
      </c>
      <c r="M125" s="15">
        <v>600</v>
      </c>
      <c r="N125" s="15">
        <v>100</v>
      </c>
      <c r="O125" s="17">
        <v>5</v>
      </c>
      <c r="AD125" s="15"/>
      <c r="AM125" s="15"/>
      <c r="AS125" s="15"/>
      <c r="AT125" s="15"/>
      <c r="AW125" s="15"/>
      <c r="AY125" s="15"/>
      <c r="AZ125" s="15"/>
      <c r="BM125" s="15"/>
      <c r="BR125" s="15"/>
      <c r="BT125" s="15"/>
      <c r="BU125" s="15"/>
      <c r="BY125" s="15"/>
      <c r="CI125" s="1">
        <v>1</v>
      </c>
      <c r="CS125" s="15"/>
      <c r="CT125" s="15"/>
      <c r="CY125" s="15"/>
      <c r="CZ125" s="15"/>
      <c r="DD125" s="15"/>
      <c r="DI125" s="1">
        <f t="shared" si="2"/>
        <v>1</v>
      </c>
      <c r="DJ125" s="1">
        <f t="shared" si="3"/>
        <v>1</v>
      </c>
    </row>
    <row r="126" spans="1:114" ht="15.75" customHeight="1" x14ac:dyDescent="0.3">
      <c r="A126" s="15" t="s">
        <v>158</v>
      </c>
      <c r="B126" s="23" t="s">
        <v>180</v>
      </c>
      <c r="C126" s="23" t="s">
        <v>120</v>
      </c>
      <c r="D126" s="19" t="s">
        <v>162</v>
      </c>
      <c r="E126" s="5">
        <v>167</v>
      </c>
      <c r="F126" s="15"/>
      <c r="G126" s="15"/>
      <c r="H126" s="15">
        <v>88</v>
      </c>
      <c r="I126" s="18">
        <v>0.69</v>
      </c>
      <c r="J126" s="15">
        <v>23.4</v>
      </c>
      <c r="K126" s="15">
        <v>6</v>
      </c>
      <c r="L126" s="15">
        <v>100</v>
      </c>
      <c r="M126" s="15">
        <v>600</v>
      </c>
      <c r="N126" s="15">
        <v>100</v>
      </c>
      <c r="O126" s="17">
        <v>5</v>
      </c>
      <c r="AC126" s="1">
        <v>2</v>
      </c>
      <c r="AD126" s="15"/>
      <c r="AM126" s="15"/>
      <c r="AS126" s="15"/>
      <c r="AT126" s="15"/>
      <c r="AW126" s="15"/>
      <c r="AX126" s="1">
        <v>1</v>
      </c>
      <c r="AY126" s="15"/>
      <c r="AZ126" s="15">
        <v>1</v>
      </c>
      <c r="BC126" s="1">
        <v>1</v>
      </c>
      <c r="BM126" s="15"/>
      <c r="BR126" s="15"/>
      <c r="BT126" s="15"/>
      <c r="BU126" s="15"/>
      <c r="BY126" s="15"/>
      <c r="CA126" s="1">
        <v>1</v>
      </c>
      <c r="CG126" s="1">
        <v>1</v>
      </c>
      <c r="CK126" s="1">
        <v>1</v>
      </c>
      <c r="CL126" s="1">
        <v>1</v>
      </c>
      <c r="CS126" s="15"/>
      <c r="CT126" s="15"/>
      <c r="CY126" s="15"/>
      <c r="CZ126" s="15"/>
      <c r="DD126" s="15"/>
      <c r="DI126" s="1">
        <f t="shared" si="2"/>
        <v>8</v>
      </c>
      <c r="DJ126" s="1">
        <f t="shared" si="3"/>
        <v>9</v>
      </c>
    </row>
    <row r="127" spans="1:114" ht="15.75" customHeight="1" x14ac:dyDescent="0.3">
      <c r="A127" s="15" t="s">
        <v>158</v>
      </c>
      <c r="B127" s="23" t="s">
        <v>180</v>
      </c>
      <c r="C127" s="23" t="s">
        <v>122</v>
      </c>
      <c r="D127" s="15" t="s">
        <v>163</v>
      </c>
      <c r="E127" s="5">
        <v>168</v>
      </c>
      <c r="F127" s="15"/>
      <c r="G127" s="15"/>
      <c r="H127" s="15">
        <v>88</v>
      </c>
      <c r="I127" s="18">
        <v>1.86</v>
      </c>
      <c r="J127" s="15">
        <v>27.2</v>
      </c>
      <c r="K127" s="15">
        <v>0.6</v>
      </c>
      <c r="L127" s="15">
        <v>100</v>
      </c>
      <c r="M127" s="15">
        <v>600</v>
      </c>
      <c r="N127" s="15">
        <v>100</v>
      </c>
      <c r="O127" s="17">
        <v>5</v>
      </c>
      <c r="AD127" s="15"/>
      <c r="AM127" s="15"/>
      <c r="AS127" s="15"/>
      <c r="AT127" s="15"/>
      <c r="AW127" s="15"/>
      <c r="AY127" s="15"/>
      <c r="AZ127" s="15"/>
      <c r="BI127" s="1">
        <v>1</v>
      </c>
      <c r="BM127" s="15"/>
      <c r="BR127" s="15"/>
      <c r="BT127" s="15">
        <v>1</v>
      </c>
      <c r="BU127" s="15"/>
      <c r="BY127" s="15"/>
      <c r="CI127" s="1">
        <v>1</v>
      </c>
      <c r="CS127" s="15"/>
      <c r="CT127" s="15"/>
      <c r="CW127" s="1">
        <v>1</v>
      </c>
      <c r="CY127" s="15"/>
      <c r="CZ127" s="15"/>
      <c r="DD127" s="15"/>
      <c r="DI127" s="1">
        <f t="shared" si="2"/>
        <v>4</v>
      </c>
      <c r="DJ127" s="1">
        <f t="shared" si="3"/>
        <v>4</v>
      </c>
    </row>
    <row r="128" spans="1:114" ht="15.75" customHeight="1" x14ac:dyDescent="0.3">
      <c r="A128" s="15" t="s">
        <v>158</v>
      </c>
      <c r="B128" s="23" t="s">
        <v>181</v>
      </c>
      <c r="C128" s="23" t="s">
        <v>120</v>
      </c>
      <c r="D128" s="19" t="s">
        <v>162</v>
      </c>
      <c r="E128" s="5">
        <v>167</v>
      </c>
      <c r="F128" s="15"/>
      <c r="G128" s="15"/>
      <c r="H128" s="15">
        <v>80</v>
      </c>
      <c r="I128" s="18">
        <v>51.6</v>
      </c>
      <c r="J128" s="15">
        <v>28.7</v>
      </c>
      <c r="K128" s="15">
        <v>2.5</v>
      </c>
      <c r="L128" s="15">
        <v>0</v>
      </c>
      <c r="M128" s="15">
        <v>600</v>
      </c>
      <c r="N128" s="15">
        <v>100</v>
      </c>
      <c r="O128" s="17">
        <v>3</v>
      </c>
      <c r="AB128" s="1">
        <v>1</v>
      </c>
      <c r="AD128" s="15"/>
      <c r="AM128" s="15"/>
      <c r="AS128" s="15"/>
      <c r="AT128" s="15"/>
      <c r="AW128" s="15"/>
      <c r="AY128" s="15"/>
      <c r="AZ128" s="15">
        <v>1</v>
      </c>
      <c r="BM128" s="15"/>
      <c r="BR128" s="15"/>
      <c r="BT128" s="15"/>
      <c r="BU128" s="15"/>
      <c r="BY128" s="15">
        <v>1</v>
      </c>
      <c r="CG128" s="1">
        <v>1</v>
      </c>
      <c r="CS128" s="15"/>
      <c r="CT128" s="15"/>
      <c r="CY128" s="15"/>
      <c r="CZ128" s="15"/>
      <c r="DA128" s="1">
        <v>1</v>
      </c>
      <c r="DD128" s="15"/>
      <c r="DI128" s="1">
        <f t="shared" si="2"/>
        <v>5</v>
      </c>
      <c r="DJ128" s="1">
        <f t="shared" si="3"/>
        <v>5</v>
      </c>
    </row>
    <row r="129" spans="1:114" ht="15.75" customHeight="1" x14ac:dyDescent="0.3">
      <c r="A129" s="15" t="s">
        <v>158</v>
      </c>
      <c r="B129" s="23" t="s">
        <v>182</v>
      </c>
      <c r="C129" s="23" t="s">
        <v>120</v>
      </c>
      <c r="D129" s="19" t="s">
        <v>162</v>
      </c>
      <c r="E129" s="5">
        <v>167</v>
      </c>
      <c r="F129" s="15"/>
      <c r="G129" s="15"/>
      <c r="H129" s="15">
        <v>71</v>
      </c>
      <c r="I129" s="18">
        <v>7.17</v>
      </c>
      <c r="J129" s="15">
        <v>26.1</v>
      </c>
      <c r="K129" s="15">
        <v>1.9</v>
      </c>
      <c r="L129" s="15">
        <v>0</v>
      </c>
      <c r="M129" s="15">
        <v>600</v>
      </c>
      <c r="N129" s="15">
        <v>100</v>
      </c>
      <c r="O129" s="17">
        <v>3</v>
      </c>
      <c r="X129" s="1">
        <v>1</v>
      </c>
      <c r="AD129" s="15"/>
      <c r="AM129" s="15"/>
      <c r="AS129" s="15">
        <v>3</v>
      </c>
      <c r="AT129" s="15"/>
      <c r="AV129" s="1">
        <v>1</v>
      </c>
      <c r="AW129" s="15"/>
      <c r="AY129" s="15"/>
      <c r="AZ129" s="15">
        <v>1</v>
      </c>
      <c r="BM129" s="15"/>
      <c r="BN129" s="1">
        <v>1</v>
      </c>
      <c r="BR129" s="15"/>
      <c r="BT129" s="15"/>
      <c r="BU129" s="15"/>
      <c r="BY129" s="15"/>
      <c r="CB129" s="1">
        <v>1</v>
      </c>
      <c r="CS129" s="15"/>
      <c r="CT129" s="15"/>
      <c r="CX129" s="1">
        <v>1</v>
      </c>
      <c r="CY129" s="15"/>
      <c r="CZ129" s="15"/>
      <c r="DA129" s="1">
        <v>1</v>
      </c>
      <c r="DD129" s="15">
        <v>1</v>
      </c>
      <c r="DI129" s="1">
        <f t="shared" si="2"/>
        <v>9</v>
      </c>
      <c r="DJ129" s="1">
        <f t="shared" si="3"/>
        <v>11</v>
      </c>
    </row>
    <row r="130" spans="1:114" ht="15.75" customHeight="1" x14ac:dyDescent="0.3">
      <c r="A130" s="15" t="s">
        <v>158</v>
      </c>
      <c r="B130" s="23" t="s">
        <v>182</v>
      </c>
      <c r="C130" s="23" t="s">
        <v>120</v>
      </c>
      <c r="D130" s="19" t="s">
        <v>160</v>
      </c>
      <c r="E130" s="5">
        <v>174</v>
      </c>
      <c r="F130" s="15"/>
      <c r="G130" s="15"/>
      <c r="H130" s="15">
        <v>74</v>
      </c>
      <c r="I130" s="18">
        <v>7.5</v>
      </c>
      <c r="J130" s="15">
        <v>26</v>
      </c>
      <c r="K130" s="15">
        <v>0</v>
      </c>
      <c r="L130" s="15">
        <v>100</v>
      </c>
      <c r="M130" s="15"/>
      <c r="N130" s="15">
        <v>100</v>
      </c>
      <c r="O130" s="17">
        <v>3</v>
      </c>
      <c r="AD130" s="15"/>
      <c r="AM130" s="15"/>
      <c r="AS130" s="15"/>
      <c r="AT130" s="15"/>
      <c r="AW130" s="15"/>
      <c r="AY130" s="15"/>
      <c r="AZ130" s="15"/>
      <c r="BM130" s="15"/>
      <c r="BQ130" s="1">
        <v>1</v>
      </c>
      <c r="BR130" s="15"/>
      <c r="BT130" s="15"/>
      <c r="BU130" s="15"/>
      <c r="BY130" s="15"/>
      <c r="CS130" s="15"/>
      <c r="CT130" s="15"/>
      <c r="CY130" s="15"/>
      <c r="CZ130" s="15"/>
      <c r="DD130" s="15"/>
      <c r="DI130" s="1">
        <f t="shared" si="2"/>
        <v>1</v>
      </c>
      <c r="DJ130" s="1">
        <f t="shared" si="3"/>
        <v>1</v>
      </c>
    </row>
    <row r="131" spans="1:114" ht="15.75" customHeight="1" x14ac:dyDescent="0.3">
      <c r="A131" s="15" t="s">
        <v>158</v>
      </c>
      <c r="B131" s="23" t="s">
        <v>182</v>
      </c>
      <c r="C131" s="23" t="s">
        <v>122</v>
      </c>
      <c r="D131" s="15" t="s">
        <v>163</v>
      </c>
      <c r="E131" s="5">
        <v>168</v>
      </c>
      <c r="F131" s="15"/>
      <c r="G131" s="15"/>
      <c r="H131" s="15">
        <v>54</v>
      </c>
      <c r="I131" s="18">
        <v>10.85</v>
      </c>
      <c r="J131" s="15">
        <v>28.3</v>
      </c>
      <c r="K131" s="15">
        <v>1.45</v>
      </c>
      <c r="L131" s="15">
        <v>35</v>
      </c>
      <c r="M131" s="15">
        <v>600</v>
      </c>
      <c r="N131" s="15">
        <v>100</v>
      </c>
      <c r="O131" s="17">
        <v>3</v>
      </c>
      <c r="AD131" s="15"/>
      <c r="AM131" s="15"/>
      <c r="AS131" s="15"/>
      <c r="AT131" s="15"/>
      <c r="AW131" s="15"/>
      <c r="AY131" s="15"/>
      <c r="AZ131" s="15">
        <v>1</v>
      </c>
      <c r="BM131" s="15"/>
      <c r="BR131" s="15"/>
      <c r="BT131" s="15">
        <v>1</v>
      </c>
      <c r="BU131" s="15"/>
      <c r="BX131" s="1">
        <v>1</v>
      </c>
      <c r="BY131" s="15">
        <v>1</v>
      </c>
      <c r="CS131" s="15"/>
      <c r="CT131" s="15"/>
      <c r="CY131" s="15"/>
      <c r="CZ131" s="15"/>
      <c r="DD131" s="15"/>
      <c r="DI131" s="1">
        <f t="shared" si="2"/>
        <v>4</v>
      </c>
      <c r="DJ131" s="1">
        <f t="shared" si="3"/>
        <v>4</v>
      </c>
    </row>
    <row r="132" spans="1:114" ht="15.75" customHeight="1" x14ac:dyDescent="0.3">
      <c r="A132" s="15" t="s">
        <v>158</v>
      </c>
      <c r="B132" s="23" t="s">
        <v>184</v>
      </c>
      <c r="C132" s="23" t="s">
        <v>120</v>
      </c>
      <c r="D132" s="15" t="s">
        <v>163</v>
      </c>
      <c r="E132" s="5">
        <v>168</v>
      </c>
      <c r="H132" s="1">
        <v>72</v>
      </c>
      <c r="I132" s="1">
        <v>17.850000000000001</v>
      </c>
      <c r="J132" s="1">
        <v>26.9</v>
      </c>
      <c r="K132" s="1">
        <v>1.6</v>
      </c>
      <c r="L132" s="1">
        <v>90</v>
      </c>
      <c r="M132" s="1">
        <v>600</v>
      </c>
      <c r="N132" s="1">
        <v>100</v>
      </c>
      <c r="O132" s="17">
        <v>2</v>
      </c>
      <c r="X132" s="1">
        <v>2</v>
      </c>
      <c r="CB132" s="1">
        <v>1</v>
      </c>
      <c r="DI132" s="1">
        <f t="shared" si="2"/>
        <v>2</v>
      </c>
      <c r="DJ132" s="1">
        <f t="shared" si="3"/>
        <v>3</v>
      </c>
    </row>
    <row r="133" spans="1:114" ht="15.75" customHeight="1" x14ac:dyDescent="0.3">
      <c r="A133" s="15" t="s">
        <v>158</v>
      </c>
      <c r="B133" s="23" t="s">
        <v>184</v>
      </c>
      <c r="C133" s="23" t="s">
        <v>122</v>
      </c>
      <c r="D133" s="19" t="s">
        <v>162</v>
      </c>
      <c r="E133" s="5">
        <v>167</v>
      </c>
      <c r="F133" s="15"/>
      <c r="G133" s="15"/>
      <c r="H133" s="15">
        <v>66</v>
      </c>
      <c r="I133" s="18">
        <v>6.27</v>
      </c>
      <c r="J133" s="15">
        <v>26.2</v>
      </c>
      <c r="K133" s="15">
        <v>0.8</v>
      </c>
      <c r="L133" s="15">
        <v>100</v>
      </c>
      <c r="M133" s="15">
        <v>600</v>
      </c>
      <c r="N133" s="15">
        <v>71.42</v>
      </c>
      <c r="O133" s="17">
        <v>2</v>
      </c>
      <c r="AD133" s="15"/>
      <c r="AF133" s="1">
        <v>1</v>
      </c>
      <c r="AM133" s="15"/>
      <c r="AS133" s="15"/>
      <c r="AT133" s="15"/>
      <c r="AW133" s="15"/>
      <c r="AY133" s="15"/>
      <c r="AZ133" s="15"/>
      <c r="BM133" s="15"/>
      <c r="BR133" s="15"/>
      <c r="BT133" s="15"/>
      <c r="BU133" s="15"/>
      <c r="BY133" s="15"/>
      <c r="CS133" s="15"/>
      <c r="CT133" s="15"/>
      <c r="CY133" s="15"/>
      <c r="CZ133" s="15"/>
      <c r="DD133" s="15"/>
      <c r="DI133" s="1">
        <f t="shared" si="2"/>
        <v>1</v>
      </c>
      <c r="DJ133" s="1">
        <f t="shared" si="3"/>
        <v>1</v>
      </c>
    </row>
    <row r="134" spans="1:114" ht="15.75" customHeight="1" x14ac:dyDescent="0.3">
      <c r="A134" s="15" t="s">
        <v>158</v>
      </c>
      <c r="B134" s="23" t="s">
        <v>183</v>
      </c>
      <c r="C134" s="23" t="s">
        <v>120</v>
      </c>
      <c r="D134" s="19">
        <v>45078</v>
      </c>
      <c r="E134" s="5">
        <v>159</v>
      </c>
      <c r="F134" s="15"/>
      <c r="G134" s="15"/>
      <c r="H134" s="15">
        <v>77</v>
      </c>
      <c r="I134" s="18">
        <v>19</v>
      </c>
      <c r="J134" s="15">
        <v>23.9</v>
      </c>
      <c r="K134" s="15">
        <v>0</v>
      </c>
      <c r="L134" s="15">
        <v>100</v>
      </c>
      <c r="M134" s="15"/>
      <c r="N134" s="15">
        <v>76.19</v>
      </c>
      <c r="O134" s="17">
        <v>3</v>
      </c>
      <c r="U134" s="1">
        <v>1</v>
      </c>
      <c r="Y134" s="1">
        <v>1</v>
      </c>
      <c r="AD134" s="15"/>
      <c r="AM134" s="15"/>
      <c r="AS134" s="15">
        <v>6</v>
      </c>
      <c r="AT134" s="15"/>
      <c r="AV134" s="1">
        <v>5</v>
      </c>
      <c r="AW134" s="15"/>
      <c r="AY134" s="15"/>
      <c r="AZ134" s="15"/>
      <c r="BM134" s="15"/>
      <c r="BR134" s="15"/>
      <c r="BT134" s="15"/>
      <c r="BU134" s="15"/>
      <c r="BY134" s="15"/>
      <c r="CS134" s="15"/>
      <c r="CT134" s="15"/>
      <c r="CY134" s="15"/>
      <c r="CZ134" s="15"/>
      <c r="DD134" s="15"/>
      <c r="DI134" s="1">
        <f t="shared" ref="DI134:DI197" si="4">COUNT(P134:DH134)</f>
        <v>4</v>
      </c>
      <c r="DJ134" s="1">
        <f t="shared" ref="DJ134:DJ197" si="5">SUM(P134:DH134)</f>
        <v>13</v>
      </c>
    </row>
    <row r="135" spans="1:114" ht="15.75" customHeight="1" x14ac:dyDescent="0.3">
      <c r="A135" s="15" t="s">
        <v>158</v>
      </c>
      <c r="B135" s="23" t="s">
        <v>183</v>
      </c>
      <c r="C135" s="23" t="s">
        <v>120</v>
      </c>
      <c r="D135" s="15" t="s">
        <v>163</v>
      </c>
      <c r="E135" s="5">
        <v>168</v>
      </c>
      <c r="F135" s="15"/>
      <c r="G135" s="15"/>
      <c r="H135" s="15">
        <v>99</v>
      </c>
      <c r="I135" s="18">
        <v>29.59</v>
      </c>
      <c r="J135" s="15">
        <v>24.9</v>
      </c>
      <c r="K135" s="15">
        <v>0.65</v>
      </c>
      <c r="L135" s="15">
        <v>99</v>
      </c>
      <c r="M135" s="15">
        <v>600</v>
      </c>
      <c r="N135" s="15">
        <v>95.24</v>
      </c>
      <c r="O135" s="17">
        <v>3</v>
      </c>
      <c r="Y135" s="1">
        <v>1</v>
      </c>
      <c r="AD135" s="15"/>
      <c r="AM135" s="15"/>
      <c r="AS135" s="15">
        <v>2</v>
      </c>
      <c r="AT135" s="15"/>
      <c r="AW135" s="15"/>
      <c r="AY135" s="15"/>
      <c r="AZ135" s="15"/>
      <c r="BM135" s="15"/>
      <c r="BN135" s="1">
        <v>2</v>
      </c>
      <c r="BP135" s="1">
        <v>2</v>
      </c>
      <c r="BR135" s="15"/>
      <c r="BT135" s="15"/>
      <c r="BU135" s="15"/>
      <c r="BY135" s="15"/>
      <c r="CS135" s="15"/>
      <c r="CT135" s="15"/>
      <c r="CY135" s="15"/>
      <c r="CZ135" s="15"/>
      <c r="DD135" s="15"/>
      <c r="DI135" s="1">
        <f t="shared" si="4"/>
        <v>4</v>
      </c>
      <c r="DJ135" s="1">
        <f t="shared" si="5"/>
        <v>7</v>
      </c>
    </row>
    <row r="136" spans="1:114" ht="15.75" customHeight="1" x14ac:dyDescent="0.3">
      <c r="A136" s="15" t="s">
        <v>158</v>
      </c>
      <c r="B136" s="23" t="s">
        <v>183</v>
      </c>
      <c r="C136" s="23" t="s">
        <v>122</v>
      </c>
      <c r="D136" s="19" t="s">
        <v>162</v>
      </c>
      <c r="E136" s="5">
        <v>167</v>
      </c>
      <c r="F136" s="15"/>
      <c r="G136" s="15"/>
      <c r="H136" s="15">
        <v>74</v>
      </c>
      <c r="I136" s="18">
        <v>1.52</v>
      </c>
      <c r="J136" s="15">
        <v>19.829999999999998</v>
      </c>
      <c r="K136" s="15">
        <v>0.85</v>
      </c>
      <c r="L136" s="15">
        <v>100</v>
      </c>
      <c r="M136" s="15">
        <v>600</v>
      </c>
      <c r="N136" s="15">
        <v>95.24</v>
      </c>
      <c r="O136" s="17">
        <v>3</v>
      </c>
      <c r="AD136" s="15"/>
      <c r="AM136" s="15"/>
      <c r="AS136" s="15"/>
      <c r="AT136" s="15"/>
      <c r="AW136" s="15"/>
      <c r="AY136" s="15"/>
      <c r="AZ136" s="15"/>
      <c r="BI136" s="1">
        <v>1</v>
      </c>
      <c r="BM136" s="15"/>
      <c r="BP136" s="1">
        <v>1</v>
      </c>
      <c r="BR136" s="15"/>
      <c r="BT136" s="15"/>
      <c r="BU136" s="15"/>
      <c r="BY136" s="15"/>
      <c r="CS136" s="15"/>
      <c r="CT136" s="15"/>
      <c r="CY136" s="15"/>
      <c r="CZ136" s="15"/>
      <c r="DD136" s="15"/>
      <c r="DI136" s="1">
        <f t="shared" si="4"/>
        <v>2</v>
      </c>
      <c r="DJ136" s="1">
        <f t="shared" si="5"/>
        <v>2</v>
      </c>
    </row>
    <row r="137" spans="1:114" ht="15.75" customHeight="1" x14ac:dyDescent="0.3">
      <c r="A137" s="15" t="s">
        <v>158</v>
      </c>
      <c r="B137" s="23" t="s">
        <v>185</v>
      </c>
      <c r="C137" s="23" t="s">
        <v>120</v>
      </c>
      <c r="D137" s="15" t="s">
        <v>163</v>
      </c>
      <c r="E137" s="5">
        <v>168</v>
      </c>
      <c r="F137" s="15"/>
      <c r="G137" s="15"/>
      <c r="H137" s="15">
        <v>99</v>
      </c>
      <c r="I137" s="18">
        <v>27.94</v>
      </c>
      <c r="J137" s="15">
        <v>22.3</v>
      </c>
      <c r="K137" s="15">
        <v>1.2</v>
      </c>
      <c r="L137" s="15">
        <v>100</v>
      </c>
      <c r="M137" s="15">
        <v>600</v>
      </c>
      <c r="N137" s="15">
        <v>95.24</v>
      </c>
      <c r="O137" s="17">
        <v>1</v>
      </c>
      <c r="Y137" s="1">
        <v>1</v>
      </c>
      <c r="AD137" s="15"/>
      <c r="AM137" s="15"/>
      <c r="AS137" s="15">
        <v>6</v>
      </c>
      <c r="AT137" s="15"/>
      <c r="AU137" s="1">
        <v>2</v>
      </c>
      <c r="AV137" s="1">
        <v>1</v>
      </c>
      <c r="AW137" s="15"/>
      <c r="AY137" s="15"/>
      <c r="AZ137" s="15"/>
      <c r="BM137" s="15"/>
      <c r="BN137" s="1">
        <v>5</v>
      </c>
      <c r="BR137" s="15"/>
      <c r="BT137" s="15"/>
      <c r="BU137" s="15"/>
      <c r="BY137" s="15"/>
      <c r="CS137" s="15"/>
      <c r="CT137" s="15"/>
      <c r="CY137" s="15"/>
      <c r="CZ137" s="15"/>
      <c r="DD137" s="15"/>
      <c r="DI137" s="1">
        <f t="shared" si="4"/>
        <v>5</v>
      </c>
      <c r="DJ137" s="1">
        <f t="shared" si="5"/>
        <v>15</v>
      </c>
    </row>
    <row r="138" spans="1:114" ht="15.75" customHeight="1" x14ac:dyDescent="0.3">
      <c r="A138" s="15" t="s">
        <v>158</v>
      </c>
      <c r="B138" s="23" t="s">
        <v>185</v>
      </c>
      <c r="C138" s="16" t="s">
        <v>122</v>
      </c>
      <c r="D138" s="19" t="s">
        <v>162</v>
      </c>
      <c r="E138" s="5">
        <v>167</v>
      </c>
      <c r="F138" s="15"/>
      <c r="G138" s="15"/>
      <c r="H138" s="15">
        <v>80</v>
      </c>
      <c r="I138" s="18">
        <v>6.81</v>
      </c>
      <c r="J138" s="15">
        <v>19.03</v>
      </c>
      <c r="K138" s="15">
        <v>1.8</v>
      </c>
      <c r="L138" s="15">
        <v>100</v>
      </c>
      <c r="M138" s="15">
        <v>600</v>
      </c>
      <c r="N138" s="15">
        <v>100</v>
      </c>
      <c r="O138" s="17">
        <v>1</v>
      </c>
      <c r="AD138" s="15"/>
      <c r="AM138" s="15"/>
      <c r="AS138" s="15"/>
      <c r="AT138" s="15"/>
      <c r="AW138" s="15"/>
      <c r="AY138" s="15"/>
      <c r="AZ138" s="15"/>
      <c r="BM138" s="15"/>
      <c r="BO138" s="1">
        <v>2</v>
      </c>
      <c r="BP138" s="1">
        <v>2</v>
      </c>
      <c r="BR138" s="15"/>
      <c r="BT138" s="15"/>
      <c r="BU138" s="15"/>
      <c r="BY138" s="15"/>
      <c r="CS138" s="15"/>
      <c r="CT138" s="15"/>
      <c r="CY138" s="15"/>
      <c r="CZ138" s="15"/>
      <c r="DD138" s="15"/>
      <c r="DI138" s="1">
        <f t="shared" si="4"/>
        <v>2</v>
      </c>
      <c r="DJ138" s="1">
        <f t="shared" si="5"/>
        <v>4</v>
      </c>
    </row>
    <row r="139" spans="1:114" ht="15.75" customHeight="1" x14ac:dyDescent="0.3">
      <c r="A139" s="15" t="s">
        <v>158</v>
      </c>
      <c r="B139" s="23" t="s">
        <v>186</v>
      </c>
      <c r="C139" s="23" t="s">
        <v>120</v>
      </c>
      <c r="D139" s="15" t="s">
        <v>163</v>
      </c>
      <c r="E139" s="5">
        <v>168</v>
      </c>
      <c r="F139" s="15"/>
      <c r="G139" s="15"/>
      <c r="H139" s="15">
        <v>95</v>
      </c>
      <c r="I139" s="18">
        <v>0.4</v>
      </c>
      <c r="J139" s="15">
        <v>17.100000000000001</v>
      </c>
      <c r="K139" s="15">
        <v>0</v>
      </c>
      <c r="L139" s="15">
        <v>0</v>
      </c>
      <c r="M139" s="15">
        <v>600</v>
      </c>
      <c r="N139" s="15">
        <v>100</v>
      </c>
      <c r="O139" s="17">
        <v>6</v>
      </c>
      <c r="R139" s="1">
        <v>1</v>
      </c>
      <c r="AD139" s="15"/>
      <c r="AM139" s="15"/>
      <c r="AQ139" s="1">
        <v>1</v>
      </c>
      <c r="AS139" s="15">
        <v>15</v>
      </c>
      <c r="AT139" s="15"/>
      <c r="AW139" s="15"/>
      <c r="AY139" s="15"/>
      <c r="AZ139" s="15">
        <v>1</v>
      </c>
      <c r="BM139" s="15"/>
      <c r="BR139" s="15"/>
      <c r="BT139" s="15"/>
      <c r="BU139" s="15"/>
      <c r="BV139" s="1">
        <v>1</v>
      </c>
      <c r="BY139" s="15"/>
      <c r="CR139" s="1">
        <v>1</v>
      </c>
      <c r="CS139" s="15"/>
      <c r="CT139" s="15"/>
      <c r="CU139" s="1">
        <v>1</v>
      </c>
      <c r="CW139" s="1">
        <v>1</v>
      </c>
      <c r="CY139" s="15">
        <v>1</v>
      </c>
      <c r="CZ139" s="15"/>
      <c r="DD139" s="15"/>
      <c r="DF139" s="1">
        <v>10</v>
      </c>
      <c r="DI139" s="1">
        <f t="shared" si="4"/>
        <v>10</v>
      </c>
      <c r="DJ139" s="1">
        <f t="shared" si="5"/>
        <v>33</v>
      </c>
    </row>
    <row r="140" spans="1:114" ht="15.75" customHeight="1" x14ac:dyDescent="0.3">
      <c r="A140" s="15" t="s">
        <v>158</v>
      </c>
      <c r="B140" s="23" t="s">
        <v>186</v>
      </c>
      <c r="C140" s="23" t="s">
        <v>120</v>
      </c>
      <c r="D140" s="15" t="s">
        <v>160</v>
      </c>
      <c r="E140" s="5">
        <v>174</v>
      </c>
      <c r="F140" s="15"/>
      <c r="G140" s="15"/>
      <c r="H140" s="15">
        <v>95</v>
      </c>
      <c r="I140" s="18">
        <v>0.42</v>
      </c>
      <c r="J140" s="15">
        <v>17.2</v>
      </c>
      <c r="K140" s="15">
        <v>0</v>
      </c>
      <c r="L140" s="15">
        <v>100</v>
      </c>
      <c r="M140" s="15"/>
      <c r="N140" s="15">
        <v>100</v>
      </c>
      <c r="O140" s="17">
        <v>6</v>
      </c>
      <c r="AD140" s="15"/>
      <c r="AM140" s="15"/>
      <c r="AS140" s="15"/>
      <c r="AT140" s="15"/>
      <c r="AW140" s="15"/>
      <c r="AY140" s="15"/>
      <c r="AZ140" s="15"/>
      <c r="BM140" s="15"/>
      <c r="BR140" s="15"/>
      <c r="BT140" s="15"/>
      <c r="BU140" s="15"/>
      <c r="BY140" s="15"/>
      <c r="CK140" s="1">
        <v>1</v>
      </c>
      <c r="CS140" s="15"/>
      <c r="CT140" s="15"/>
      <c r="CY140" s="15"/>
      <c r="CZ140" s="15"/>
      <c r="DD140" s="15"/>
      <c r="DI140" s="1">
        <f t="shared" si="4"/>
        <v>1</v>
      </c>
      <c r="DJ140" s="1">
        <f t="shared" si="5"/>
        <v>1</v>
      </c>
    </row>
    <row r="141" spans="1:114" ht="15.75" customHeight="1" x14ac:dyDescent="0.3">
      <c r="A141" s="15" t="s">
        <v>158</v>
      </c>
      <c r="B141" s="23" t="s">
        <v>186</v>
      </c>
      <c r="C141" s="23" t="s">
        <v>120</v>
      </c>
      <c r="D141" s="15" t="s">
        <v>163</v>
      </c>
      <c r="E141" s="5">
        <v>168</v>
      </c>
      <c r="F141" s="15"/>
      <c r="G141" s="15"/>
      <c r="H141" s="15">
        <v>95</v>
      </c>
      <c r="I141" s="18">
        <v>0.41</v>
      </c>
      <c r="J141" s="15">
        <v>17.100000000000001</v>
      </c>
      <c r="K141" s="15">
        <v>0</v>
      </c>
      <c r="L141" s="15">
        <v>100</v>
      </c>
      <c r="M141" s="15">
        <v>600</v>
      </c>
      <c r="N141" s="15">
        <v>95.24</v>
      </c>
      <c r="O141" s="17">
        <v>6</v>
      </c>
      <c r="P141" s="1">
        <v>1</v>
      </c>
      <c r="Y141" s="1">
        <v>1</v>
      </c>
      <c r="AD141" s="15"/>
      <c r="AM141" s="15"/>
      <c r="AS141" s="15"/>
      <c r="AT141" s="15"/>
      <c r="AW141" s="15"/>
      <c r="AY141" s="15">
        <v>1</v>
      </c>
      <c r="AZ141" s="15"/>
      <c r="BM141" s="15"/>
      <c r="BR141" s="15"/>
      <c r="BS141" s="1">
        <v>1</v>
      </c>
      <c r="BT141" s="15"/>
      <c r="BU141" s="15"/>
      <c r="BY141" s="15"/>
      <c r="CE141" s="1">
        <v>1</v>
      </c>
      <c r="CJ141" s="1">
        <v>1</v>
      </c>
      <c r="CS141" s="15"/>
      <c r="CT141" s="15"/>
      <c r="CY141" s="15"/>
      <c r="CZ141" s="15"/>
      <c r="DD141" s="15"/>
      <c r="DF141" s="1">
        <v>3</v>
      </c>
      <c r="DH141" s="1">
        <v>2</v>
      </c>
      <c r="DI141" s="1">
        <f t="shared" si="4"/>
        <v>8</v>
      </c>
      <c r="DJ141" s="1">
        <f t="shared" si="5"/>
        <v>11</v>
      </c>
    </row>
    <row r="142" spans="1:114" ht="15.75" customHeight="1" x14ac:dyDescent="0.3">
      <c r="A142" s="15" t="s">
        <v>158</v>
      </c>
      <c r="B142" s="23" t="s">
        <v>186</v>
      </c>
      <c r="C142" s="23" t="s">
        <v>122</v>
      </c>
      <c r="D142" s="19" t="s">
        <v>162</v>
      </c>
      <c r="E142" s="5">
        <v>167</v>
      </c>
      <c r="F142" s="15"/>
      <c r="G142" s="15"/>
      <c r="H142" s="15">
        <v>87</v>
      </c>
      <c r="I142" s="18">
        <v>0.16</v>
      </c>
      <c r="J142" s="15">
        <v>20.2</v>
      </c>
      <c r="K142" s="15">
        <v>0</v>
      </c>
      <c r="L142" s="15">
        <v>100</v>
      </c>
      <c r="M142" s="15">
        <v>600</v>
      </c>
      <c r="N142" s="15">
        <v>100</v>
      </c>
      <c r="O142" s="17">
        <v>6</v>
      </c>
      <c r="Q142" s="1">
        <v>1</v>
      </c>
      <c r="R142" s="1">
        <v>1</v>
      </c>
      <c r="V142" s="1">
        <v>1</v>
      </c>
      <c r="AD142" s="15"/>
      <c r="AH142" s="1">
        <v>1</v>
      </c>
      <c r="AM142" s="15"/>
      <c r="AS142" s="15"/>
      <c r="AT142" s="15"/>
      <c r="AW142" s="15"/>
      <c r="AY142" s="15"/>
      <c r="AZ142" s="15"/>
      <c r="BG142" s="1">
        <v>1</v>
      </c>
      <c r="BM142" s="15"/>
      <c r="BR142" s="15"/>
      <c r="BT142" s="15"/>
      <c r="BU142" s="15"/>
      <c r="BY142" s="15"/>
      <c r="CG142" s="1">
        <v>1</v>
      </c>
      <c r="CS142" s="15"/>
      <c r="CT142" s="15"/>
      <c r="CY142" s="15"/>
      <c r="CZ142" s="15"/>
      <c r="DD142" s="15"/>
      <c r="DI142" s="1">
        <f t="shared" si="4"/>
        <v>6</v>
      </c>
      <c r="DJ142" s="1">
        <f t="shared" si="5"/>
        <v>6</v>
      </c>
    </row>
    <row r="143" spans="1:114" ht="15.75" customHeight="1" x14ac:dyDescent="0.3">
      <c r="A143" s="15"/>
      <c r="B143" s="15"/>
      <c r="C143" s="15"/>
      <c r="D143" s="15"/>
      <c r="E143" s="17"/>
      <c r="F143" s="15"/>
      <c r="G143" s="15"/>
      <c r="H143" s="15"/>
      <c r="I143" s="18"/>
      <c r="J143" s="15"/>
      <c r="K143" s="15"/>
      <c r="L143" s="15"/>
      <c r="M143" s="15"/>
      <c r="N143" s="15"/>
      <c r="O143" s="17"/>
      <c r="AD143" s="15"/>
      <c r="AM143" s="15"/>
      <c r="AS143" s="15"/>
      <c r="AT143" s="15"/>
      <c r="AW143" s="15"/>
      <c r="AY143" s="15"/>
      <c r="AZ143" s="15"/>
      <c r="BM143" s="15"/>
      <c r="BR143" s="15"/>
      <c r="BT143" s="15"/>
      <c r="BU143" s="15"/>
      <c r="BY143" s="15"/>
      <c r="CS143" s="15"/>
      <c r="CT143" s="15"/>
      <c r="CY143" s="15"/>
      <c r="CZ143" s="15"/>
      <c r="DD143" s="15"/>
      <c r="DI143" s="1">
        <f t="shared" si="4"/>
        <v>0</v>
      </c>
      <c r="DJ143" s="1">
        <f t="shared" si="5"/>
        <v>0</v>
      </c>
    </row>
    <row r="144" spans="1:114" ht="15.75" customHeight="1" x14ac:dyDescent="0.3">
      <c r="A144" s="15"/>
      <c r="B144" s="15"/>
      <c r="D144" s="15"/>
      <c r="E144" s="17"/>
      <c r="F144" s="15"/>
      <c r="G144" s="15"/>
      <c r="H144" s="15"/>
      <c r="I144" s="18"/>
      <c r="J144" s="15"/>
      <c r="K144" s="15"/>
      <c r="L144" s="15"/>
      <c r="M144" s="15"/>
      <c r="N144" s="15"/>
      <c r="O144" s="17"/>
      <c r="AD144" s="15"/>
      <c r="AM144" s="15"/>
      <c r="AS144" s="15"/>
      <c r="AT144" s="15"/>
      <c r="AW144" s="15"/>
      <c r="AY144" s="15"/>
      <c r="AZ144" s="15"/>
      <c r="BM144" s="15"/>
      <c r="BR144" s="15"/>
      <c r="BT144" s="15"/>
      <c r="BU144" s="15"/>
      <c r="BY144" s="15"/>
      <c r="CS144" s="15"/>
      <c r="CT144" s="15"/>
      <c r="CY144" s="15"/>
      <c r="CZ144" s="15"/>
      <c r="DD144" s="15"/>
      <c r="DI144" s="1">
        <f t="shared" si="4"/>
        <v>0</v>
      </c>
      <c r="DJ144" s="1">
        <f t="shared" si="5"/>
        <v>0</v>
      </c>
    </row>
    <row r="145" spans="1:114" ht="15.75" customHeight="1" x14ac:dyDescent="0.3">
      <c r="A145" s="15" t="s">
        <v>164</v>
      </c>
      <c r="B145" s="23" t="s">
        <v>176</v>
      </c>
      <c r="C145" s="23" t="s">
        <v>120</v>
      </c>
      <c r="D145" s="19">
        <v>44987</v>
      </c>
      <c r="E145" s="17">
        <v>187</v>
      </c>
      <c r="F145" s="15"/>
      <c r="G145" s="15"/>
      <c r="H145" s="15">
        <v>89</v>
      </c>
      <c r="I145" s="18">
        <v>1.36</v>
      </c>
      <c r="J145" s="15">
        <v>23.18</v>
      </c>
      <c r="K145" s="15">
        <v>0</v>
      </c>
      <c r="L145" s="15">
        <v>100</v>
      </c>
      <c r="M145" s="15">
        <v>800</v>
      </c>
      <c r="N145" s="15">
        <v>100</v>
      </c>
      <c r="O145" s="17">
        <v>4</v>
      </c>
      <c r="AD145" s="15"/>
      <c r="AM145" s="15"/>
      <c r="AO145" s="1">
        <v>1</v>
      </c>
      <c r="AS145" s="15"/>
      <c r="AT145" s="15"/>
      <c r="AW145" s="15"/>
      <c r="AY145" s="15"/>
      <c r="AZ145" s="15"/>
      <c r="BJ145" s="1">
        <v>1</v>
      </c>
      <c r="BM145" s="15"/>
      <c r="BR145" s="15"/>
      <c r="BT145" s="15">
        <v>2</v>
      </c>
      <c r="BU145" s="15">
        <v>2</v>
      </c>
      <c r="BY145" s="15"/>
      <c r="CS145" s="15"/>
      <c r="CT145" s="15"/>
      <c r="CY145" s="15">
        <v>1</v>
      </c>
      <c r="CZ145" s="15"/>
      <c r="DB145" s="1">
        <v>2</v>
      </c>
      <c r="DD145" s="15">
        <v>1</v>
      </c>
      <c r="DE145" s="1">
        <v>1</v>
      </c>
      <c r="DI145" s="1">
        <f t="shared" si="4"/>
        <v>8</v>
      </c>
      <c r="DJ145" s="1">
        <f t="shared" si="5"/>
        <v>11</v>
      </c>
    </row>
    <row r="146" spans="1:114" ht="15.75" customHeight="1" x14ac:dyDescent="0.3">
      <c r="A146" s="15" t="s">
        <v>164</v>
      </c>
      <c r="B146" s="23" t="s">
        <v>177</v>
      </c>
      <c r="C146" s="23" t="s">
        <v>122</v>
      </c>
      <c r="D146" s="19">
        <v>44987</v>
      </c>
      <c r="E146" s="17">
        <v>187</v>
      </c>
      <c r="F146" s="15"/>
      <c r="G146" s="15"/>
      <c r="H146" s="15">
        <v>94</v>
      </c>
      <c r="I146" s="18">
        <v>7.68</v>
      </c>
      <c r="J146" s="15">
        <v>26.7</v>
      </c>
      <c r="K146" s="15">
        <v>0.75</v>
      </c>
      <c r="L146" s="15">
        <v>100</v>
      </c>
      <c r="M146" s="15">
        <v>800</v>
      </c>
      <c r="N146" s="15">
        <v>100</v>
      </c>
      <c r="O146" s="17">
        <v>3</v>
      </c>
      <c r="AD146" s="15"/>
      <c r="AM146" s="15"/>
      <c r="AS146" s="15"/>
      <c r="AT146" s="15"/>
      <c r="AW146" s="15"/>
      <c r="AY146" s="15"/>
      <c r="AZ146" s="15">
        <v>1</v>
      </c>
      <c r="BD146" s="1">
        <v>1</v>
      </c>
      <c r="BM146" s="15"/>
      <c r="BR146" s="15"/>
      <c r="BT146" s="15"/>
      <c r="BU146" s="15">
        <v>3</v>
      </c>
      <c r="BY146" s="15"/>
      <c r="CG146" s="1">
        <v>1</v>
      </c>
      <c r="CS146" s="15"/>
      <c r="CT146" s="15"/>
      <c r="CU146" s="1">
        <v>1</v>
      </c>
      <c r="CW146" s="1">
        <v>1</v>
      </c>
      <c r="CY146" s="15"/>
      <c r="CZ146" s="15"/>
      <c r="DD146" s="15"/>
      <c r="DI146" s="1">
        <f t="shared" si="4"/>
        <v>6</v>
      </c>
      <c r="DJ146" s="1">
        <f t="shared" si="5"/>
        <v>8</v>
      </c>
    </row>
    <row r="147" spans="1:114" ht="15.75" customHeight="1" x14ac:dyDescent="0.3">
      <c r="A147" s="15" t="s">
        <v>164</v>
      </c>
      <c r="B147" s="23" t="s">
        <v>177</v>
      </c>
      <c r="C147" s="23" t="s">
        <v>120</v>
      </c>
      <c r="D147" s="19" t="s">
        <v>165</v>
      </c>
      <c r="E147" s="17">
        <v>203</v>
      </c>
      <c r="F147" s="15"/>
      <c r="G147" s="15"/>
      <c r="H147" s="15">
        <v>90</v>
      </c>
      <c r="I147" s="18">
        <v>1.5</v>
      </c>
      <c r="J147" s="15">
        <v>23.4</v>
      </c>
      <c r="K147" s="15">
        <v>0</v>
      </c>
      <c r="L147" s="15">
        <v>100</v>
      </c>
      <c r="M147" s="15"/>
      <c r="N147" s="15">
        <v>100</v>
      </c>
      <c r="O147" s="17">
        <v>3</v>
      </c>
      <c r="AD147" s="15"/>
      <c r="AM147" s="15"/>
      <c r="AS147" s="15"/>
      <c r="AT147" s="15"/>
      <c r="AW147" s="15"/>
      <c r="AY147" s="15"/>
      <c r="AZ147" s="15"/>
      <c r="BM147" s="15"/>
      <c r="BR147" s="15"/>
      <c r="BT147" s="15"/>
      <c r="BU147" s="15"/>
      <c r="BY147" s="15"/>
      <c r="CK147" s="1">
        <v>1</v>
      </c>
      <c r="CS147" s="15"/>
      <c r="CT147" s="15"/>
      <c r="CY147" s="15"/>
      <c r="CZ147" s="15"/>
      <c r="DD147" s="15"/>
      <c r="DI147" s="1">
        <f t="shared" si="4"/>
        <v>1</v>
      </c>
      <c r="DJ147" s="1">
        <f t="shared" si="5"/>
        <v>1</v>
      </c>
    </row>
    <row r="148" spans="1:114" ht="15.75" customHeight="1" x14ac:dyDescent="0.3">
      <c r="A148" s="15" t="s">
        <v>164</v>
      </c>
      <c r="B148" s="23" t="s">
        <v>179</v>
      </c>
      <c r="C148" s="23" t="s">
        <v>120</v>
      </c>
      <c r="D148" s="19">
        <v>45048</v>
      </c>
      <c r="E148" s="17">
        <v>189</v>
      </c>
      <c r="F148" s="15"/>
      <c r="G148" s="15"/>
      <c r="H148" s="15">
        <v>91</v>
      </c>
      <c r="I148" s="18">
        <v>1.1499999999999999</v>
      </c>
      <c r="J148" s="15">
        <v>24.4</v>
      </c>
      <c r="K148" s="15">
        <v>0</v>
      </c>
      <c r="L148" s="15">
        <v>100</v>
      </c>
      <c r="M148" s="15">
        <v>400</v>
      </c>
      <c r="N148" s="15">
        <v>95.24</v>
      </c>
      <c r="O148" s="17">
        <v>5</v>
      </c>
      <c r="AD148" s="15"/>
      <c r="AF148" s="1">
        <v>1</v>
      </c>
      <c r="AM148" s="15"/>
      <c r="AN148" s="1">
        <v>1</v>
      </c>
      <c r="AS148" s="15"/>
      <c r="AT148" s="15"/>
      <c r="AW148" s="15"/>
      <c r="AY148" s="15"/>
      <c r="AZ148" s="15">
        <v>1</v>
      </c>
      <c r="BJ148" s="1">
        <v>1</v>
      </c>
      <c r="BM148" s="15"/>
      <c r="BR148" s="15"/>
      <c r="BT148" s="15">
        <v>1</v>
      </c>
      <c r="BU148" s="15"/>
      <c r="BY148" s="15">
        <v>1</v>
      </c>
      <c r="CJ148" s="1">
        <v>1</v>
      </c>
      <c r="CS148" s="15"/>
      <c r="CT148" s="15"/>
      <c r="CY148" s="15">
        <v>1</v>
      </c>
      <c r="CZ148" s="15"/>
      <c r="DD148" s="15"/>
      <c r="DI148" s="1">
        <f t="shared" si="4"/>
        <v>8</v>
      </c>
      <c r="DJ148" s="1">
        <f t="shared" si="5"/>
        <v>8</v>
      </c>
    </row>
    <row r="149" spans="1:114" ht="15.75" customHeight="1" x14ac:dyDescent="0.3">
      <c r="A149" s="15" t="s">
        <v>164</v>
      </c>
      <c r="B149" s="23" t="s">
        <v>179</v>
      </c>
      <c r="C149" s="23" t="s">
        <v>120</v>
      </c>
      <c r="D149" s="19" t="s">
        <v>166</v>
      </c>
      <c r="E149" s="17">
        <v>202</v>
      </c>
      <c r="F149" s="15"/>
      <c r="G149" s="15"/>
      <c r="H149" s="15">
        <v>94</v>
      </c>
      <c r="I149" s="18">
        <v>1.2</v>
      </c>
      <c r="J149" s="15">
        <v>24.4</v>
      </c>
      <c r="K149" s="15">
        <v>0</v>
      </c>
      <c r="L149" s="15">
        <v>100</v>
      </c>
      <c r="M149" s="15"/>
      <c r="N149" s="15">
        <v>100</v>
      </c>
      <c r="O149" s="17">
        <v>5</v>
      </c>
      <c r="AD149" s="15"/>
      <c r="AM149" s="15"/>
      <c r="AS149" s="15"/>
      <c r="AT149" s="15"/>
      <c r="AW149" s="15"/>
      <c r="AY149" s="15"/>
      <c r="AZ149" s="15"/>
      <c r="BM149" s="15"/>
      <c r="BR149" s="15"/>
      <c r="BT149" s="15"/>
      <c r="BU149" s="15"/>
      <c r="BY149" s="15"/>
      <c r="CJ149" s="1">
        <v>1</v>
      </c>
      <c r="CS149" s="15"/>
      <c r="CT149" s="15"/>
      <c r="CY149" s="15"/>
      <c r="CZ149" s="15"/>
      <c r="DD149" s="15"/>
      <c r="DI149" s="1">
        <f t="shared" si="4"/>
        <v>1</v>
      </c>
      <c r="DJ149" s="1">
        <f t="shared" si="5"/>
        <v>1</v>
      </c>
    </row>
    <row r="150" spans="1:114" ht="15.75" customHeight="1" x14ac:dyDescent="0.3">
      <c r="A150" s="15" t="s">
        <v>164</v>
      </c>
      <c r="B150" s="23" t="s">
        <v>179</v>
      </c>
      <c r="C150" s="23" t="s">
        <v>122</v>
      </c>
      <c r="D150" s="19">
        <v>44987</v>
      </c>
      <c r="E150" s="17">
        <v>187</v>
      </c>
      <c r="F150" s="15"/>
      <c r="G150" s="15"/>
      <c r="H150" s="15">
        <v>85</v>
      </c>
      <c r="I150" s="18">
        <v>1.3</v>
      </c>
      <c r="J150" s="15">
        <v>24.4</v>
      </c>
      <c r="K150" s="15">
        <v>0</v>
      </c>
      <c r="L150" s="15">
        <v>100</v>
      </c>
      <c r="M150" s="15">
        <v>800</v>
      </c>
      <c r="N150" s="15">
        <v>100</v>
      </c>
      <c r="O150" s="17">
        <v>5</v>
      </c>
      <c r="AD150" s="15"/>
      <c r="AM150" s="15">
        <v>1</v>
      </c>
      <c r="AN150" s="1">
        <v>1</v>
      </c>
      <c r="AS150" s="15"/>
      <c r="AT150" s="15"/>
      <c r="AW150" s="15"/>
      <c r="AY150" s="15"/>
      <c r="AZ150" s="15">
        <v>1</v>
      </c>
      <c r="BD150" s="1">
        <v>1</v>
      </c>
      <c r="BM150" s="15"/>
      <c r="BR150" s="15"/>
      <c r="BT150" s="15">
        <v>1</v>
      </c>
      <c r="BU150" s="15"/>
      <c r="BY150" s="15"/>
      <c r="CG150" s="1">
        <v>1</v>
      </c>
      <c r="CI150" s="1">
        <v>1</v>
      </c>
      <c r="CS150" s="15"/>
      <c r="CT150" s="15"/>
      <c r="CV150" s="1">
        <v>1</v>
      </c>
      <c r="CY150" s="15"/>
      <c r="CZ150" s="15"/>
      <c r="DD150" s="15"/>
      <c r="DI150" s="1">
        <f t="shared" si="4"/>
        <v>8</v>
      </c>
      <c r="DJ150" s="1">
        <f t="shared" si="5"/>
        <v>8</v>
      </c>
    </row>
    <row r="151" spans="1:114" ht="15.75" customHeight="1" x14ac:dyDescent="0.3">
      <c r="A151" s="15" t="s">
        <v>164</v>
      </c>
      <c r="B151" s="23" t="s">
        <v>180</v>
      </c>
      <c r="C151" s="23" t="s">
        <v>120</v>
      </c>
      <c r="D151" s="19">
        <v>45018</v>
      </c>
      <c r="E151" s="17">
        <v>188</v>
      </c>
      <c r="F151" s="15"/>
      <c r="G151" s="15"/>
      <c r="H151" s="15">
        <v>91</v>
      </c>
      <c r="I151" s="18">
        <v>0.57999999999999996</v>
      </c>
      <c r="J151" s="15">
        <v>26.4</v>
      </c>
      <c r="K151" s="15">
        <v>0</v>
      </c>
      <c r="L151" s="15">
        <v>100</v>
      </c>
      <c r="M151" s="15">
        <v>700</v>
      </c>
      <c r="N151" s="15">
        <v>76.19</v>
      </c>
      <c r="O151" s="17">
        <v>5</v>
      </c>
      <c r="Q151" s="1">
        <v>1</v>
      </c>
      <c r="R151" s="1">
        <v>1</v>
      </c>
      <c r="AD151" s="15"/>
      <c r="AF151" s="1">
        <v>1</v>
      </c>
      <c r="AM151" s="15"/>
      <c r="AQ151" s="1">
        <v>1</v>
      </c>
      <c r="AS151" s="15"/>
      <c r="AT151" s="15"/>
      <c r="AW151" s="15"/>
      <c r="AY151" s="15"/>
      <c r="AZ151" s="15"/>
      <c r="BA151" s="1">
        <v>1</v>
      </c>
      <c r="BC151" s="1">
        <v>1</v>
      </c>
      <c r="BM151" s="15"/>
      <c r="BR151" s="15"/>
      <c r="BT151" s="15">
        <v>1</v>
      </c>
      <c r="BU151" s="15"/>
      <c r="BY151" s="15"/>
      <c r="CF151" s="1">
        <v>1</v>
      </c>
      <c r="CS151" s="15"/>
      <c r="CT151" s="15"/>
      <c r="CU151" s="1">
        <v>1</v>
      </c>
      <c r="CY151" s="15">
        <v>1</v>
      </c>
      <c r="CZ151" s="15"/>
      <c r="DD151" s="15"/>
      <c r="DI151" s="1">
        <f t="shared" si="4"/>
        <v>10</v>
      </c>
      <c r="DJ151" s="1">
        <f t="shared" si="5"/>
        <v>10</v>
      </c>
    </row>
    <row r="152" spans="1:114" ht="15.75" customHeight="1" x14ac:dyDescent="0.3">
      <c r="A152" s="15" t="s">
        <v>164</v>
      </c>
      <c r="B152" s="23" t="s">
        <v>180</v>
      </c>
      <c r="C152" s="23" t="s">
        <v>120</v>
      </c>
      <c r="D152" s="19">
        <v>45048</v>
      </c>
      <c r="E152" s="17">
        <v>189</v>
      </c>
      <c r="F152" s="15"/>
      <c r="G152" s="15"/>
      <c r="H152" s="15">
        <v>91</v>
      </c>
      <c r="I152" s="18">
        <v>0.81</v>
      </c>
      <c r="J152" s="15">
        <v>23.28</v>
      </c>
      <c r="K152" s="15">
        <v>0</v>
      </c>
      <c r="L152" s="15">
        <v>100</v>
      </c>
      <c r="M152" s="15">
        <v>400</v>
      </c>
      <c r="N152" s="15">
        <v>100</v>
      </c>
      <c r="O152" s="17">
        <v>5</v>
      </c>
      <c r="AD152" s="15"/>
      <c r="AM152" s="15"/>
      <c r="AS152" s="15"/>
      <c r="AT152" s="15"/>
      <c r="AW152" s="15"/>
      <c r="AX152" s="1">
        <v>1</v>
      </c>
      <c r="AY152" s="15"/>
      <c r="AZ152" s="15"/>
      <c r="BC152" s="1">
        <v>1</v>
      </c>
      <c r="BM152" s="15"/>
      <c r="BR152" s="15"/>
      <c r="BT152" s="15"/>
      <c r="BU152" s="15"/>
      <c r="BY152" s="15"/>
      <c r="CI152" s="1">
        <v>1</v>
      </c>
      <c r="CS152" s="15"/>
      <c r="CT152" s="15"/>
      <c r="CV152" s="1">
        <v>1</v>
      </c>
      <c r="CY152" s="15">
        <v>1</v>
      </c>
      <c r="CZ152" s="15"/>
      <c r="DD152" s="15"/>
      <c r="DI152" s="1">
        <f t="shared" si="4"/>
        <v>5</v>
      </c>
      <c r="DJ152" s="1">
        <f t="shared" si="5"/>
        <v>5</v>
      </c>
    </row>
    <row r="153" spans="1:114" ht="15.75" customHeight="1" x14ac:dyDescent="0.3">
      <c r="A153" s="15" t="s">
        <v>164</v>
      </c>
      <c r="B153" s="23" t="s">
        <v>181</v>
      </c>
      <c r="C153" s="23" t="s">
        <v>120</v>
      </c>
      <c r="D153" s="19" t="s">
        <v>166</v>
      </c>
      <c r="E153" s="17">
        <v>202</v>
      </c>
      <c r="F153" s="15"/>
      <c r="G153" s="15"/>
      <c r="H153" s="15">
        <v>91</v>
      </c>
      <c r="I153" s="18">
        <v>0.81</v>
      </c>
      <c r="J153" s="15">
        <v>23.3</v>
      </c>
      <c r="K153" s="15">
        <v>0</v>
      </c>
      <c r="L153" s="15">
        <v>100</v>
      </c>
      <c r="M153" s="15"/>
      <c r="N153" s="15">
        <v>100</v>
      </c>
      <c r="O153" s="17">
        <v>3</v>
      </c>
      <c r="AD153" s="15"/>
      <c r="AM153" s="15"/>
      <c r="AS153" s="15"/>
      <c r="AT153" s="15"/>
      <c r="AW153" s="15"/>
      <c r="AY153" s="15"/>
      <c r="AZ153" s="15"/>
      <c r="BM153" s="15"/>
      <c r="BR153" s="15"/>
      <c r="BT153" s="15"/>
      <c r="BU153" s="15"/>
      <c r="BY153" s="15"/>
      <c r="CK153" s="1">
        <v>2</v>
      </c>
      <c r="CS153" s="15"/>
      <c r="CT153" s="15"/>
      <c r="CY153" s="15"/>
      <c r="CZ153" s="15"/>
      <c r="DD153" s="15"/>
      <c r="DI153" s="1">
        <f t="shared" si="4"/>
        <v>1</v>
      </c>
      <c r="DJ153" s="1">
        <f t="shared" si="5"/>
        <v>2</v>
      </c>
    </row>
    <row r="154" spans="1:114" ht="15.75" customHeight="1" x14ac:dyDescent="0.3">
      <c r="A154" s="15" t="s">
        <v>164</v>
      </c>
      <c r="B154" s="23" t="s">
        <v>181</v>
      </c>
      <c r="C154" s="23" t="s">
        <v>120</v>
      </c>
      <c r="D154" s="19">
        <v>45018</v>
      </c>
      <c r="E154" s="17">
        <v>188</v>
      </c>
      <c r="F154" s="15"/>
      <c r="G154" s="15"/>
      <c r="H154" s="15">
        <v>99</v>
      </c>
      <c r="I154" s="18">
        <v>85.6</v>
      </c>
      <c r="J154" s="15">
        <v>28.5</v>
      </c>
      <c r="K154" s="15">
        <v>1.2</v>
      </c>
      <c r="L154" s="15">
        <v>100</v>
      </c>
      <c r="M154" s="15">
        <v>700</v>
      </c>
      <c r="N154" s="15">
        <v>95.24</v>
      </c>
      <c r="O154" s="17">
        <v>3</v>
      </c>
      <c r="AD154" s="15"/>
      <c r="AM154" s="15"/>
      <c r="AS154" s="15"/>
      <c r="AT154" s="15"/>
      <c r="AW154" s="15"/>
      <c r="AY154" s="15"/>
      <c r="AZ154" s="15">
        <v>1</v>
      </c>
      <c r="BM154" s="15"/>
      <c r="BR154" s="15"/>
      <c r="BT154" s="15"/>
      <c r="BU154" s="15"/>
      <c r="BY154" s="15"/>
      <c r="CS154" s="15"/>
      <c r="CT154" s="15"/>
      <c r="CY154" s="15"/>
      <c r="CZ154" s="15"/>
      <c r="DD154" s="15"/>
      <c r="DI154" s="1">
        <f t="shared" si="4"/>
        <v>1</v>
      </c>
      <c r="DJ154" s="1">
        <f t="shared" si="5"/>
        <v>1</v>
      </c>
    </row>
    <row r="155" spans="1:114" ht="15.75" customHeight="1" x14ac:dyDescent="0.3">
      <c r="A155" s="15" t="s">
        <v>164</v>
      </c>
      <c r="B155" s="23" t="s">
        <v>181</v>
      </c>
      <c r="C155" s="23" t="s">
        <v>120</v>
      </c>
      <c r="D155" s="19">
        <v>45048</v>
      </c>
      <c r="E155" s="17">
        <v>189</v>
      </c>
      <c r="F155" s="15"/>
      <c r="G155" s="15"/>
      <c r="H155" s="15">
        <v>91</v>
      </c>
      <c r="I155" s="18">
        <v>13.15</v>
      </c>
      <c r="J155" s="15">
        <v>26.13</v>
      </c>
      <c r="K155" s="15">
        <v>0</v>
      </c>
      <c r="L155" s="15">
        <v>100</v>
      </c>
      <c r="M155" s="15">
        <v>400</v>
      </c>
      <c r="N155" s="15">
        <v>95.24</v>
      </c>
      <c r="O155" s="17">
        <v>3</v>
      </c>
      <c r="Y155" s="1">
        <v>1</v>
      </c>
      <c r="AD155" s="15"/>
      <c r="AM155" s="15"/>
      <c r="AS155" s="15"/>
      <c r="AT155" s="15"/>
      <c r="AW155" s="15"/>
      <c r="AY155" s="15"/>
      <c r="AZ155" s="15"/>
      <c r="BM155" s="15"/>
      <c r="BR155" s="15"/>
      <c r="BT155" s="15"/>
      <c r="BU155" s="15"/>
      <c r="BY155" s="15"/>
      <c r="CG155" s="1">
        <v>1</v>
      </c>
      <c r="CS155" s="15"/>
      <c r="CT155" s="15"/>
      <c r="CU155" s="1">
        <v>1</v>
      </c>
      <c r="CY155" s="15"/>
      <c r="CZ155" s="15"/>
      <c r="DD155" s="15"/>
      <c r="DI155" s="1">
        <f t="shared" si="4"/>
        <v>3</v>
      </c>
      <c r="DJ155" s="1">
        <f t="shared" si="5"/>
        <v>3</v>
      </c>
    </row>
    <row r="156" spans="1:114" ht="15.75" customHeight="1" x14ac:dyDescent="0.3">
      <c r="A156" s="15" t="s">
        <v>164</v>
      </c>
      <c r="B156" s="23" t="s">
        <v>182</v>
      </c>
      <c r="C156" s="23" t="s">
        <v>122</v>
      </c>
      <c r="D156" s="19" t="s">
        <v>166</v>
      </c>
      <c r="E156" s="17">
        <v>202</v>
      </c>
      <c r="F156" s="15"/>
      <c r="G156" s="15"/>
      <c r="H156" s="15">
        <v>75</v>
      </c>
      <c r="I156" s="18">
        <v>17.2</v>
      </c>
      <c r="J156" s="15">
        <v>28</v>
      </c>
      <c r="K156" s="15">
        <v>0</v>
      </c>
      <c r="L156" s="15">
        <v>100</v>
      </c>
      <c r="M156" s="15"/>
      <c r="N156" s="15">
        <v>100</v>
      </c>
      <c r="O156" s="17">
        <v>3</v>
      </c>
      <c r="AD156" s="15"/>
      <c r="AM156" s="15"/>
      <c r="AS156" s="15"/>
      <c r="AT156" s="15"/>
      <c r="AW156" s="15"/>
      <c r="AY156" s="15"/>
      <c r="AZ156" s="15"/>
      <c r="BM156" s="15"/>
      <c r="BR156" s="15"/>
      <c r="BT156" s="15"/>
      <c r="BU156" s="15"/>
      <c r="BY156" s="15"/>
      <c r="CK156" s="1">
        <v>1</v>
      </c>
      <c r="CR156" s="1">
        <v>1</v>
      </c>
      <c r="CS156" s="15"/>
      <c r="CT156" s="15"/>
      <c r="CY156" s="15"/>
      <c r="CZ156" s="15"/>
      <c r="DD156" s="15"/>
      <c r="DI156" s="1">
        <f t="shared" si="4"/>
        <v>2</v>
      </c>
      <c r="DJ156" s="1">
        <f t="shared" si="5"/>
        <v>2</v>
      </c>
    </row>
    <row r="157" spans="1:114" s="44" customFormat="1" ht="15.75" customHeight="1" x14ac:dyDescent="0.3">
      <c r="A157" s="39" t="s">
        <v>164</v>
      </c>
      <c r="B157" s="40" t="s">
        <v>182</v>
      </c>
      <c r="C157" s="40" t="s">
        <v>120</v>
      </c>
      <c r="D157" s="41">
        <v>45048</v>
      </c>
      <c r="E157" s="17">
        <v>189</v>
      </c>
      <c r="F157" s="39"/>
      <c r="G157" s="39"/>
      <c r="H157" s="39">
        <v>93</v>
      </c>
      <c r="I157" s="42">
        <v>14.5</v>
      </c>
      <c r="J157" s="39">
        <v>28.73</v>
      </c>
      <c r="K157" s="39">
        <v>0</v>
      </c>
      <c r="L157" s="39">
        <v>100</v>
      </c>
      <c r="M157" s="39">
        <v>400</v>
      </c>
      <c r="N157" s="39">
        <v>100</v>
      </c>
      <c r="O157" s="43">
        <v>3</v>
      </c>
      <c r="AD157" s="39"/>
      <c r="AM157" s="39"/>
      <c r="AS157" s="39"/>
      <c r="AT157" s="39"/>
      <c r="AW157" s="39"/>
      <c r="AY157" s="39"/>
      <c r="AZ157" s="39">
        <v>1</v>
      </c>
      <c r="BM157" s="39"/>
      <c r="BN157" s="44">
        <v>4</v>
      </c>
      <c r="BP157" s="44">
        <v>1</v>
      </c>
      <c r="BR157" s="39"/>
      <c r="BT157" s="39">
        <v>1</v>
      </c>
      <c r="BU157" s="39"/>
      <c r="BY157" s="39"/>
      <c r="CG157" s="44">
        <v>1</v>
      </c>
      <c r="CJ157" s="44">
        <v>1</v>
      </c>
      <c r="CS157" s="39"/>
      <c r="CT157" s="39"/>
      <c r="CY157" s="39"/>
      <c r="CZ157" s="39"/>
      <c r="DD157" s="39"/>
      <c r="DI157" s="1">
        <f t="shared" si="4"/>
        <v>6</v>
      </c>
      <c r="DJ157" s="1">
        <f t="shared" si="5"/>
        <v>9</v>
      </c>
    </row>
    <row r="158" spans="1:114" ht="15.75" customHeight="1" x14ac:dyDescent="0.3">
      <c r="A158" s="15" t="s">
        <v>164</v>
      </c>
      <c r="B158" s="23" t="s">
        <v>182</v>
      </c>
      <c r="C158" s="23" t="s">
        <v>122</v>
      </c>
      <c r="D158" s="19">
        <v>45018</v>
      </c>
      <c r="E158" s="17">
        <v>188</v>
      </c>
      <c r="F158" s="15"/>
      <c r="G158" s="15"/>
      <c r="H158" s="15">
        <v>74</v>
      </c>
      <c r="I158" s="18">
        <v>18</v>
      </c>
      <c r="J158" s="15">
        <v>28</v>
      </c>
      <c r="K158" s="15">
        <v>0</v>
      </c>
      <c r="L158" s="15">
        <v>2</v>
      </c>
      <c r="M158" s="15">
        <v>700</v>
      </c>
      <c r="N158" s="15">
        <v>100</v>
      </c>
      <c r="O158" s="17">
        <v>3</v>
      </c>
      <c r="AD158" s="15"/>
      <c r="AM158" s="15"/>
      <c r="AS158" s="15"/>
      <c r="AT158" s="15"/>
      <c r="AW158" s="15"/>
      <c r="AY158" s="15"/>
      <c r="AZ158" s="15"/>
      <c r="BM158" s="15"/>
      <c r="BN158" s="1">
        <v>1</v>
      </c>
      <c r="BP158" s="1">
        <v>1</v>
      </c>
      <c r="BR158" s="15"/>
      <c r="BT158" s="15"/>
      <c r="BU158" s="15"/>
      <c r="BY158" s="15"/>
      <c r="CS158" s="15"/>
      <c r="CT158" s="15"/>
      <c r="CY158" s="15"/>
      <c r="CZ158" s="15"/>
      <c r="DD158" s="15"/>
      <c r="DI158" s="1">
        <f t="shared" si="4"/>
        <v>2</v>
      </c>
      <c r="DJ158" s="1">
        <f t="shared" si="5"/>
        <v>2</v>
      </c>
    </row>
    <row r="159" spans="1:114" ht="15.75" customHeight="1" x14ac:dyDescent="0.3">
      <c r="A159" s="15" t="s">
        <v>164</v>
      </c>
      <c r="B159" s="23" t="s">
        <v>184</v>
      </c>
      <c r="C159" s="16" t="s">
        <v>120</v>
      </c>
      <c r="D159" s="19">
        <v>45048</v>
      </c>
      <c r="E159" s="17">
        <v>189</v>
      </c>
      <c r="F159" s="18">
        <v>11.2</v>
      </c>
      <c r="G159" s="18">
        <v>11.2</v>
      </c>
      <c r="H159" s="15">
        <v>92</v>
      </c>
      <c r="I159" s="18">
        <v>97.97</v>
      </c>
      <c r="J159" s="15">
        <v>28.73</v>
      </c>
      <c r="K159" s="15">
        <v>0.97</v>
      </c>
      <c r="L159" s="15">
        <v>100</v>
      </c>
      <c r="M159" s="15">
        <v>400</v>
      </c>
      <c r="N159" s="15">
        <v>100</v>
      </c>
      <c r="O159" s="17">
        <v>2</v>
      </c>
      <c r="AD159" s="15"/>
      <c r="AM159" s="15"/>
      <c r="AS159" s="15"/>
      <c r="AT159" s="15"/>
      <c r="AW159" s="15"/>
      <c r="AY159" s="15"/>
      <c r="AZ159" s="15"/>
      <c r="BM159" s="15"/>
      <c r="BR159" s="15"/>
      <c r="BT159" s="15"/>
      <c r="BU159" s="15"/>
      <c r="BY159" s="15"/>
      <c r="CS159" s="15"/>
      <c r="CT159" s="15"/>
      <c r="CY159" s="15"/>
      <c r="CZ159" s="15"/>
      <c r="DD159" s="15"/>
      <c r="DI159" s="1">
        <f t="shared" si="4"/>
        <v>0</v>
      </c>
      <c r="DJ159" s="1">
        <f t="shared" si="5"/>
        <v>0</v>
      </c>
    </row>
    <row r="160" spans="1:114" ht="15.75" customHeight="1" x14ac:dyDescent="0.3">
      <c r="A160" s="15" t="s">
        <v>164</v>
      </c>
      <c r="B160" s="23" t="s">
        <v>184</v>
      </c>
      <c r="C160" s="23" t="s">
        <v>120</v>
      </c>
      <c r="D160" s="19">
        <v>45079</v>
      </c>
      <c r="E160" s="17">
        <v>190</v>
      </c>
      <c r="F160" s="18">
        <v>11.2</v>
      </c>
      <c r="G160" s="18">
        <v>11.2</v>
      </c>
      <c r="H160" s="15">
        <v>86.5</v>
      </c>
      <c r="I160" s="18">
        <v>33.18</v>
      </c>
      <c r="J160" s="15">
        <v>25.7</v>
      </c>
      <c r="K160" s="15">
        <v>1.2</v>
      </c>
      <c r="L160" s="15">
        <v>100</v>
      </c>
      <c r="M160" s="15"/>
      <c r="N160" s="15">
        <v>100</v>
      </c>
      <c r="O160" s="17">
        <v>2</v>
      </c>
      <c r="Z160" s="1">
        <v>1</v>
      </c>
      <c r="AD160" s="15"/>
      <c r="AM160" s="15"/>
      <c r="AS160" s="15"/>
      <c r="AT160" s="15"/>
      <c r="AW160" s="15"/>
      <c r="AY160" s="15"/>
      <c r="AZ160" s="15"/>
      <c r="BM160" s="15"/>
      <c r="BN160" s="1">
        <v>3</v>
      </c>
      <c r="BP160" s="1">
        <v>2</v>
      </c>
      <c r="BR160" s="15"/>
      <c r="BT160" s="15"/>
      <c r="BU160" s="15"/>
      <c r="BY160" s="15"/>
      <c r="CS160" s="15"/>
      <c r="CT160" s="15"/>
      <c r="CY160" s="15"/>
      <c r="CZ160" s="15"/>
      <c r="DD160" s="15"/>
      <c r="DI160" s="1">
        <f t="shared" si="4"/>
        <v>3</v>
      </c>
      <c r="DJ160" s="1">
        <f t="shared" si="5"/>
        <v>6</v>
      </c>
    </row>
    <row r="161" spans="1:114" ht="15.75" customHeight="1" x14ac:dyDescent="0.3">
      <c r="A161" s="15" t="s">
        <v>164</v>
      </c>
      <c r="B161" s="23" t="s">
        <v>184</v>
      </c>
      <c r="C161" s="23" t="s">
        <v>122</v>
      </c>
      <c r="D161" s="19">
        <v>45018</v>
      </c>
      <c r="E161" s="17">
        <v>188</v>
      </c>
      <c r="F161" s="15"/>
      <c r="G161" s="15"/>
      <c r="H161" s="15">
        <v>70</v>
      </c>
      <c r="I161" s="18">
        <v>5.91</v>
      </c>
      <c r="J161" s="15">
        <v>20.5</v>
      </c>
      <c r="K161" s="15">
        <v>1.5</v>
      </c>
      <c r="L161" s="15">
        <v>2</v>
      </c>
      <c r="M161" s="15">
        <v>700</v>
      </c>
      <c r="N161" s="15">
        <v>100</v>
      </c>
      <c r="O161" s="17">
        <v>2</v>
      </c>
      <c r="AD161" s="15"/>
      <c r="AK161" s="1">
        <v>1</v>
      </c>
      <c r="AM161" s="15"/>
      <c r="AS161" s="15"/>
      <c r="AT161" s="15"/>
      <c r="AW161" s="15"/>
      <c r="AY161" s="15"/>
      <c r="AZ161" s="15"/>
      <c r="BI161" s="1">
        <v>1</v>
      </c>
      <c r="BM161" s="15"/>
      <c r="BR161" s="15"/>
      <c r="BT161" s="15"/>
      <c r="BU161" s="15">
        <v>1</v>
      </c>
      <c r="BY161" s="15"/>
      <c r="CS161" s="15"/>
      <c r="CT161" s="15"/>
      <c r="CY161" s="15"/>
      <c r="CZ161" s="15"/>
      <c r="DD161" s="15"/>
      <c r="DI161" s="1">
        <f t="shared" si="4"/>
        <v>3</v>
      </c>
      <c r="DJ161" s="1">
        <f t="shared" si="5"/>
        <v>3</v>
      </c>
    </row>
    <row r="162" spans="1:114" ht="15.75" customHeight="1" x14ac:dyDescent="0.3">
      <c r="A162" s="15" t="s">
        <v>164</v>
      </c>
      <c r="B162" s="23" t="s">
        <v>183</v>
      </c>
      <c r="C162" s="23" t="s">
        <v>120</v>
      </c>
      <c r="D162" s="19">
        <v>45079</v>
      </c>
      <c r="E162" s="17">
        <v>190</v>
      </c>
      <c r="F162" s="15"/>
      <c r="G162" s="15"/>
      <c r="H162" s="15">
        <v>89</v>
      </c>
      <c r="I162" s="18">
        <v>7.61</v>
      </c>
      <c r="J162" s="15">
        <v>23.8</v>
      </c>
      <c r="K162" s="15">
        <v>0.75</v>
      </c>
      <c r="L162" s="15">
        <v>100</v>
      </c>
      <c r="M162" s="15"/>
      <c r="N162" s="15">
        <v>100</v>
      </c>
      <c r="O162" s="17">
        <v>3</v>
      </c>
      <c r="AD162" s="15"/>
      <c r="AM162" s="15"/>
      <c r="AS162" s="15"/>
      <c r="AT162" s="15"/>
      <c r="AV162" s="1">
        <v>2</v>
      </c>
      <c r="AW162" s="15"/>
      <c r="AY162" s="15"/>
      <c r="AZ162" s="15"/>
      <c r="BM162" s="15"/>
      <c r="BN162" s="1">
        <v>3</v>
      </c>
      <c r="BP162" s="1">
        <v>3</v>
      </c>
      <c r="BR162" s="15"/>
      <c r="BT162" s="15"/>
      <c r="BU162" s="15"/>
      <c r="BY162" s="15"/>
      <c r="CE162" s="1">
        <v>1</v>
      </c>
      <c r="CS162" s="15"/>
      <c r="CT162" s="15"/>
      <c r="CV162" s="1">
        <v>1</v>
      </c>
      <c r="CY162" s="15"/>
      <c r="CZ162" s="15"/>
      <c r="DD162" s="15"/>
      <c r="DI162" s="1">
        <f t="shared" si="4"/>
        <v>5</v>
      </c>
      <c r="DJ162" s="1">
        <f t="shared" si="5"/>
        <v>10</v>
      </c>
    </row>
    <row r="163" spans="1:114" ht="15.75" customHeight="1" x14ac:dyDescent="0.3">
      <c r="A163" s="15" t="s">
        <v>164</v>
      </c>
      <c r="B163" s="23" t="s">
        <v>183</v>
      </c>
      <c r="C163" s="23" t="s">
        <v>122</v>
      </c>
      <c r="D163" s="19">
        <v>45048</v>
      </c>
      <c r="E163" s="17">
        <v>189</v>
      </c>
      <c r="F163" s="15"/>
      <c r="G163" s="15"/>
      <c r="H163" s="15">
        <v>81</v>
      </c>
      <c r="I163" s="18">
        <v>5.23</v>
      </c>
      <c r="J163" s="15">
        <v>27.03</v>
      </c>
      <c r="K163" s="15">
        <v>0</v>
      </c>
      <c r="L163" s="15">
        <v>100</v>
      </c>
      <c r="M163" s="15">
        <v>400</v>
      </c>
      <c r="N163" s="15">
        <v>100</v>
      </c>
      <c r="O163" s="17">
        <v>3</v>
      </c>
      <c r="W163" s="1">
        <v>1</v>
      </c>
      <c r="Y163" s="1">
        <v>2</v>
      </c>
      <c r="Z163" s="1">
        <v>1</v>
      </c>
      <c r="AD163" s="15"/>
      <c r="AM163" s="15"/>
      <c r="AS163" s="15"/>
      <c r="AT163" s="15"/>
      <c r="AV163" s="1">
        <v>1</v>
      </c>
      <c r="AW163" s="15"/>
      <c r="AY163" s="15"/>
      <c r="AZ163" s="15"/>
      <c r="BM163" s="15"/>
      <c r="BR163" s="15"/>
      <c r="BT163" s="15"/>
      <c r="BU163" s="15"/>
      <c r="BY163" s="15"/>
      <c r="CS163" s="15"/>
      <c r="CT163" s="15"/>
      <c r="CY163" s="15"/>
      <c r="CZ163" s="15"/>
      <c r="DD163" s="15"/>
      <c r="DI163" s="1">
        <f t="shared" si="4"/>
        <v>4</v>
      </c>
      <c r="DJ163" s="1">
        <f t="shared" si="5"/>
        <v>5</v>
      </c>
    </row>
    <row r="164" spans="1:114" ht="15.75" customHeight="1" x14ac:dyDescent="0.3">
      <c r="A164" s="15" t="s">
        <v>164</v>
      </c>
      <c r="B164" s="23" t="s">
        <v>185</v>
      </c>
      <c r="C164" s="23" t="s">
        <v>120</v>
      </c>
      <c r="D164" s="19">
        <v>45079</v>
      </c>
      <c r="E164" s="17">
        <v>190</v>
      </c>
      <c r="F164" s="15"/>
      <c r="G164" s="15"/>
      <c r="H164" s="15">
        <v>88</v>
      </c>
      <c r="I164" s="18">
        <v>24.87</v>
      </c>
      <c r="J164" s="15">
        <v>23.25</v>
      </c>
      <c r="K164" s="15">
        <v>0.45</v>
      </c>
      <c r="L164" s="15">
        <v>100</v>
      </c>
      <c r="M164" s="15"/>
      <c r="N164" s="15">
        <v>100</v>
      </c>
      <c r="O164" s="17">
        <v>1</v>
      </c>
      <c r="AD164" s="15"/>
      <c r="AM164" s="15"/>
      <c r="AS164" s="15"/>
      <c r="AT164" s="15"/>
      <c r="AV164" s="1">
        <v>1</v>
      </c>
      <c r="AW164" s="15"/>
      <c r="AY164" s="15"/>
      <c r="AZ164" s="15"/>
      <c r="BM164" s="15"/>
      <c r="BR164" s="15"/>
      <c r="BT164" s="15"/>
      <c r="BU164" s="15"/>
      <c r="BY164" s="15"/>
      <c r="CS164" s="15"/>
      <c r="CT164" s="15"/>
      <c r="CY164" s="15"/>
      <c r="CZ164" s="15"/>
      <c r="DD164" s="15"/>
      <c r="DI164" s="1">
        <f t="shared" si="4"/>
        <v>1</v>
      </c>
      <c r="DJ164" s="1">
        <f t="shared" si="5"/>
        <v>1</v>
      </c>
    </row>
    <row r="165" spans="1:114" ht="15.75" customHeight="1" x14ac:dyDescent="0.3">
      <c r="A165" s="15" t="s">
        <v>164</v>
      </c>
      <c r="B165" s="23" t="s">
        <v>185</v>
      </c>
      <c r="C165" s="23" t="s">
        <v>122</v>
      </c>
      <c r="D165" s="19">
        <v>45048</v>
      </c>
      <c r="E165" s="17">
        <v>189</v>
      </c>
      <c r="F165" s="15"/>
      <c r="G165" s="15"/>
      <c r="H165" s="15">
        <v>72</v>
      </c>
      <c r="I165" s="18">
        <v>4.6399999999999997</v>
      </c>
      <c r="J165" s="15">
        <v>24.9</v>
      </c>
      <c r="K165" s="15">
        <v>3.17</v>
      </c>
      <c r="L165" s="15">
        <v>100</v>
      </c>
      <c r="M165" s="15">
        <v>400</v>
      </c>
      <c r="N165" s="15">
        <v>76.19</v>
      </c>
      <c r="O165" s="17">
        <v>1</v>
      </c>
      <c r="AD165" s="15"/>
      <c r="AM165" s="15"/>
      <c r="AS165" s="15"/>
      <c r="AT165" s="15"/>
      <c r="AV165" s="1">
        <v>1</v>
      </c>
      <c r="AW165" s="15"/>
      <c r="AY165" s="15"/>
      <c r="AZ165" s="15"/>
      <c r="BM165" s="15"/>
      <c r="BN165" s="1">
        <v>3</v>
      </c>
      <c r="BR165" s="15"/>
      <c r="BT165" s="15"/>
      <c r="BU165" s="15"/>
      <c r="BY165" s="15"/>
      <c r="CS165" s="15"/>
      <c r="CT165" s="15"/>
      <c r="CY165" s="15"/>
      <c r="CZ165" s="15"/>
      <c r="DD165" s="15"/>
      <c r="DI165" s="1">
        <f t="shared" si="4"/>
        <v>2</v>
      </c>
      <c r="DJ165" s="1">
        <f t="shared" si="5"/>
        <v>4</v>
      </c>
    </row>
    <row r="166" spans="1:114" ht="15.75" customHeight="1" x14ac:dyDescent="0.3">
      <c r="A166" s="15" t="s">
        <v>164</v>
      </c>
      <c r="B166" s="23" t="s">
        <v>186</v>
      </c>
      <c r="C166" s="23" t="s">
        <v>120</v>
      </c>
      <c r="D166" s="19">
        <v>45079</v>
      </c>
      <c r="E166" s="17">
        <v>190</v>
      </c>
      <c r="F166" s="15"/>
      <c r="G166" s="15"/>
      <c r="H166" s="15">
        <v>86</v>
      </c>
      <c r="I166" s="18">
        <v>0.14000000000000001</v>
      </c>
      <c r="J166" s="15">
        <v>18.55</v>
      </c>
      <c r="K166" s="15">
        <v>0</v>
      </c>
      <c r="L166" s="15">
        <v>100</v>
      </c>
      <c r="M166" s="15"/>
      <c r="N166" s="15">
        <v>100</v>
      </c>
      <c r="O166" s="17">
        <v>6</v>
      </c>
      <c r="R166" s="1">
        <v>1</v>
      </c>
      <c r="AD166" s="15"/>
      <c r="AM166" s="15"/>
      <c r="AS166" s="15"/>
      <c r="AT166" s="15"/>
      <c r="AW166" s="15"/>
      <c r="AY166" s="15"/>
      <c r="AZ166" s="15"/>
      <c r="BM166" s="15"/>
      <c r="BR166" s="15"/>
      <c r="BT166" s="15"/>
      <c r="BU166" s="15"/>
      <c r="BY166" s="15"/>
      <c r="CJ166" s="1">
        <v>1</v>
      </c>
      <c r="CK166" s="1">
        <v>1</v>
      </c>
      <c r="CR166" s="1">
        <v>1</v>
      </c>
      <c r="CS166" s="15"/>
      <c r="CT166" s="15"/>
      <c r="CU166" s="1">
        <v>1</v>
      </c>
      <c r="CY166" s="15"/>
      <c r="CZ166" s="15"/>
      <c r="DD166" s="15"/>
      <c r="DI166" s="1">
        <f t="shared" si="4"/>
        <v>5</v>
      </c>
      <c r="DJ166" s="1">
        <f t="shared" si="5"/>
        <v>5</v>
      </c>
    </row>
    <row r="167" spans="1:114" ht="15.75" customHeight="1" x14ac:dyDescent="0.3">
      <c r="A167" s="15" t="s">
        <v>164</v>
      </c>
      <c r="B167" s="23" t="s">
        <v>186</v>
      </c>
      <c r="C167" s="23" t="s">
        <v>120</v>
      </c>
      <c r="D167" s="19" t="s">
        <v>167</v>
      </c>
      <c r="E167" s="17">
        <v>201</v>
      </c>
      <c r="F167" s="15"/>
      <c r="G167" s="15"/>
      <c r="H167" s="15">
        <v>87</v>
      </c>
      <c r="I167" s="18">
        <v>0.15</v>
      </c>
      <c r="J167" s="15">
        <v>15.2</v>
      </c>
      <c r="K167" s="15">
        <v>0</v>
      </c>
      <c r="L167" s="15">
        <v>100</v>
      </c>
      <c r="M167" s="15"/>
      <c r="N167" s="15">
        <v>100</v>
      </c>
      <c r="O167" s="17">
        <v>6</v>
      </c>
      <c r="AD167" s="15"/>
      <c r="AM167" s="15"/>
      <c r="AS167" s="15"/>
      <c r="AT167" s="15"/>
      <c r="AW167" s="15"/>
      <c r="AY167" s="15"/>
      <c r="AZ167" s="15">
        <v>1</v>
      </c>
      <c r="BM167" s="15"/>
      <c r="BR167" s="15"/>
      <c r="BT167" s="15"/>
      <c r="BU167" s="15"/>
      <c r="BY167" s="15"/>
      <c r="CJ167" s="1">
        <v>1</v>
      </c>
      <c r="CS167" s="15"/>
      <c r="CT167" s="15"/>
      <c r="CY167" s="15"/>
      <c r="CZ167" s="15"/>
      <c r="DD167" s="15"/>
      <c r="DH167" s="1">
        <v>1</v>
      </c>
      <c r="DI167" s="1">
        <f t="shared" si="4"/>
        <v>3</v>
      </c>
      <c r="DJ167" s="1">
        <f t="shared" si="5"/>
        <v>3</v>
      </c>
    </row>
    <row r="168" spans="1:114" ht="15.75" customHeight="1" x14ac:dyDescent="0.3">
      <c r="A168" s="15" t="s">
        <v>164</v>
      </c>
      <c r="B168" s="23" t="s">
        <v>186</v>
      </c>
      <c r="C168" s="16" t="s">
        <v>122</v>
      </c>
      <c r="D168" s="19">
        <v>45048</v>
      </c>
      <c r="E168" s="17">
        <v>189</v>
      </c>
      <c r="F168" s="15"/>
      <c r="G168" s="15"/>
      <c r="H168" s="15">
        <v>83</v>
      </c>
      <c r="I168" s="18">
        <v>0.20499999999999999</v>
      </c>
      <c r="J168" s="15">
        <v>24.8</v>
      </c>
      <c r="K168" s="15">
        <v>0</v>
      </c>
      <c r="L168" s="15">
        <v>100</v>
      </c>
      <c r="M168" s="15">
        <v>400</v>
      </c>
      <c r="N168" s="15">
        <v>76.19</v>
      </c>
      <c r="O168" s="17">
        <v>6</v>
      </c>
      <c r="AD168" s="15"/>
      <c r="AM168" s="15"/>
      <c r="AS168" s="15"/>
      <c r="AT168" s="15"/>
      <c r="AW168" s="15"/>
      <c r="AY168" s="15"/>
      <c r="AZ168" s="15"/>
      <c r="BM168" s="15"/>
      <c r="BR168" s="15"/>
      <c r="BT168" s="15"/>
      <c r="BU168" s="15"/>
      <c r="BY168" s="15"/>
      <c r="CS168" s="15"/>
      <c r="CT168" s="15"/>
      <c r="CY168" s="15"/>
      <c r="CZ168" s="15"/>
      <c r="DD168" s="15"/>
      <c r="DI168" s="1">
        <f t="shared" si="4"/>
        <v>0</v>
      </c>
      <c r="DJ168" s="1">
        <f t="shared" si="5"/>
        <v>0</v>
      </c>
    </row>
    <row r="169" spans="1:114" ht="15.75" customHeight="1" x14ac:dyDescent="0.3">
      <c r="A169" s="15"/>
      <c r="B169" s="15"/>
      <c r="C169" s="15"/>
      <c r="D169" s="15"/>
      <c r="E169" s="17"/>
      <c r="F169" s="15"/>
      <c r="G169" s="15"/>
      <c r="H169" s="15"/>
      <c r="I169" s="18"/>
      <c r="J169" s="15"/>
      <c r="K169" s="15"/>
      <c r="L169" s="15"/>
      <c r="M169" s="15"/>
      <c r="N169" s="15"/>
      <c r="O169" s="17"/>
      <c r="AD169" s="15"/>
      <c r="AM169" s="15"/>
      <c r="AS169" s="15"/>
      <c r="AT169" s="15"/>
      <c r="AW169" s="15"/>
      <c r="AY169" s="15"/>
      <c r="AZ169" s="15"/>
      <c r="BM169" s="15"/>
      <c r="BR169" s="15"/>
      <c r="BT169" s="15"/>
      <c r="BU169" s="15"/>
      <c r="BY169" s="15"/>
      <c r="CS169" s="15"/>
      <c r="CT169" s="15"/>
      <c r="CY169" s="15"/>
      <c r="CZ169" s="15"/>
      <c r="DD169" s="15"/>
      <c r="DI169" s="1">
        <f t="shared" si="4"/>
        <v>0</v>
      </c>
      <c r="DJ169" s="1">
        <f t="shared" si="5"/>
        <v>0</v>
      </c>
    </row>
    <row r="170" spans="1:114" ht="15.75" customHeight="1" x14ac:dyDescent="0.3">
      <c r="A170" s="15" t="s">
        <v>168</v>
      </c>
      <c r="B170" s="15" t="s">
        <v>176</v>
      </c>
      <c r="C170" s="15" t="s">
        <v>120</v>
      </c>
      <c r="D170" s="15" t="s">
        <v>169</v>
      </c>
      <c r="E170" s="17">
        <v>228</v>
      </c>
      <c r="F170" s="15"/>
      <c r="G170" s="15"/>
      <c r="H170" s="15">
        <v>92</v>
      </c>
      <c r="I170" s="18">
        <v>0.14000000000000001</v>
      </c>
      <c r="J170" s="15">
        <v>22.5</v>
      </c>
      <c r="K170" s="15">
        <v>0</v>
      </c>
      <c r="L170" s="15">
        <v>100</v>
      </c>
      <c r="M170" s="15">
        <v>400</v>
      </c>
      <c r="N170" s="15">
        <v>95.24</v>
      </c>
      <c r="O170" s="17">
        <v>4</v>
      </c>
      <c r="AD170" s="15">
        <v>1</v>
      </c>
      <c r="AF170" s="1">
        <v>1</v>
      </c>
      <c r="AM170" s="15"/>
      <c r="AS170" s="15"/>
      <c r="AT170" s="15"/>
      <c r="AW170" s="15"/>
      <c r="AY170" s="15"/>
      <c r="AZ170" s="15"/>
      <c r="BJ170" s="1">
        <v>1</v>
      </c>
      <c r="BM170" s="15">
        <v>1</v>
      </c>
      <c r="BR170" s="15"/>
      <c r="BT170" s="15"/>
      <c r="BU170" s="15">
        <v>2</v>
      </c>
      <c r="BY170" s="15"/>
      <c r="CN170" s="1">
        <v>5</v>
      </c>
      <c r="CS170" s="15"/>
      <c r="CT170" s="15"/>
      <c r="CY170" s="15"/>
      <c r="CZ170" s="15"/>
      <c r="DD170" s="15"/>
      <c r="DI170" s="1">
        <f t="shared" si="4"/>
        <v>6</v>
      </c>
      <c r="DJ170" s="1">
        <f t="shared" si="5"/>
        <v>11</v>
      </c>
    </row>
    <row r="171" spans="1:114" ht="15.75" customHeight="1" x14ac:dyDescent="0.3">
      <c r="A171" s="15" t="s">
        <v>168</v>
      </c>
      <c r="B171" s="15" t="s">
        <v>176</v>
      </c>
      <c r="C171" s="15" t="s">
        <v>120</v>
      </c>
      <c r="D171" s="15" t="s">
        <v>170</v>
      </c>
      <c r="E171" s="17">
        <v>225</v>
      </c>
      <c r="F171" s="15"/>
      <c r="G171" s="15"/>
      <c r="H171" s="15">
        <v>92</v>
      </c>
      <c r="I171" s="18">
        <v>0.14000000000000001</v>
      </c>
      <c r="J171" s="15">
        <v>22.5</v>
      </c>
      <c r="K171" s="15">
        <v>0</v>
      </c>
      <c r="L171" s="15">
        <v>60</v>
      </c>
      <c r="M171" s="15"/>
      <c r="N171" s="15">
        <v>100</v>
      </c>
      <c r="O171" s="17">
        <v>4</v>
      </c>
      <c r="AD171" s="15"/>
      <c r="AM171" s="15"/>
      <c r="AS171" s="15"/>
      <c r="AT171" s="15"/>
      <c r="AW171" s="15"/>
      <c r="AY171" s="15"/>
      <c r="AZ171" s="15"/>
      <c r="BM171" s="15"/>
      <c r="BR171" s="15"/>
      <c r="BT171" s="15"/>
      <c r="BU171" s="15"/>
      <c r="BY171" s="15"/>
      <c r="CS171" s="15"/>
      <c r="CT171" s="15"/>
      <c r="CY171" s="15"/>
      <c r="CZ171" s="15"/>
      <c r="DD171" s="15"/>
      <c r="DE171" s="1">
        <v>2</v>
      </c>
      <c r="DI171" s="1">
        <f t="shared" si="4"/>
        <v>1</v>
      </c>
      <c r="DJ171" s="1">
        <f t="shared" si="5"/>
        <v>2</v>
      </c>
    </row>
    <row r="172" spans="1:114" ht="15.75" customHeight="1" x14ac:dyDescent="0.3">
      <c r="A172" s="15" t="s">
        <v>168</v>
      </c>
      <c r="B172" s="15" t="s">
        <v>177</v>
      </c>
      <c r="C172" s="15" t="s">
        <v>120</v>
      </c>
      <c r="D172" s="15" t="s">
        <v>169</v>
      </c>
      <c r="E172" s="17">
        <v>228</v>
      </c>
      <c r="F172" s="15"/>
      <c r="G172" s="15"/>
      <c r="H172" s="15">
        <v>97</v>
      </c>
      <c r="I172" s="18">
        <v>4.5999999999999996</v>
      </c>
      <c r="J172" s="15">
        <v>24.3</v>
      </c>
      <c r="K172" s="15">
        <v>0</v>
      </c>
      <c r="L172" s="15">
        <v>100</v>
      </c>
      <c r="M172" s="15">
        <v>400</v>
      </c>
      <c r="N172" s="15">
        <v>95.24</v>
      </c>
      <c r="O172" s="17">
        <v>3</v>
      </c>
      <c r="AD172" s="15">
        <v>1</v>
      </c>
      <c r="AF172" s="1">
        <v>1</v>
      </c>
      <c r="AM172" s="15"/>
      <c r="AS172" s="15"/>
      <c r="AT172" s="15"/>
      <c r="AW172" s="15"/>
      <c r="AY172" s="15"/>
      <c r="AZ172" s="15">
        <v>1</v>
      </c>
      <c r="BA172" s="1">
        <v>1</v>
      </c>
      <c r="BJ172" s="1">
        <v>1</v>
      </c>
      <c r="BM172" s="15">
        <v>2</v>
      </c>
      <c r="BR172" s="15"/>
      <c r="BT172" s="15">
        <v>1</v>
      </c>
      <c r="BU172" s="15"/>
      <c r="BW172" s="1">
        <v>1</v>
      </c>
      <c r="BY172" s="15">
        <v>1</v>
      </c>
      <c r="CB172" s="1">
        <v>1</v>
      </c>
      <c r="CD172" s="1">
        <v>2</v>
      </c>
      <c r="CG172" s="1">
        <v>1</v>
      </c>
      <c r="CJ172" s="1">
        <v>1</v>
      </c>
      <c r="CN172" s="1">
        <v>3</v>
      </c>
      <c r="CS172" s="15"/>
      <c r="CT172" s="15"/>
      <c r="CU172" s="1">
        <v>1</v>
      </c>
      <c r="CY172" s="15">
        <v>1</v>
      </c>
      <c r="CZ172" s="15"/>
      <c r="DD172" s="15"/>
      <c r="DE172" s="1">
        <v>4</v>
      </c>
      <c r="DI172" s="1">
        <f t="shared" si="4"/>
        <v>17</v>
      </c>
      <c r="DJ172" s="1">
        <f t="shared" si="5"/>
        <v>24</v>
      </c>
    </row>
    <row r="173" spans="1:114" ht="15.75" customHeight="1" x14ac:dyDescent="0.3">
      <c r="A173" s="15" t="s">
        <v>168</v>
      </c>
      <c r="B173" s="15" t="s">
        <v>179</v>
      </c>
      <c r="C173" s="15" t="s">
        <v>120</v>
      </c>
      <c r="D173" s="15" t="s">
        <v>170</v>
      </c>
      <c r="E173" s="17">
        <v>225</v>
      </c>
      <c r="F173" s="15"/>
      <c r="G173" s="15"/>
      <c r="H173" s="15">
        <v>99</v>
      </c>
      <c r="I173" s="18">
        <v>24.2</v>
      </c>
      <c r="J173" s="15">
        <v>26.1</v>
      </c>
      <c r="K173" s="15">
        <v>0</v>
      </c>
      <c r="L173" s="15">
        <v>60</v>
      </c>
      <c r="M173" s="15"/>
      <c r="N173" s="15">
        <v>100</v>
      </c>
      <c r="O173" s="17">
        <v>5</v>
      </c>
      <c r="AD173" s="15"/>
      <c r="AM173" s="15"/>
      <c r="AS173" s="15"/>
      <c r="AT173" s="15"/>
      <c r="AW173" s="15"/>
      <c r="AY173" s="15"/>
      <c r="AZ173" s="15"/>
      <c r="BM173" s="15"/>
      <c r="BR173" s="15"/>
      <c r="BT173" s="15"/>
      <c r="BU173" s="15"/>
      <c r="BY173" s="15"/>
      <c r="CK173" s="1">
        <v>1</v>
      </c>
      <c r="CS173" s="15"/>
      <c r="CT173" s="15"/>
      <c r="CY173" s="15"/>
      <c r="CZ173" s="15"/>
      <c r="DD173" s="15"/>
      <c r="DI173" s="1">
        <f t="shared" si="4"/>
        <v>1</v>
      </c>
      <c r="DJ173" s="1">
        <f t="shared" si="5"/>
        <v>1</v>
      </c>
    </row>
    <row r="174" spans="1:114" ht="15.75" customHeight="1" x14ac:dyDescent="0.3">
      <c r="A174" s="15" t="s">
        <v>168</v>
      </c>
      <c r="B174" s="15" t="s">
        <v>179</v>
      </c>
      <c r="C174" s="15" t="s">
        <v>120</v>
      </c>
      <c r="D174" s="15" t="s">
        <v>169</v>
      </c>
      <c r="E174" s="17">
        <v>228</v>
      </c>
      <c r="F174" s="15"/>
      <c r="G174" s="15"/>
      <c r="H174" s="15">
        <v>99</v>
      </c>
      <c r="I174" s="18">
        <v>24.2</v>
      </c>
      <c r="J174" s="15">
        <v>26.1</v>
      </c>
      <c r="K174" s="15">
        <v>0</v>
      </c>
      <c r="L174" s="15">
        <v>35</v>
      </c>
      <c r="M174" s="15">
        <v>400</v>
      </c>
      <c r="N174" s="15">
        <v>100</v>
      </c>
      <c r="O174" s="17">
        <v>5</v>
      </c>
      <c r="AD174" s="15">
        <v>1</v>
      </c>
      <c r="AF174" s="1">
        <v>1</v>
      </c>
      <c r="AM174" s="15"/>
      <c r="AN174" s="1">
        <v>1</v>
      </c>
      <c r="AS174" s="15"/>
      <c r="AT174" s="15"/>
      <c r="AW174" s="15"/>
      <c r="AY174" s="15"/>
      <c r="AZ174" s="15"/>
      <c r="BA174" s="1">
        <v>1</v>
      </c>
      <c r="BB174" s="1">
        <v>1</v>
      </c>
      <c r="BJ174" s="1">
        <v>1</v>
      </c>
      <c r="BM174" s="15"/>
      <c r="BR174" s="15"/>
      <c r="BT174" s="15"/>
      <c r="BU174" s="15"/>
      <c r="BY174" s="15"/>
      <c r="CG174" s="1">
        <v>1</v>
      </c>
      <c r="CS174" s="15"/>
      <c r="CT174" s="15"/>
      <c r="CU174" s="1">
        <v>1</v>
      </c>
      <c r="CV174" s="1">
        <v>1</v>
      </c>
      <c r="CY174" s="15"/>
      <c r="CZ174" s="15"/>
      <c r="DA174" s="1">
        <v>1</v>
      </c>
      <c r="DD174" s="15"/>
      <c r="DH174" s="1">
        <v>1</v>
      </c>
      <c r="DI174" s="1">
        <f t="shared" si="4"/>
        <v>11</v>
      </c>
      <c r="DJ174" s="1">
        <f t="shared" si="5"/>
        <v>11</v>
      </c>
    </row>
    <row r="175" spans="1:114" ht="15.75" customHeight="1" x14ac:dyDescent="0.3">
      <c r="A175" s="15" t="s">
        <v>168</v>
      </c>
      <c r="B175" s="15" t="s">
        <v>179</v>
      </c>
      <c r="C175" s="15" t="s">
        <v>122</v>
      </c>
      <c r="D175" s="1" t="s">
        <v>171</v>
      </c>
      <c r="E175" s="17">
        <v>227</v>
      </c>
      <c r="F175" s="15"/>
      <c r="G175" s="15"/>
      <c r="H175" s="15">
        <v>84</v>
      </c>
      <c r="I175" s="18">
        <v>0.17</v>
      </c>
      <c r="J175" s="15">
        <v>24</v>
      </c>
      <c r="K175" s="15">
        <v>0</v>
      </c>
      <c r="L175" s="15">
        <v>100</v>
      </c>
      <c r="M175" s="15">
        <v>400</v>
      </c>
      <c r="N175" s="15">
        <v>52.38</v>
      </c>
      <c r="O175" s="17">
        <v>5</v>
      </c>
      <c r="AD175" s="15"/>
      <c r="AF175" s="1">
        <v>1</v>
      </c>
      <c r="AM175" s="15"/>
      <c r="AS175" s="15"/>
      <c r="AT175" s="15"/>
      <c r="AW175" s="15"/>
      <c r="AY175" s="15"/>
      <c r="AZ175" s="15">
        <v>1</v>
      </c>
      <c r="BM175" s="15"/>
      <c r="BR175" s="15"/>
      <c r="BT175" s="15"/>
      <c r="BU175" s="15"/>
      <c r="BY175" s="15"/>
      <c r="CS175" s="15"/>
      <c r="CT175" s="15"/>
      <c r="CY175" s="15"/>
      <c r="CZ175" s="15"/>
      <c r="DD175" s="15"/>
      <c r="DI175" s="1">
        <f t="shared" si="4"/>
        <v>2</v>
      </c>
      <c r="DJ175" s="1">
        <f t="shared" si="5"/>
        <v>2</v>
      </c>
    </row>
    <row r="176" spans="1:114" ht="15.75" customHeight="1" x14ac:dyDescent="0.3">
      <c r="A176" s="15" t="s">
        <v>168</v>
      </c>
      <c r="B176" s="15" t="s">
        <v>180</v>
      </c>
      <c r="C176" s="15" t="s">
        <v>120</v>
      </c>
      <c r="D176" s="45">
        <v>45233</v>
      </c>
      <c r="E176" s="17">
        <v>223</v>
      </c>
      <c r="F176" s="15"/>
      <c r="G176" s="15"/>
      <c r="H176" s="15">
        <v>97</v>
      </c>
      <c r="I176" s="18">
        <v>1.08</v>
      </c>
      <c r="J176" s="15">
        <v>25.4</v>
      </c>
      <c r="K176" s="15">
        <v>0</v>
      </c>
      <c r="L176" s="15">
        <v>100</v>
      </c>
      <c r="M176" s="15"/>
      <c r="N176" s="15">
        <v>100</v>
      </c>
      <c r="O176" s="17">
        <v>5</v>
      </c>
      <c r="AD176" s="15"/>
      <c r="AF176" s="1">
        <v>1</v>
      </c>
      <c r="AM176" s="15"/>
      <c r="AS176" s="15"/>
      <c r="AT176" s="15"/>
      <c r="AW176" s="15"/>
      <c r="AY176" s="15"/>
      <c r="AZ176" s="15">
        <v>1</v>
      </c>
      <c r="BJ176" s="1">
        <v>1</v>
      </c>
      <c r="BM176" s="15"/>
      <c r="BR176" s="15"/>
      <c r="BT176" s="15"/>
      <c r="BU176" s="15"/>
      <c r="BY176" s="15"/>
      <c r="CF176" s="1">
        <v>1</v>
      </c>
      <c r="CS176" s="15"/>
      <c r="CT176" s="15"/>
      <c r="CY176" s="15">
        <v>1</v>
      </c>
      <c r="CZ176" s="15"/>
      <c r="DD176" s="15"/>
      <c r="DE176" s="1">
        <v>3</v>
      </c>
      <c r="DI176" s="1">
        <f t="shared" si="4"/>
        <v>6</v>
      </c>
      <c r="DJ176" s="1">
        <f t="shared" si="5"/>
        <v>8</v>
      </c>
    </row>
    <row r="177" spans="1:114" ht="15.75" customHeight="1" x14ac:dyDescent="0.3">
      <c r="A177" s="15" t="s">
        <v>168</v>
      </c>
      <c r="B177" s="15" t="s">
        <v>180</v>
      </c>
      <c r="C177" s="15" t="s">
        <v>120</v>
      </c>
      <c r="D177" s="15" t="s">
        <v>169</v>
      </c>
      <c r="E177" s="17">
        <v>228</v>
      </c>
      <c r="F177" s="15"/>
      <c r="G177" s="15"/>
      <c r="H177" s="15">
        <v>97</v>
      </c>
      <c r="I177" s="18">
        <v>1.08</v>
      </c>
      <c r="J177" s="15">
        <v>25.4</v>
      </c>
      <c r="K177" s="15">
        <v>0</v>
      </c>
      <c r="L177" s="15">
        <v>65</v>
      </c>
      <c r="M177" s="15">
        <v>400</v>
      </c>
      <c r="N177" s="15">
        <v>100</v>
      </c>
      <c r="O177" s="17">
        <v>5</v>
      </c>
      <c r="AD177" s="15"/>
      <c r="AM177" s="15">
        <v>1</v>
      </c>
      <c r="AS177" s="15"/>
      <c r="AT177" s="15"/>
      <c r="AW177" s="15"/>
      <c r="AY177" s="15"/>
      <c r="AZ177" s="15"/>
      <c r="BA177" s="1">
        <v>1</v>
      </c>
      <c r="BJ177" s="1">
        <v>1</v>
      </c>
      <c r="BM177" s="15"/>
      <c r="BR177" s="15"/>
      <c r="BT177" s="15">
        <v>1</v>
      </c>
      <c r="BU177" s="15"/>
      <c r="BY177" s="15"/>
      <c r="CG177" s="1">
        <v>1</v>
      </c>
      <c r="CI177" s="1">
        <v>1</v>
      </c>
      <c r="CS177" s="15"/>
      <c r="CT177" s="15"/>
      <c r="CU177" s="1">
        <v>1</v>
      </c>
      <c r="CY177" s="15"/>
      <c r="CZ177" s="15"/>
      <c r="DA177" s="1">
        <v>1</v>
      </c>
      <c r="DB177" s="1">
        <v>1</v>
      </c>
      <c r="DD177" s="15"/>
      <c r="DI177" s="1">
        <f t="shared" si="4"/>
        <v>9</v>
      </c>
      <c r="DJ177" s="1">
        <f t="shared" si="5"/>
        <v>9</v>
      </c>
    </row>
    <row r="178" spans="1:114" ht="15.75" customHeight="1" x14ac:dyDescent="0.3">
      <c r="A178" s="15" t="s">
        <v>168</v>
      </c>
      <c r="B178" s="1" t="s">
        <v>180</v>
      </c>
      <c r="C178" s="1" t="s">
        <v>122</v>
      </c>
      <c r="D178" s="1" t="s">
        <v>171</v>
      </c>
      <c r="E178" s="2">
        <v>227</v>
      </c>
      <c r="H178" s="1">
        <v>80</v>
      </c>
      <c r="I178" s="46">
        <v>0.04</v>
      </c>
      <c r="J178" s="1">
        <v>25.3</v>
      </c>
      <c r="K178" s="1">
        <v>0</v>
      </c>
      <c r="L178" s="1">
        <v>100</v>
      </c>
      <c r="M178" s="1">
        <v>400</v>
      </c>
      <c r="N178" s="1">
        <v>52.38</v>
      </c>
      <c r="O178" s="2">
        <v>5</v>
      </c>
      <c r="DI178" s="1">
        <f t="shared" si="4"/>
        <v>0</v>
      </c>
      <c r="DJ178" s="1">
        <f t="shared" si="5"/>
        <v>0</v>
      </c>
    </row>
    <row r="179" spans="1:114" ht="15.75" customHeight="1" x14ac:dyDescent="0.3">
      <c r="A179" s="15" t="s">
        <v>168</v>
      </c>
      <c r="B179" s="1" t="s">
        <v>181</v>
      </c>
      <c r="C179" s="1" t="s">
        <v>120</v>
      </c>
      <c r="D179" s="45">
        <v>45233</v>
      </c>
      <c r="E179" s="2">
        <v>223</v>
      </c>
      <c r="H179" s="1">
        <v>87</v>
      </c>
      <c r="I179" s="46">
        <v>9.8000000000000007</v>
      </c>
      <c r="J179" s="1">
        <v>34.5</v>
      </c>
      <c r="K179" s="1">
        <v>0</v>
      </c>
      <c r="L179" s="1">
        <v>90</v>
      </c>
      <c r="N179" s="1">
        <v>100</v>
      </c>
      <c r="O179" s="2">
        <v>3</v>
      </c>
      <c r="X179" s="1">
        <v>1</v>
      </c>
      <c r="AZ179" s="1">
        <v>1</v>
      </c>
      <c r="BF179" s="1">
        <v>1</v>
      </c>
      <c r="BJ179" s="1">
        <v>1</v>
      </c>
      <c r="DI179" s="1">
        <f t="shared" si="4"/>
        <v>4</v>
      </c>
      <c r="DJ179" s="1">
        <f t="shared" si="5"/>
        <v>4</v>
      </c>
    </row>
    <row r="180" spans="1:114" ht="15.75" customHeight="1" x14ac:dyDescent="0.3">
      <c r="A180" s="15" t="s">
        <v>168</v>
      </c>
      <c r="B180" s="1" t="s">
        <v>181</v>
      </c>
      <c r="C180" s="1" t="s">
        <v>120</v>
      </c>
      <c r="D180" s="15" t="s">
        <v>169</v>
      </c>
      <c r="E180" s="2">
        <v>228</v>
      </c>
      <c r="H180" s="1">
        <v>87</v>
      </c>
      <c r="I180" s="46">
        <v>9.8000000000000007</v>
      </c>
      <c r="J180" s="1">
        <v>34.5</v>
      </c>
      <c r="K180" s="1">
        <v>0</v>
      </c>
      <c r="L180" s="1">
        <v>0</v>
      </c>
      <c r="M180" s="1">
        <v>400</v>
      </c>
      <c r="N180" s="1">
        <v>100</v>
      </c>
      <c r="O180" s="2">
        <v>3</v>
      </c>
      <c r="AZ180" s="1">
        <v>1</v>
      </c>
      <c r="CK180" s="1">
        <v>1</v>
      </c>
      <c r="CY180" s="1">
        <v>1</v>
      </c>
      <c r="DI180" s="1">
        <f t="shared" si="4"/>
        <v>3</v>
      </c>
      <c r="DJ180" s="1">
        <f t="shared" si="5"/>
        <v>3</v>
      </c>
    </row>
    <row r="181" spans="1:114" ht="15.75" customHeight="1" x14ac:dyDescent="0.3">
      <c r="A181" s="15" t="s">
        <v>168</v>
      </c>
      <c r="B181" s="1" t="s">
        <v>181</v>
      </c>
      <c r="C181" s="1" t="s">
        <v>122</v>
      </c>
      <c r="D181" s="1" t="s">
        <v>171</v>
      </c>
      <c r="E181" s="2">
        <v>227</v>
      </c>
      <c r="H181" s="1">
        <v>80</v>
      </c>
      <c r="I181" s="46">
        <v>1.5</v>
      </c>
      <c r="J181" s="1">
        <v>26.9</v>
      </c>
      <c r="K181" s="1">
        <v>0</v>
      </c>
      <c r="L181" s="1">
        <v>100</v>
      </c>
      <c r="M181" s="1">
        <v>400</v>
      </c>
      <c r="N181" s="1">
        <v>47.62</v>
      </c>
      <c r="O181" s="2">
        <v>3</v>
      </c>
      <c r="AZ181" s="1">
        <v>1</v>
      </c>
      <c r="CU181" s="1">
        <v>1</v>
      </c>
      <c r="CY181" s="1">
        <v>2</v>
      </c>
      <c r="DI181" s="1">
        <f t="shared" si="4"/>
        <v>3</v>
      </c>
      <c r="DJ181" s="1">
        <f t="shared" si="5"/>
        <v>4</v>
      </c>
    </row>
    <row r="182" spans="1:114" ht="15.75" customHeight="1" x14ac:dyDescent="0.3">
      <c r="A182" s="15" t="s">
        <v>168</v>
      </c>
      <c r="B182" s="1" t="s">
        <v>182</v>
      </c>
      <c r="C182" s="1" t="s">
        <v>120</v>
      </c>
      <c r="D182" s="15" t="s">
        <v>169</v>
      </c>
      <c r="E182" s="2">
        <v>228</v>
      </c>
      <c r="H182" s="1">
        <v>81</v>
      </c>
      <c r="I182" s="46">
        <v>36.6</v>
      </c>
      <c r="J182" s="1">
        <v>31.4</v>
      </c>
      <c r="K182" s="1">
        <v>0.8</v>
      </c>
      <c r="L182" s="1">
        <v>96</v>
      </c>
      <c r="M182" s="1">
        <v>400</v>
      </c>
      <c r="N182" s="1">
        <v>100</v>
      </c>
      <c r="O182" s="2">
        <v>3</v>
      </c>
      <c r="AV182" s="1">
        <v>1</v>
      </c>
      <c r="AZ182" s="1">
        <v>1</v>
      </c>
      <c r="BJ182" s="1">
        <v>1</v>
      </c>
      <c r="BN182" s="1">
        <v>1</v>
      </c>
      <c r="BT182" s="1">
        <v>1</v>
      </c>
      <c r="CK182" s="1">
        <v>1</v>
      </c>
      <c r="DD182" s="1">
        <v>1</v>
      </c>
      <c r="DI182" s="1">
        <f t="shared" si="4"/>
        <v>7</v>
      </c>
      <c r="DJ182" s="1">
        <f t="shared" si="5"/>
        <v>7</v>
      </c>
    </row>
    <row r="183" spans="1:114" ht="15.75" customHeight="1" x14ac:dyDescent="0.3">
      <c r="A183" s="15" t="s">
        <v>168</v>
      </c>
      <c r="B183" s="1" t="s">
        <v>182</v>
      </c>
      <c r="C183" s="1" t="s">
        <v>122</v>
      </c>
      <c r="D183" s="1" t="s">
        <v>171</v>
      </c>
      <c r="E183" s="2">
        <v>227</v>
      </c>
      <c r="H183" s="1">
        <v>79</v>
      </c>
      <c r="I183" s="46">
        <v>13.35</v>
      </c>
      <c r="J183" s="1">
        <v>29.2</v>
      </c>
      <c r="K183" s="1">
        <v>0</v>
      </c>
      <c r="L183" s="1">
        <v>100</v>
      </c>
      <c r="M183" s="1">
        <v>400</v>
      </c>
      <c r="N183" s="1">
        <v>100</v>
      </c>
      <c r="O183" s="2">
        <v>3</v>
      </c>
      <c r="CB183" s="1">
        <v>1</v>
      </c>
      <c r="DD183" s="1">
        <v>1</v>
      </c>
      <c r="DI183" s="1">
        <f t="shared" si="4"/>
        <v>2</v>
      </c>
      <c r="DJ183" s="1">
        <f t="shared" si="5"/>
        <v>2</v>
      </c>
    </row>
    <row r="184" spans="1:114" ht="15.75" customHeight="1" x14ac:dyDescent="0.3">
      <c r="A184" s="15" t="s">
        <v>168</v>
      </c>
      <c r="B184" s="1" t="s">
        <v>184</v>
      </c>
      <c r="C184" s="1" t="s">
        <v>120</v>
      </c>
      <c r="D184" s="1" t="s">
        <v>171</v>
      </c>
      <c r="E184" s="2">
        <v>227</v>
      </c>
      <c r="H184" s="1">
        <v>92</v>
      </c>
      <c r="I184" s="46">
        <v>15.6</v>
      </c>
      <c r="J184" s="1">
        <v>23.5</v>
      </c>
      <c r="K184" s="1">
        <v>0.7</v>
      </c>
      <c r="L184" s="1">
        <v>2</v>
      </c>
      <c r="M184" s="1">
        <v>400</v>
      </c>
      <c r="N184" s="1">
        <v>100</v>
      </c>
      <c r="O184" s="2">
        <v>2</v>
      </c>
      <c r="CB184" s="1">
        <v>1</v>
      </c>
      <c r="DI184" s="1">
        <f t="shared" si="4"/>
        <v>1</v>
      </c>
      <c r="DJ184" s="1">
        <f t="shared" si="5"/>
        <v>1</v>
      </c>
    </row>
    <row r="185" spans="1:114" ht="15.75" customHeight="1" x14ac:dyDescent="0.3">
      <c r="A185" s="15" t="s">
        <v>168</v>
      </c>
      <c r="B185" s="1" t="s">
        <v>184</v>
      </c>
      <c r="C185" s="1" t="s">
        <v>122</v>
      </c>
      <c r="D185" s="1" t="s">
        <v>171</v>
      </c>
      <c r="E185" s="2">
        <v>227</v>
      </c>
      <c r="H185" s="1">
        <v>79</v>
      </c>
      <c r="I185" s="46">
        <v>7.6</v>
      </c>
      <c r="J185" s="1">
        <v>25.4</v>
      </c>
      <c r="K185" s="1">
        <v>0</v>
      </c>
      <c r="L185" s="1">
        <v>100</v>
      </c>
      <c r="M185" s="1">
        <v>400</v>
      </c>
      <c r="N185" s="1">
        <v>100</v>
      </c>
      <c r="O185" s="2">
        <v>2</v>
      </c>
      <c r="BI185" s="1">
        <v>1</v>
      </c>
      <c r="BU185" s="1">
        <v>4</v>
      </c>
      <c r="DI185" s="1">
        <f t="shared" si="4"/>
        <v>2</v>
      </c>
      <c r="DJ185" s="1">
        <f t="shared" si="5"/>
        <v>5</v>
      </c>
    </row>
    <row r="186" spans="1:114" ht="15.75" customHeight="1" x14ac:dyDescent="0.3">
      <c r="A186" s="15" t="s">
        <v>168</v>
      </c>
      <c r="B186" s="1" t="s">
        <v>183</v>
      </c>
      <c r="C186" s="1" t="s">
        <v>120</v>
      </c>
      <c r="D186" s="45">
        <v>45263</v>
      </c>
      <c r="E186" s="2">
        <v>224</v>
      </c>
      <c r="H186" s="1">
        <v>89</v>
      </c>
      <c r="I186" s="46">
        <v>1.1000000000000001</v>
      </c>
      <c r="J186" s="1">
        <v>22.3</v>
      </c>
      <c r="K186" s="1">
        <v>0</v>
      </c>
      <c r="L186" s="1">
        <v>2</v>
      </c>
      <c r="N186" s="1">
        <v>100</v>
      </c>
      <c r="O186" s="2">
        <v>3</v>
      </c>
      <c r="AM186" s="1">
        <v>1</v>
      </c>
      <c r="AZ186" s="1">
        <v>1</v>
      </c>
      <c r="BO186" s="1">
        <v>1</v>
      </c>
      <c r="CJ186" s="1">
        <v>1</v>
      </c>
      <c r="CK186" s="1">
        <v>2</v>
      </c>
      <c r="DF186" s="1">
        <v>3</v>
      </c>
      <c r="DH186" s="1">
        <v>1</v>
      </c>
      <c r="DI186" s="1">
        <f t="shared" si="4"/>
        <v>7</v>
      </c>
      <c r="DJ186" s="1">
        <f t="shared" si="5"/>
        <v>10</v>
      </c>
    </row>
    <row r="187" spans="1:114" ht="15.75" customHeight="1" x14ac:dyDescent="0.3">
      <c r="A187" s="15" t="s">
        <v>168</v>
      </c>
      <c r="B187" s="1" t="s">
        <v>183</v>
      </c>
      <c r="C187" s="1" t="s">
        <v>120</v>
      </c>
      <c r="D187" s="1" t="s">
        <v>171</v>
      </c>
      <c r="E187" s="2">
        <v>227</v>
      </c>
      <c r="H187" s="1">
        <v>89</v>
      </c>
      <c r="I187" s="46">
        <v>1</v>
      </c>
      <c r="J187" s="1">
        <v>22.2</v>
      </c>
      <c r="K187" s="1">
        <v>0</v>
      </c>
      <c r="L187" s="1">
        <v>100</v>
      </c>
      <c r="M187" s="1">
        <v>400</v>
      </c>
      <c r="N187" s="1">
        <v>100</v>
      </c>
      <c r="O187" s="2">
        <v>3</v>
      </c>
      <c r="Y187" s="1">
        <v>1</v>
      </c>
      <c r="AZ187" s="1">
        <v>1</v>
      </c>
      <c r="CK187" s="1">
        <v>1</v>
      </c>
      <c r="DA187" s="1">
        <v>1</v>
      </c>
      <c r="DI187" s="1">
        <f t="shared" si="4"/>
        <v>4</v>
      </c>
      <c r="DJ187" s="1">
        <f t="shared" si="5"/>
        <v>4</v>
      </c>
    </row>
    <row r="188" spans="1:114" ht="15.75" customHeight="1" x14ac:dyDescent="0.3">
      <c r="A188" s="15" t="s">
        <v>168</v>
      </c>
      <c r="B188" s="1" t="s">
        <v>183</v>
      </c>
      <c r="C188" s="1" t="s">
        <v>122</v>
      </c>
      <c r="D188" s="1" t="s">
        <v>171</v>
      </c>
      <c r="E188" s="2">
        <v>227</v>
      </c>
      <c r="H188" s="1">
        <v>72</v>
      </c>
      <c r="I188" s="1">
        <v>0.75</v>
      </c>
      <c r="J188" s="1">
        <v>25</v>
      </c>
      <c r="K188" s="1">
        <v>0.9</v>
      </c>
      <c r="L188" s="1">
        <v>100</v>
      </c>
      <c r="M188" s="1">
        <v>400</v>
      </c>
      <c r="N188" s="1">
        <v>100</v>
      </c>
      <c r="O188" s="2">
        <v>3</v>
      </c>
      <c r="T188" s="1">
        <v>2</v>
      </c>
      <c r="AZ188" s="1">
        <v>1</v>
      </c>
      <c r="DI188" s="1">
        <f t="shared" si="4"/>
        <v>2</v>
      </c>
      <c r="DJ188" s="1">
        <f t="shared" si="5"/>
        <v>3</v>
      </c>
    </row>
    <row r="189" spans="1:114" ht="15.75" customHeight="1" x14ac:dyDescent="0.3">
      <c r="A189" s="15" t="s">
        <v>168</v>
      </c>
      <c r="B189" s="1" t="s">
        <v>185</v>
      </c>
      <c r="C189" s="1" t="s">
        <v>120</v>
      </c>
      <c r="D189" s="1" t="s">
        <v>171</v>
      </c>
      <c r="E189" s="2">
        <v>227</v>
      </c>
      <c r="H189" s="1">
        <v>60</v>
      </c>
      <c r="I189" s="46">
        <v>44</v>
      </c>
      <c r="J189" s="1">
        <v>32.6</v>
      </c>
      <c r="K189" s="1">
        <v>0</v>
      </c>
      <c r="L189" s="1">
        <v>85</v>
      </c>
      <c r="M189" s="1">
        <v>400</v>
      </c>
      <c r="N189" s="1">
        <v>100</v>
      </c>
      <c r="O189" s="2">
        <v>1</v>
      </c>
      <c r="U189" s="1">
        <v>1</v>
      </c>
      <c r="BN189" s="1">
        <v>3</v>
      </c>
      <c r="DI189" s="1">
        <f t="shared" si="4"/>
        <v>2</v>
      </c>
      <c r="DJ189" s="1">
        <f t="shared" si="5"/>
        <v>4</v>
      </c>
    </row>
    <row r="190" spans="1:114" ht="15.75" customHeight="1" x14ac:dyDescent="0.3">
      <c r="A190" s="15" t="s">
        <v>168</v>
      </c>
      <c r="B190" s="1" t="s">
        <v>185</v>
      </c>
      <c r="C190" s="1" t="s">
        <v>122</v>
      </c>
      <c r="D190" s="1" t="s">
        <v>171</v>
      </c>
      <c r="E190" s="2">
        <v>227</v>
      </c>
      <c r="H190" s="1">
        <v>79</v>
      </c>
      <c r="I190" s="46">
        <v>39.200000000000003</v>
      </c>
      <c r="J190" s="1">
        <v>31.4</v>
      </c>
      <c r="K190" s="1">
        <v>0</v>
      </c>
      <c r="L190" s="1">
        <v>100</v>
      </c>
      <c r="M190" s="1">
        <v>400</v>
      </c>
      <c r="N190" s="1">
        <v>100</v>
      </c>
      <c r="O190" s="2">
        <v>1</v>
      </c>
      <c r="DI190" s="1">
        <f t="shared" si="4"/>
        <v>0</v>
      </c>
      <c r="DJ190" s="1">
        <f t="shared" si="5"/>
        <v>0</v>
      </c>
    </row>
    <row r="191" spans="1:114" ht="15.75" customHeight="1" x14ac:dyDescent="0.3">
      <c r="A191" s="15" t="s">
        <v>168</v>
      </c>
      <c r="B191" s="1" t="s">
        <v>186</v>
      </c>
      <c r="C191" s="1" t="s">
        <v>120</v>
      </c>
      <c r="D191" s="1" t="s">
        <v>171</v>
      </c>
      <c r="E191" s="2">
        <v>227</v>
      </c>
      <c r="H191" s="1">
        <v>76</v>
      </c>
      <c r="I191" s="46">
        <v>1.53</v>
      </c>
      <c r="J191" s="1">
        <v>25.4</v>
      </c>
      <c r="K191" s="1">
        <v>0</v>
      </c>
      <c r="L191" s="1">
        <v>100</v>
      </c>
      <c r="M191" s="1">
        <v>400</v>
      </c>
      <c r="N191" s="1">
        <v>76.19</v>
      </c>
      <c r="O191" s="2">
        <v>6</v>
      </c>
      <c r="CA191" s="1">
        <v>1</v>
      </c>
      <c r="CG191" s="1">
        <v>1</v>
      </c>
      <c r="DF191" s="1">
        <v>2</v>
      </c>
      <c r="DH191" s="1">
        <v>1</v>
      </c>
      <c r="DI191" s="1">
        <f t="shared" si="4"/>
        <v>4</v>
      </c>
      <c r="DJ191" s="1">
        <f t="shared" si="5"/>
        <v>5</v>
      </c>
    </row>
    <row r="192" spans="1:114" ht="15.75" customHeight="1" x14ac:dyDescent="0.3">
      <c r="I192" s="46"/>
      <c r="DI192" s="1">
        <f t="shared" si="4"/>
        <v>0</v>
      </c>
      <c r="DJ192" s="1">
        <f t="shared" si="5"/>
        <v>0</v>
      </c>
    </row>
    <row r="193" spans="1:114" ht="15.75" customHeight="1" x14ac:dyDescent="0.3">
      <c r="A193" s="1" t="s">
        <v>172</v>
      </c>
      <c r="B193" s="1" t="s">
        <v>176</v>
      </c>
      <c r="C193" s="1" t="s">
        <v>122</v>
      </c>
      <c r="D193" s="45">
        <v>45111</v>
      </c>
      <c r="E193" s="2">
        <v>250</v>
      </c>
      <c r="H193" s="1">
        <v>81</v>
      </c>
      <c r="I193" s="46">
        <v>1.6</v>
      </c>
      <c r="J193" s="1">
        <v>26.5</v>
      </c>
      <c r="K193" s="1">
        <v>0</v>
      </c>
      <c r="L193" s="1">
        <v>30</v>
      </c>
      <c r="N193" s="1">
        <v>100</v>
      </c>
      <c r="O193" s="2">
        <v>4</v>
      </c>
      <c r="S193" s="1">
        <v>3</v>
      </c>
      <c r="AG193" s="1">
        <v>1</v>
      </c>
      <c r="AW193" s="1">
        <v>1</v>
      </c>
      <c r="AZ193" s="1">
        <v>1</v>
      </c>
      <c r="BB193" s="1">
        <v>1</v>
      </c>
      <c r="BC193" s="1">
        <v>1</v>
      </c>
      <c r="BM193" s="1">
        <v>1</v>
      </c>
      <c r="BZ193" s="1">
        <v>1</v>
      </c>
      <c r="CJ193" s="1">
        <v>1</v>
      </c>
      <c r="CK193" s="1">
        <v>1</v>
      </c>
      <c r="CX193" s="1">
        <v>1</v>
      </c>
      <c r="DC193" s="1">
        <v>5</v>
      </c>
      <c r="DI193" s="1">
        <f t="shared" si="4"/>
        <v>12</v>
      </c>
      <c r="DJ193" s="1">
        <f t="shared" si="5"/>
        <v>18</v>
      </c>
    </row>
    <row r="194" spans="1:114" ht="15.75" customHeight="1" x14ac:dyDescent="0.3">
      <c r="A194" s="1" t="s">
        <v>172</v>
      </c>
      <c r="B194" s="1" t="s">
        <v>177</v>
      </c>
      <c r="C194" s="1" t="s">
        <v>122</v>
      </c>
      <c r="D194" s="45">
        <v>45111</v>
      </c>
      <c r="E194" s="2">
        <v>250</v>
      </c>
      <c r="H194" s="1">
        <v>96</v>
      </c>
      <c r="I194" s="46">
        <v>1.1299999999999999</v>
      </c>
      <c r="J194" s="1">
        <v>26.4</v>
      </c>
      <c r="K194" s="1">
        <v>0</v>
      </c>
      <c r="L194" s="1">
        <v>100</v>
      </c>
      <c r="N194" s="1">
        <v>100</v>
      </c>
      <c r="O194" s="2">
        <v>3</v>
      </c>
      <c r="AF194" s="1">
        <v>1</v>
      </c>
      <c r="AY194" s="1">
        <v>1</v>
      </c>
      <c r="AZ194" s="1">
        <v>1</v>
      </c>
      <c r="BM194" s="1">
        <v>1</v>
      </c>
      <c r="CI194" s="1">
        <v>1</v>
      </c>
      <c r="DI194" s="1">
        <f t="shared" si="4"/>
        <v>5</v>
      </c>
      <c r="DJ194" s="1">
        <f t="shared" si="5"/>
        <v>5</v>
      </c>
    </row>
    <row r="195" spans="1:114" ht="15.75" customHeight="1" x14ac:dyDescent="0.3">
      <c r="A195" s="1" t="s">
        <v>172</v>
      </c>
      <c r="B195" s="1" t="s">
        <v>179</v>
      </c>
      <c r="C195" s="1" t="s">
        <v>120</v>
      </c>
      <c r="D195" s="45">
        <v>45142</v>
      </c>
      <c r="E195" s="2">
        <v>251</v>
      </c>
      <c r="H195" s="1">
        <v>99</v>
      </c>
      <c r="I195" s="46">
        <v>0.28000000000000003</v>
      </c>
      <c r="J195" s="1">
        <v>23.5</v>
      </c>
      <c r="K195" s="1">
        <v>0</v>
      </c>
      <c r="L195" s="1">
        <v>100</v>
      </c>
      <c r="M195" s="1">
        <v>550</v>
      </c>
      <c r="N195" s="1">
        <v>100</v>
      </c>
      <c r="O195" s="2">
        <v>5</v>
      </c>
      <c r="AF195" s="1">
        <v>1</v>
      </c>
      <c r="AZ195" s="1">
        <v>2</v>
      </c>
      <c r="BA195" s="1">
        <v>1</v>
      </c>
      <c r="BC195" s="1">
        <v>1</v>
      </c>
      <c r="BJ195" s="1">
        <v>1</v>
      </c>
      <c r="BT195" s="1">
        <v>1</v>
      </c>
      <c r="CJ195" s="1">
        <v>3</v>
      </c>
      <c r="DI195" s="1">
        <f t="shared" si="4"/>
        <v>7</v>
      </c>
      <c r="DJ195" s="1">
        <f t="shared" si="5"/>
        <v>10</v>
      </c>
    </row>
    <row r="196" spans="1:114" ht="15.75" customHeight="1" x14ac:dyDescent="0.3">
      <c r="A196" s="1" t="s">
        <v>172</v>
      </c>
      <c r="B196" s="1" t="s">
        <v>180</v>
      </c>
      <c r="C196" s="1" t="s">
        <v>120</v>
      </c>
      <c r="D196" s="45">
        <v>45142</v>
      </c>
      <c r="E196" s="2">
        <v>251</v>
      </c>
      <c r="H196" s="1">
        <v>96</v>
      </c>
      <c r="I196" s="46">
        <v>0.64</v>
      </c>
      <c r="J196" s="1">
        <v>24.9</v>
      </c>
      <c r="K196" s="1">
        <v>0</v>
      </c>
      <c r="L196" s="1">
        <v>100</v>
      </c>
      <c r="N196" s="1">
        <v>100</v>
      </c>
      <c r="O196" s="2">
        <v>5</v>
      </c>
      <c r="AF196" s="1">
        <v>1</v>
      </c>
      <c r="AZ196" s="1">
        <v>1</v>
      </c>
      <c r="BA196" s="1">
        <v>1</v>
      </c>
      <c r="BM196" s="1">
        <v>1</v>
      </c>
      <c r="CI196" s="1">
        <v>1</v>
      </c>
      <c r="CJ196" s="1">
        <v>1</v>
      </c>
      <c r="CU196" s="1">
        <v>1</v>
      </c>
      <c r="CW196" s="1">
        <v>1</v>
      </c>
      <c r="CY196" s="1">
        <v>1</v>
      </c>
      <c r="DI196" s="1">
        <f t="shared" si="4"/>
        <v>9</v>
      </c>
      <c r="DJ196" s="1">
        <f t="shared" si="5"/>
        <v>9</v>
      </c>
    </row>
    <row r="197" spans="1:114" ht="15.75" customHeight="1" x14ac:dyDescent="0.3">
      <c r="A197" s="1" t="s">
        <v>172</v>
      </c>
      <c r="B197" s="1" t="s">
        <v>181</v>
      </c>
      <c r="C197" s="1" t="s">
        <v>120</v>
      </c>
      <c r="D197" s="45">
        <v>45142</v>
      </c>
      <c r="E197" s="2">
        <v>251</v>
      </c>
      <c r="H197" s="1">
        <v>98</v>
      </c>
      <c r="I197" s="46">
        <v>2.2799999999999998</v>
      </c>
      <c r="J197" s="1">
        <v>23.7</v>
      </c>
      <c r="K197" s="1">
        <v>0</v>
      </c>
      <c r="L197" s="1">
        <v>100</v>
      </c>
      <c r="M197" s="1">
        <v>550</v>
      </c>
      <c r="N197" s="1">
        <v>100</v>
      </c>
      <c r="O197" s="2">
        <v>3</v>
      </c>
      <c r="AF197" s="1">
        <v>1</v>
      </c>
      <c r="AZ197" s="1">
        <v>1</v>
      </c>
      <c r="CH197" s="1">
        <v>1</v>
      </c>
      <c r="CY197" s="1">
        <v>1</v>
      </c>
      <c r="DI197" s="1">
        <f t="shared" si="4"/>
        <v>4</v>
      </c>
      <c r="DJ197" s="1">
        <f t="shared" si="5"/>
        <v>4</v>
      </c>
    </row>
    <row r="198" spans="1:114" ht="15.75" customHeight="1" x14ac:dyDescent="0.3">
      <c r="A198" s="1" t="s">
        <v>172</v>
      </c>
      <c r="B198" s="1" t="s">
        <v>182</v>
      </c>
      <c r="C198" s="1" t="s">
        <v>120</v>
      </c>
      <c r="D198" s="45">
        <v>45142</v>
      </c>
      <c r="E198" s="2">
        <v>251</v>
      </c>
      <c r="H198" s="1">
        <v>99</v>
      </c>
      <c r="I198" s="46">
        <v>7.2350000000000003</v>
      </c>
      <c r="J198" s="1">
        <v>24.6</v>
      </c>
      <c r="K198" s="1">
        <v>1.4</v>
      </c>
      <c r="L198" s="1">
        <v>100</v>
      </c>
      <c r="M198" s="1">
        <v>550</v>
      </c>
      <c r="N198" s="1">
        <v>100</v>
      </c>
      <c r="O198" s="2">
        <v>3</v>
      </c>
      <c r="AF198" s="1">
        <v>1</v>
      </c>
      <c r="AZ198" s="1">
        <v>1</v>
      </c>
      <c r="BJ198" s="1">
        <v>1</v>
      </c>
      <c r="BN198" s="1">
        <v>1</v>
      </c>
      <c r="BT198" s="1">
        <v>3</v>
      </c>
      <c r="BU198" s="1">
        <v>3</v>
      </c>
      <c r="BY198" s="1">
        <v>2</v>
      </c>
      <c r="CJ198" s="1">
        <v>1</v>
      </c>
      <c r="CK198" s="1">
        <v>1</v>
      </c>
      <c r="CY198" s="1">
        <v>2</v>
      </c>
      <c r="DI198" s="1">
        <f t="shared" ref="DI198:DI202" si="6">COUNT(P198:DH198)</f>
        <v>10</v>
      </c>
      <c r="DJ198" s="1">
        <f t="shared" ref="DJ198:DJ202" si="7">SUM(P198:DH198)</f>
        <v>16</v>
      </c>
    </row>
    <row r="199" spans="1:114" ht="15.75" customHeight="1" x14ac:dyDescent="0.3">
      <c r="A199" s="1" t="s">
        <v>172</v>
      </c>
      <c r="B199" s="1" t="s">
        <v>184</v>
      </c>
      <c r="C199" s="1" t="s">
        <v>120</v>
      </c>
      <c r="D199" s="45">
        <v>45142</v>
      </c>
      <c r="E199" s="2">
        <v>251</v>
      </c>
      <c r="H199" s="1">
        <v>78</v>
      </c>
      <c r="I199" s="46">
        <v>17.850000000000001</v>
      </c>
      <c r="J199" s="1">
        <v>26.8</v>
      </c>
      <c r="K199" s="1">
        <v>0.7</v>
      </c>
      <c r="L199" s="1">
        <v>100</v>
      </c>
      <c r="M199" s="1">
        <v>550</v>
      </c>
      <c r="N199" s="1">
        <v>100</v>
      </c>
      <c r="O199" s="2">
        <v>2</v>
      </c>
      <c r="AV199" s="1">
        <v>1</v>
      </c>
      <c r="CA199" s="1">
        <v>1</v>
      </c>
      <c r="DA199" s="1">
        <v>1</v>
      </c>
      <c r="DI199" s="1">
        <f t="shared" si="6"/>
        <v>3</v>
      </c>
      <c r="DJ199" s="1">
        <f t="shared" si="7"/>
        <v>3</v>
      </c>
    </row>
    <row r="200" spans="1:114" ht="15.75" customHeight="1" x14ac:dyDescent="0.3">
      <c r="A200" s="1" t="s">
        <v>172</v>
      </c>
      <c r="B200" s="1" t="s">
        <v>183</v>
      </c>
      <c r="C200" s="1" t="s">
        <v>120</v>
      </c>
      <c r="D200" s="45">
        <v>45173</v>
      </c>
      <c r="E200" s="2">
        <v>252</v>
      </c>
      <c r="H200" s="1">
        <v>92</v>
      </c>
      <c r="I200" s="46">
        <v>44.68</v>
      </c>
      <c r="J200" s="1">
        <v>23.2</v>
      </c>
      <c r="K200" s="1">
        <v>0.6</v>
      </c>
      <c r="L200" s="1">
        <v>0</v>
      </c>
      <c r="N200" s="1">
        <v>100</v>
      </c>
      <c r="O200" s="2">
        <v>3</v>
      </c>
      <c r="U200" s="1">
        <v>1</v>
      </c>
      <c r="X200" s="1">
        <v>1</v>
      </c>
      <c r="Z200" s="1">
        <v>1</v>
      </c>
      <c r="AZ200" s="1">
        <v>1</v>
      </c>
      <c r="BO200" s="1">
        <v>1</v>
      </c>
      <c r="BS200" s="1">
        <v>2</v>
      </c>
      <c r="CE200" s="1">
        <v>1</v>
      </c>
      <c r="CJ200" s="1">
        <v>1</v>
      </c>
      <c r="DI200" s="1">
        <f t="shared" si="6"/>
        <v>8</v>
      </c>
      <c r="DJ200" s="1">
        <f t="shared" si="7"/>
        <v>9</v>
      </c>
    </row>
    <row r="201" spans="1:114" ht="15.75" customHeight="1" x14ac:dyDescent="0.3">
      <c r="A201" s="1" t="s">
        <v>172</v>
      </c>
      <c r="B201" s="1" t="s">
        <v>183</v>
      </c>
      <c r="C201" s="1" t="s">
        <v>122</v>
      </c>
      <c r="D201" s="45">
        <v>45173</v>
      </c>
      <c r="E201" s="2">
        <v>252</v>
      </c>
      <c r="H201" s="1">
        <v>84</v>
      </c>
      <c r="I201" s="46">
        <v>0.5</v>
      </c>
      <c r="J201" s="1">
        <v>25.9</v>
      </c>
      <c r="K201" s="1">
        <v>0</v>
      </c>
      <c r="L201" s="1">
        <v>100</v>
      </c>
      <c r="N201" s="1">
        <v>100</v>
      </c>
      <c r="O201" s="2">
        <v>3</v>
      </c>
      <c r="Y201" s="1">
        <v>1</v>
      </c>
      <c r="AZ201" s="1">
        <v>1</v>
      </c>
      <c r="CE201" s="1">
        <v>1</v>
      </c>
      <c r="CY201" s="1">
        <v>1</v>
      </c>
      <c r="DI201" s="1">
        <f t="shared" si="6"/>
        <v>4</v>
      </c>
      <c r="DJ201" s="1">
        <f t="shared" si="7"/>
        <v>4</v>
      </c>
    </row>
    <row r="202" spans="1:114" ht="15.75" customHeight="1" x14ac:dyDescent="0.3">
      <c r="A202" s="1" t="s">
        <v>172</v>
      </c>
      <c r="B202" s="1" t="s">
        <v>186</v>
      </c>
      <c r="C202" s="1" t="s">
        <v>122</v>
      </c>
      <c r="D202" s="45">
        <v>45173</v>
      </c>
      <c r="E202" s="2">
        <v>252</v>
      </c>
      <c r="H202" s="1">
        <v>83</v>
      </c>
      <c r="I202" s="46">
        <v>1.1299999999999999</v>
      </c>
      <c r="J202" s="1">
        <v>25.5</v>
      </c>
      <c r="K202" s="1">
        <v>0</v>
      </c>
      <c r="L202" s="1">
        <v>100</v>
      </c>
      <c r="N202" s="1">
        <v>100</v>
      </c>
      <c r="O202" s="2">
        <v>6</v>
      </c>
      <c r="AS202" s="1">
        <v>5</v>
      </c>
      <c r="AZ202" s="1">
        <v>1</v>
      </c>
      <c r="BG202" s="1">
        <v>2</v>
      </c>
      <c r="BO202" s="1">
        <v>2</v>
      </c>
      <c r="BP202" s="1">
        <v>3</v>
      </c>
      <c r="BS202" s="1">
        <v>2</v>
      </c>
      <c r="CE202" s="1" t="s">
        <v>173</v>
      </c>
      <c r="CU202" s="1">
        <v>1</v>
      </c>
      <c r="CZ202" s="1">
        <v>1</v>
      </c>
      <c r="DH202" s="1">
        <v>2</v>
      </c>
      <c r="DI202" s="1">
        <f t="shared" si="6"/>
        <v>9</v>
      </c>
      <c r="DJ202" s="1">
        <f t="shared" si="7"/>
        <v>19</v>
      </c>
    </row>
    <row r="203" spans="1:114" ht="15.75" customHeight="1" x14ac:dyDescent="0.3">
      <c r="I203" s="46"/>
    </row>
    <row r="204" spans="1:114" ht="15.75" customHeight="1" x14ac:dyDescent="0.3">
      <c r="I204" s="46"/>
    </row>
    <row r="205" spans="1:114" ht="15.75" customHeight="1" x14ac:dyDescent="0.3">
      <c r="I205" s="46"/>
    </row>
    <row r="206" spans="1:114" ht="15.75" customHeight="1" x14ac:dyDescent="0.3">
      <c r="I206" s="46"/>
    </row>
    <row r="207" spans="1:114" ht="15.75" customHeight="1" x14ac:dyDescent="0.3">
      <c r="I207" s="46"/>
    </row>
    <row r="208" spans="1:114" ht="15.75" customHeight="1" x14ac:dyDescent="0.3">
      <c r="I208" s="46"/>
    </row>
    <row r="209" spans="9:9" ht="15.75" customHeight="1" x14ac:dyDescent="0.3">
      <c r="I209" s="46"/>
    </row>
    <row r="210" spans="9:9" ht="15.75" customHeight="1" x14ac:dyDescent="0.3">
      <c r="I210" s="46"/>
    </row>
    <row r="211" spans="9:9" ht="15.75" customHeight="1" x14ac:dyDescent="0.3">
      <c r="I211" s="46"/>
    </row>
    <row r="212" spans="9:9" ht="15.75" customHeight="1" x14ac:dyDescent="0.3">
      <c r="I212" s="46"/>
    </row>
    <row r="213" spans="9:9" ht="15.75" customHeight="1" x14ac:dyDescent="0.3">
      <c r="I213" s="46"/>
    </row>
    <row r="214" spans="9:9" ht="15.75" customHeight="1" x14ac:dyDescent="0.3">
      <c r="I214" s="46"/>
    </row>
    <row r="215" spans="9:9" ht="15.75" customHeight="1" x14ac:dyDescent="0.3">
      <c r="I215" s="46"/>
    </row>
    <row r="216" spans="9:9" ht="15.75" customHeight="1" x14ac:dyDescent="0.3">
      <c r="I216" s="46"/>
    </row>
    <row r="217" spans="9:9" ht="15.75" customHeight="1" x14ac:dyDescent="0.3">
      <c r="I217" s="46"/>
    </row>
    <row r="218" spans="9:9" ht="15.75" customHeight="1" x14ac:dyDescent="0.3">
      <c r="I218" s="46"/>
    </row>
    <row r="219" spans="9:9" ht="15.75" customHeight="1" x14ac:dyDescent="0.3">
      <c r="I219" s="46"/>
    </row>
    <row r="220" spans="9:9" ht="15.75" customHeight="1" x14ac:dyDescent="0.3">
      <c r="I220" s="46"/>
    </row>
    <row r="221" spans="9:9" ht="15.75" customHeight="1" x14ac:dyDescent="0.3">
      <c r="I221" s="46"/>
    </row>
    <row r="222" spans="9:9" ht="15.75" customHeight="1" x14ac:dyDescent="0.3">
      <c r="I222" s="46"/>
    </row>
    <row r="223" spans="9:9" ht="15.75" customHeight="1" x14ac:dyDescent="0.3">
      <c r="I223" s="46"/>
    </row>
    <row r="224" spans="9:9" ht="15.75" customHeight="1" x14ac:dyDescent="0.3">
      <c r="I224" s="46"/>
    </row>
    <row r="225" spans="9:9" ht="15.75" customHeight="1" x14ac:dyDescent="0.3">
      <c r="I225" s="46"/>
    </row>
    <row r="226" spans="9:9" ht="15.75" customHeight="1" x14ac:dyDescent="0.3">
      <c r="I226" s="46"/>
    </row>
    <row r="227" spans="9:9" ht="15.75" customHeight="1" x14ac:dyDescent="0.3">
      <c r="I227" s="46"/>
    </row>
    <row r="228" spans="9:9" ht="15.75" customHeight="1" x14ac:dyDescent="0.3">
      <c r="I228" s="46"/>
    </row>
    <row r="229" spans="9:9" ht="15.75" customHeight="1" x14ac:dyDescent="0.3">
      <c r="I229" s="46"/>
    </row>
    <row r="230" spans="9:9" ht="15.75" customHeight="1" x14ac:dyDescent="0.3">
      <c r="I230" s="46"/>
    </row>
    <row r="231" spans="9:9" ht="15.75" customHeight="1" x14ac:dyDescent="0.3">
      <c r="I231" s="46"/>
    </row>
    <row r="232" spans="9:9" ht="15.75" customHeight="1" x14ac:dyDescent="0.3">
      <c r="I232" s="46"/>
    </row>
    <row r="233" spans="9:9" ht="15.75" customHeight="1" x14ac:dyDescent="0.3">
      <c r="I233" s="46"/>
    </row>
    <row r="234" spans="9:9" ht="15.75" customHeight="1" x14ac:dyDescent="0.3">
      <c r="I234" s="46"/>
    </row>
    <row r="235" spans="9:9" ht="15.75" customHeight="1" x14ac:dyDescent="0.3">
      <c r="I235" s="46"/>
    </row>
    <row r="236" spans="9:9" ht="15.75" customHeight="1" x14ac:dyDescent="0.3">
      <c r="I236" s="46"/>
    </row>
    <row r="237" spans="9:9" ht="15.75" customHeight="1" x14ac:dyDescent="0.3">
      <c r="I237" s="46"/>
    </row>
    <row r="238" spans="9:9" ht="15.75" customHeight="1" x14ac:dyDescent="0.3">
      <c r="I238" s="46"/>
    </row>
    <row r="239" spans="9:9" ht="15.75" customHeight="1" x14ac:dyDescent="0.3">
      <c r="I239" s="46"/>
    </row>
    <row r="240" spans="9:9" ht="15.75" customHeight="1" x14ac:dyDescent="0.3">
      <c r="I240" s="46"/>
    </row>
    <row r="241" spans="9:9" ht="15.75" customHeight="1" x14ac:dyDescent="0.3">
      <c r="I241" s="46"/>
    </row>
    <row r="242" spans="9:9" ht="15.75" customHeight="1" x14ac:dyDescent="0.3">
      <c r="I242" s="46"/>
    </row>
    <row r="243" spans="9:9" ht="15.75" customHeight="1" x14ac:dyDescent="0.3">
      <c r="I243" s="46"/>
    </row>
    <row r="244" spans="9:9" ht="15.75" customHeight="1" x14ac:dyDescent="0.3">
      <c r="I244" s="46"/>
    </row>
    <row r="245" spans="9:9" ht="15.75" customHeight="1" x14ac:dyDescent="0.3">
      <c r="I245" s="46"/>
    </row>
    <row r="246" spans="9:9" ht="15.75" customHeight="1" x14ac:dyDescent="0.3">
      <c r="I246" s="46"/>
    </row>
    <row r="247" spans="9:9" ht="15.75" customHeight="1" x14ac:dyDescent="0.3">
      <c r="I247" s="46"/>
    </row>
    <row r="248" spans="9:9" ht="15.75" customHeight="1" x14ac:dyDescent="0.3">
      <c r="I248" s="46"/>
    </row>
    <row r="249" spans="9:9" ht="15.75" customHeight="1" x14ac:dyDescent="0.3">
      <c r="I249" s="46"/>
    </row>
    <row r="250" spans="9:9" ht="15.75" customHeight="1" x14ac:dyDescent="0.3">
      <c r="I250" s="46"/>
    </row>
    <row r="251" spans="9:9" ht="15.75" customHeight="1" x14ac:dyDescent="0.3">
      <c r="I251" s="46"/>
    </row>
    <row r="252" spans="9:9" ht="15.75" customHeight="1" x14ac:dyDescent="0.3">
      <c r="I252" s="46"/>
    </row>
    <row r="253" spans="9:9" ht="15.75" customHeight="1" x14ac:dyDescent="0.3">
      <c r="I253" s="46"/>
    </row>
    <row r="254" spans="9:9" ht="15.75" customHeight="1" x14ac:dyDescent="0.3">
      <c r="I254" s="46"/>
    </row>
    <row r="255" spans="9:9" ht="15.75" customHeight="1" x14ac:dyDescent="0.3">
      <c r="I255" s="46"/>
    </row>
    <row r="256" spans="9:9" ht="15.75" customHeight="1" x14ac:dyDescent="0.3">
      <c r="I256" s="46"/>
    </row>
    <row r="257" spans="9:9" ht="15.75" customHeight="1" x14ac:dyDescent="0.3">
      <c r="I257" s="46"/>
    </row>
    <row r="258" spans="9:9" ht="15.75" customHeight="1" x14ac:dyDescent="0.3">
      <c r="I258" s="46"/>
    </row>
    <row r="259" spans="9:9" ht="15.75" customHeight="1" x14ac:dyDescent="0.3">
      <c r="I259" s="46"/>
    </row>
    <row r="260" spans="9:9" ht="15.75" customHeight="1" x14ac:dyDescent="0.3">
      <c r="I260" s="46"/>
    </row>
    <row r="261" spans="9:9" ht="15.75" customHeight="1" x14ac:dyDescent="0.3">
      <c r="I261" s="46"/>
    </row>
    <row r="262" spans="9:9" ht="15.75" customHeight="1" x14ac:dyDescent="0.3">
      <c r="I262" s="46"/>
    </row>
    <row r="263" spans="9:9" ht="15.75" customHeight="1" x14ac:dyDescent="0.3">
      <c r="I263" s="46"/>
    </row>
    <row r="264" spans="9:9" ht="15.75" customHeight="1" x14ac:dyDescent="0.3">
      <c r="I264" s="46"/>
    </row>
    <row r="265" spans="9:9" ht="15.75" customHeight="1" x14ac:dyDescent="0.3">
      <c r="I265" s="46"/>
    </row>
    <row r="266" spans="9:9" ht="15.75" customHeight="1" x14ac:dyDescent="0.3">
      <c r="I266" s="46"/>
    </row>
    <row r="267" spans="9:9" ht="15.75" customHeight="1" x14ac:dyDescent="0.3">
      <c r="I267" s="46"/>
    </row>
    <row r="268" spans="9:9" ht="15.75" customHeight="1" x14ac:dyDescent="0.3">
      <c r="I268" s="46"/>
    </row>
    <row r="269" spans="9:9" ht="15.75" customHeight="1" x14ac:dyDescent="0.3">
      <c r="I269" s="46"/>
    </row>
    <row r="270" spans="9:9" ht="15.75" customHeight="1" x14ac:dyDescent="0.3">
      <c r="I270" s="46"/>
    </row>
    <row r="271" spans="9:9" ht="15.75" customHeight="1" x14ac:dyDescent="0.3">
      <c r="I271" s="46"/>
    </row>
    <row r="272" spans="9:9" ht="15.75" customHeight="1" x14ac:dyDescent="0.3">
      <c r="I272" s="46"/>
    </row>
    <row r="273" spans="9:9" ht="15.75" customHeight="1" x14ac:dyDescent="0.3">
      <c r="I273" s="46"/>
    </row>
    <row r="274" spans="9:9" ht="15.75" customHeight="1" x14ac:dyDescent="0.3">
      <c r="I274" s="46"/>
    </row>
    <row r="275" spans="9:9" ht="15.75" customHeight="1" x14ac:dyDescent="0.3"/>
    <row r="276" spans="9:9" ht="15.75" customHeight="1" x14ac:dyDescent="0.3"/>
    <row r="277" spans="9:9" ht="15.75" customHeight="1" x14ac:dyDescent="0.3"/>
    <row r="278" spans="9:9" ht="15.75" customHeight="1" x14ac:dyDescent="0.3"/>
    <row r="279" spans="9:9" ht="15.75" customHeight="1" x14ac:dyDescent="0.3"/>
    <row r="280" spans="9:9" ht="15.75" customHeight="1" x14ac:dyDescent="0.3"/>
    <row r="281" spans="9:9" ht="15.75" customHeight="1" x14ac:dyDescent="0.3"/>
    <row r="282" spans="9:9" ht="15.75" customHeight="1" x14ac:dyDescent="0.3"/>
    <row r="283" spans="9:9" ht="15.75" customHeight="1" x14ac:dyDescent="0.3"/>
    <row r="284" spans="9:9" ht="15.75" customHeight="1" x14ac:dyDescent="0.3"/>
    <row r="285" spans="9:9" ht="15.75" customHeight="1" x14ac:dyDescent="0.3"/>
    <row r="286" spans="9:9" ht="15.75" customHeight="1" x14ac:dyDescent="0.3"/>
    <row r="287" spans="9:9" ht="15.75" customHeight="1" x14ac:dyDescent="0.3"/>
    <row r="288" spans="9:9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  <row r="1009" ht="15.75" customHeight="1" x14ac:dyDescent="0.3"/>
    <row r="1010" ht="15.75" customHeight="1" x14ac:dyDescent="0.3"/>
    <row r="1011" ht="15.75" customHeight="1" x14ac:dyDescent="0.3"/>
    <row r="1012" ht="15.75" customHeight="1" x14ac:dyDescent="0.3"/>
    <row r="1013" ht="15.75" customHeight="1" x14ac:dyDescent="0.3"/>
    <row r="1014" ht="15.75" customHeight="1" x14ac:dyDescent="0.3"/>
    <row r="1015" ht="15.75" customHeight="1" x14ac:dyDescent="0.3"/>
    <row r="1016" ht="15.75" customHeight="1" x14ac:dyDescent="0.3"/>
    <row r="1017" ht="15.75" customHeight="1" x14ac:dyDescent="0.3"/>
    <row r="1018" ht="15.75" customHeight="1" x14ac:dyDescent="0.3"/>
    <row r="1019" ht="15.75" customHeight="1" x14ac:dyDescent="0.3"/>
    <row r="1020" ht="15.75" customHeight="1" x14ac:dyDescent="0.3"/>
    <row r="1021" ht="15.75" customHeight="1" x14ac:dyDescent="0.3"/>
    <row r="1022" ht="15.75" customHeight="1" x14ac:dyDescent="0.3"/>
    <row r="1023" ht="15.75" customHeight="1" x14ac:dyDescent="0.3"/>
    <row r="1024" ht="15.75" customHeight="1" x14ac:dyDescent="0.3"/>
    <row r="1025" ht="15.75" customHeight="1" x14ac:dyDescent="0.3"/>
    <row r="1026" ht="15.75" customHeight="1" x14ac:dyDescent="0.3"/>
    <row r="1027" ht="15.75" customHeight="1" x14ac:dyDescent="0.3"/>
    <row r="1028" ht="15.75" customHeight="1" x14ac:dyDescent="0.3"/>
    <row r="1029" ht="15.75" customHeight="1" x14ac:dyDescent="0.3"/>
    <row r="1030" ht="15.75" customHeight="1" x14ac:dyDescent="0.3"/>
    <row r="1031" ht="15.75" customHeight="1" x14ac:dyDescent="0.3"/>
    <row r="1032" ht="15.75" customHeight="1" x14ac:dyDescent="0.3"/>
    <row r="1033" ht="15.75" customHeight="1" x14ac:dyDescent="0.3"/>
    <row r="1034" ht="15.75" customHeight="1" x14ac:dyDescent="0.3"/>
    <row r="1035" ht="15.75" customHeight="1" x14ac:dyDescent="0.3"/>
    <row r="1036" ht="15.75" customHeight="1" x14ac:dyDescent="0.3"/>
    <row r="1037" ht="15.75" customHeight="1" x14ac:dyDescent="0.3"/>
    <row r="1038" ht="15.75" customHeight="1" x14ac:dyDescent="0.3"/>
    <row r="1039" ht="15.75" customHeight="1" x14ac:dyDescent="0.3"/>
    <row r="1040" ht="15.75" customHeight="1" x14ac:dyDescent="0.3"/>
    <row r="1041" ht="15.75" customHeight="1" x14ac:dyDescent="0.3"/>
    <row r="1042" ht="15.75" customHeight="1" x14ac:dyDescent="0.3"/>
    <row r="1043" ht="15.75" customHeight="1" x14ac:dyDescent="0.3"/>
    <row r="1044" ht="15.75" customHeight="1" x14ac:dyDescent="0.3"/>
    <row r="1045" ht="15.75" customHeight="1" x14ac:dyDescent="0.3"/>
    <row r="1046" ht="15.75" customHeight="1" x14ac:dyDescent="0.3"/>
    <row r="1047" ht="15.75" customHeight="1" x14ac:dyDescent="0.3"/>
    <row r="1048" ht="15.75" customHeight="1" x14ac:dyDescent="0.3"/>
    <row r="1049" ht="15.75" customHeight="1" x14ac:dyDescent="0.3"/>
    <row r="1050" ht="15.75" customHeight="1" x14ac:dyDescent="0.3"/>
    <row r="1051" ht="15.75" customHeight="1" x14ac:dyDescent="0.3"/>
    <row r="1052" ht="15.75" customHeight="1" x14ac:dyDescent="0.3"/>
    <row r="1053" ht="15.75" customHeight="1" x14ac:dyDescent="0.3"/>
    <row r="1054" ht="15.7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52"/>
  <sheetViews>
    <sheetView topLeftCell="A15" zoomScale="86" workbookViewId="0">
      <selection activeCell="A2" sqref="A2:O2"/>
    </sheetView>
  </sheetViews>
  <sheetFormatPr defaultColWidth="12.77734375" defaultRowHeight="14.4" x14ac:dyDescent="0.3"/>
  <cols>
    <col min="1" max="1" width="7.21875" style="1" customWidth="1"/>
    <col min="2" max="2" width="14.77734375" style="1" customWidth="1"/>
    <col min="3" max="3" width="10.77734375" style="2" customWidth="1"/>
    <col min="4" max="5" width="3.21875" style="1" hidden="1" customWidth="1"/>
    <col min="6" max="6" width="6.44140625" style="1" customWidth="1"/>
    <col min="7" max="7" width="8" style="1" customWidth="1"/>
    <col min="8" max="8" width="6.21875" style="1" customWidth="1"/>
    <col min="9" max="9" width="6" style="1" customWidth="1"/>
    <col min="10" max="10" width="10" style="1" customWidth="1"/>
    <col min="11" max="11" width="7.5546875" style="1" customWidth="1"/>
    <col min="12" max="12" width="8.21875" style="1" customWidth="1"/>
    <col min="13" max="13" width="11.44140625" style="2" customWidth="1"/>
    <col min="14" max="16384" width="12.77734375" style="1"/>
  </cols>
  <sheetData>
    <row r="1" spans="1:15" ht="15" hidden="1" customHeight="1" x14ac:dyDescent="0.3">
      <c r="M1" s="3"/>
    </row>
    <row r="2" spans="1:15" ht="234.6" x14ac:dyDescent="0.3">
      <c r="A2" s="6" t="s">
        <v>7</v>
      </c>
      <c r="B2" s="6" t="s">
        <v>8</v>
      </c>
      <c r="C2" s="7" t="s">
        <v>11</v>
      </c>
      <c r="D2" s="7" t="s">
        <v>12</v>
      </c>
      <c r="E2" s="7" t="s">
        <v>13</v>
      </c>
      <c r="F2" s="7" t="s">
        <v>14</v>
      </c>
      <c r="G2" s="9" t="s">
        <v>15</v>
      </c>
      <c r="H2" s="7" t="s">
        <v>16</v>
      </c>
      <c r="I2" s="7" t="s">
        <v>17</v>
      </c>
      <c r="J2" s="7" t="s">
        <v>18</v>
      </c>
      <c r="K2" s="7" t="s">
        <v>19</v>
      </c>
      <c r="L2" s="7" t="s">
        <v>20</v>
      </c>
      <c r="M2" s="8" t="s">
        <v>21</v>
      </c>
      <c r="N2" s="1" t="s">
        <v>174</v>
      </c>
      <c r="O2" s="1" t="s">
        <v>175</v>
      </c>
    </row>
    <row r="3" spans="1:15" ht="15.75" customHeight="1" x14ac:dyDescent="0.3">
      <c r="A3" s="15" t="s">
        <v>119</v>
      </c>
      <c r="B3" s="16" t="s">
        <v>177</v>
      </c>
      <c r="C3" s="17">
        <v>28</v>
      </c>
      <c r="D3" s="15"/>
      <c r="E3" s="15"/>
      <c r="F3" s="15">
        <v>78</v>
      </c>
      <c r="G3" s="18">
        <v>1.915</v>
      </c>
      <c r="H3" s="15">
        <v>23.8</v>
      </c>
      <c r="I3" s="15">
        <v>0.8</v>
      </c>
      <c r="J3" s="15"/>
      <c r="K3" s="18"/>
      <c r="L3" s="15"/>
      <c r="M3" s="17">
        <v>3</v>
      </c>
      <c r="N3" s="1">
        <v>7</v>
      </c>
      <c r="O3" s="1">
        <v>14</v>
      </c>
    </row>
    <row r="4" spans="1:15" ht="15.75" customHeight="1" x14ac:dyDescent="0.3">
      <c r="A4" s="15" t="s">
        <v>119</v>
      </c>
      <c r="B4" s="16" t="s">
        <v>179</v>
      </c>
      <c r="C4" s="17">
        <v>9</v>
      </c>
      <c r="D4" s="15"/>
      <c r="E4" s="15"/>
      <c r="F4" s="20">
        <v>80</v>
      </c>
      <c r="G4" s="18">
        <v>0.4</v>
      </c>
      <c r="H4" s="15">
        <v>32</v>
      </c>
      <c r="I4" s="15">
        <v>0</v>
      </c>
      <c r="J4" s="15"/>
      <c r="K4" s="18"/>
      <c r="L4" s="15"/>
      <c r="M4" s="17">
        <v>5</v>
      </c>
      <c r="N4" s="1">
        <v>3</v>
      </c>
      <c r="O4" s="1">
        <v>3</v>
      </c>
    </row>
    <row r="5" spans="1:15" ht="15.75" customHeight="1" x14ac:dyDescent="0.3">
      <c r="A5" s="15" t="s">
        <v>119</v>
      </c>
      <c r="B5" s="16" t="s">
        <v>179</v>
      </c>
      <c r="C5" s="17">
        <v>22</v>
      </c>
      <c r="D5" s="15"/>
      <c r="E5" s="15"/>
      <c r="F5" s="20">
        <v>80</v>
      </c>
      <c r="G5" s="18">
        <v>0.52</v>
      </c>
      <c r="H5" s="15">
        <v>33</v>
      </c>
      <c r="I5" s="15">
        <v>0</v>
      </c>
      <c r="J5" s="15"/>
      <c r="K5" s="18"/>
      <c r="L5" s="15"/>
      <c r="M5" s="17">
        <v>5</v>
      </c>
      <c r="N5" s="1">
        <v>1</v>
      </c>
      <c r="O5" s="1">
        <v>1</v>
      </c>
    </row>
    <row r="6" spans="1:15" ht="15.75" customHeight="1" x14ac:dyDescent="0.3">
      <c r="A6" s="15" t="s">
        <v>119</v>
      </c>
      <c r="B6" s="16" t="s">
        <v>179</v>
      </c>
      <c r="C6" s="17">
        <v>25</v>
      </c>
      <c r="D6" s="15"/>
      <c r="E6" s="15"/>
      <c r="F6" s="20">
        <v>80</v>
      </c>
      <c r="G6" s="18">
        <v>0.4</v>
      </c>
      <c r="H6" s="15">
        <v>36</v>
      </c>
      <c r="I6" s="15">
        <v>0</v>
      </c>
      <c r="J6" s="15"/>
      <c r="K6" s="18"/>
      <c r="L6" s="15"/>
      <c r="M6" s="17">
        <v>5</v>
      </c>
      <c r="N6" s="1">
        <v>1</v>
      </c>
      <c r="O6" s="1">
        <v>1</v>
      </c>
    </row>
    <row r="7" spans="1:15" ht="15.75" customHeight="1" x14ac:dyDescent="0.3">
      <c r="A7" s="15" t="s">
        <v>119</v>
      </c>
      <c r="B7" s="16" t="s">
        <v>179</v>
      </c>
      <c r="C7" s="17">
        <v>27</v>
      </c>
      <c r="D7" s="15"/>
      <c r="E7" s="15"/>
      <c r="F7" s="20">
        <v>80</v>
      </c>
      <c r="G7" s="18">
        <v>0.4</v>
      </c>
      <c r="H7" s="15">
        <v>32</v>
      </c>
      <c r="I7" s="15">
        <v>0</v>
      </c>
      <c r="J7" s="15"/>
      <c r="K7" s="18"/>
      <c r="L7" s="15"/>
      <c r="M7" s="17">
        <v>5</v>
      </c>
      <c r="N7" s="1">
        <v>2</v>
      </c>
      <c r="O7" s="1">
        <v>2</v>
      </c>
    </row>
    <row r="8" spans="1:15" ht="15.75" customHeight="1" x14ac:dyDescent="0.3">
      <c r="A8" s="15" t="s">
        <v>119</v>
      </c>
      <c r="B8" s="16" t="s">
        <v>179</v>
      </c>
      <c r="C8" s="17">
        <v>28</v>
      </c>
      <c r="D8" s="15"/>
      <c r="E8" s="15"/>
      <c r="F8" s="20">
        <v>80</v>
      </c>
      <c r="G8" s="18">
        <v>0.4</v>
      </c>
      <c r="H8" s="15">
        <v>33</v>
      </c>
      <c r="I8" s="15">
        <v>0</v>
      </c>
      <c r="J8" s="15"/>
      <c r="K8" s="18"/>
      <c r="L8" s="15"/>
      <c r="M8" s="17">
        <v>5</v>
      </c>
      <c r="N8" s="1">
        <v>1</v>
      </c>
      <c r="O8" s="1">
        <v>1</v>
      </c>
    </row>
    <row r="9" spans="1:15" ht="15.75" customHeight="1" x14ac:dyDescent="0.3">
      <c r="A9" s="15" t="s">
        <v>119</v>
      </c>
      <c r="B9" s="16" t="s">
        <v>179</v>
      </c>
      <c r="C9" s="17">
        <v>29</v>
      </c>
      <c r="D9" s="15"/>
      <c r="E9" s="15"/>
      <c r="F9" s="20">
        <v>80</v>
      </c>
      <c r="G9" s="18">
        <v>0.51</v>
      </c>
      <c r="H9" s="15">
        <v>32</v>
      </c>
      <c r="I9" s="15">
        <v>0</v>
      </c>
      <c r="J9" s="15"/>
      <c r="K9" s="18"/>
      <c r="L9" s="15"/>
      <c r="M9" s="17">
        <v>5</v>
      </c>
      <c r="N9" s="1">
        <v>3</v>
      </c>
      <c r="O9" s="1">
        <v>3</v>
      </c>
    </row>
    <row r="10" spans="1:15" ht="15.75" customHeight="1" x14ac:dyDescent="0.3">
      <c r="A10" s="15" t="s">
        <v>119</v>
      </c>
      <c r="B10" s="16" t="s">
        <v>179</v>
      </c>
      <c r="C10" s="17">
        <v>29</v>
      </c>
      <c r="D10" s="15"/>
      <c r="E10" s="15"/>
      <c r="F10" s="20">
        <v>80</v>
      </c>
      <c r="G10" s="18">
        <v>0.5</v>
      </c>
      <c r="H10" s="15">
        <v>23</v>
      </c>
      <c r="I10" s="15">
        <v>0</v>
      </c>
      <c r="J10" s="15"/>
      <c r="K10" s="18"/>
      <c r="L10" s="15"/>
      <c r="M10" s="17">
        <v>5</v>
      </c>
      <c r="N10" s="1">
        <v>1</v>
      </c>
      <c r="O10" s="1">
        <v>1</v>
      </c>
    </row>
    <row r="11" spans="1:15" ht="15.75" customHeight="1" x14ac:dyDescent="0.3">
      <c r="A11" s="15" t="s">
        <v>119</v>
      </c>
      <c r="B11" s="16" t="s">
        <v>179</v>
      </c>
      <c r="C11" s="17">
        <v>28</v>
      </c>
      <c r="D11" s="15"/>
      <c r="E11" s="15"/>
      <c r="F11" s="15">
        <v>81</v>
      </c>
      <c r="G11" s="18">
        <v>2.0499999999999998</v>
      </c>
      <c r="H11" s="15">
        <v>24.9</v>
      </c>
      <c r="I11" s="15">
        <v>0</v>
      </c>
      <c r="J11" s="15"/>
      <c r="K11" s="18"/>
      <c r="L11" s="15"/>
      <c r="M11" s="17">
        <v>5</v>
      </c>
      <c r="N11" s="1">
        <v>3</v>
      </c>
      <c r="O11" s="1">
        <v>3</v>
      </c>
    </row>
    <row r="12" spans="1:15" ht="15.75" customHeight="1" x14ac:dyDescent="0.3">
      <c r="A12" s="15" t="s">
        <v>119</v>
      </c>
      <c r="B12" s="16" t="s">
        <v>180</v>
      </c>
      <c r="C12" s="17">
        <v>28</v>
      </c>
      <c r="D12" s="15"/>
      <c r="E12" s="15"/>
      <c r="F12" s="15">
        <v>81</v>
      </c>
      <c r="G12" s="18">
        <v>1.2809999999999999</v>
      </c>
      <c r="H12" s="15">
        <v>24.9</v>
      </c>
      <c r="I12" s="15">
        <v>0.8</v>
      </c>
      <c r="J12" s="15"/>
      <c r="K12" s="18"/>
      <c r="L12" s="15"/>
      <c r="M12" s="17">
        <v>5</v>
      </c>
      <c r="N12" s="1">
        <v>3</v>
      </c>
      <c r="O12" s="1">
        <v>3</v>
      </c>
    </row>
    <row r="13" spans="1:15" ht="15.75" customHeight="1" x14ac:dyDescent="0.3">
      <c r="A13" s="15" t="s">
        <v>119</v>
      </c>
      <c r="B13" s="16" t="s">
        <v>180</v>
      </c>
      <c r="C13" s="17">
        <v>27</v>
      </c>
      <c r="D13" s="15"/>
      <c r="E13" s="15"/>
      <c r="F13" s="18">
        <v>68.67</v>
      </c>
      <c r="G13" s="18">
        <v>94.13</v>
      </c>
      <c r="H13" s="15">
        <v>25</v>
      </c>
      <c r="I13" s="15">
        <v>1.2</v>
      </c>
      <c r="J13" s="15"/>
      <c r="K13" s="18"/>
      <c r="L13" s="15"/>
      <c r="M13" s="17">
        <v>5</v>
      </c>
      <c r="N13" s="1">
        <v>1</v>
      </c>
      <c r="O13" s="1">
        <v>1</v>
      </c>
    </row>
    <row r="14" spans="1:15" ht="15.75" customHeight="1" x14ac:dyDescent="0.3">
      <c r="A14" s="15" t="s">
        <v>119</v>
      </c>
      <c r="B14" s="16" t="s">
        <v>181</v>
      </c>
      <c r="C14" s="17">
        <v>28</v>
      </c>
      <c r="D14" s="15"/>
      <c r="E14" s="15"/>
      <c r="F14" s="15">
        <v>80</v>
      </c>
      <c r="G14" s="18">
        <v>9.35</v>
      </c>
      <c r="H14" s="15">
        <v>25.5</v>
      </c>
      <c r="I14" s="15">
        <v>2.6</v>
      </c>
      <c r="J14" s="15"/>
      <c r="K14" s="18"/>
      <c r="L14" s="15"/>
      <c r="M14" s="17">
        <v>3</v>
      </c>
      <c r="N14" s="1">
        <v>3</v>
      </c>
      <c r="O14" s="1">
        <v>3</v>
      </c>
    </row>
    <row r="15" spans="1:15" ht="15.75" customHeight="1" x14ac:dyDescent="0.3">
      <c r="A15" s="15" t="s">
        <v>119</v>
      </c>
      <c r="B15" s="16" t="s">
        <v>181</v>
      </c>
      <c r="C15" s="17">
        <v>27</v>
      </c>
      <c r="D15" s="15"/>
      <c r="E15" s="15"/>
      <c r="F15" s="15">
        <v>68.58</v>
      </c>
      <c r="G15" s="18">
        <v>6.6</v>
      </c>
      <c r="H15" s="15">
        <v>25.7</v>
      </c>
      <c r="I15" s="15">
        <v>2.1</v>
      </c>
      <c r="J15" s="15"/>
      <c r="K15" s="18"/>
      <c r="L15" s="15"/>
      <c r="M15" s="17">
        <v>3</v>
      </c>
      <c r="N15" s="1">
        <v>3</v>
      </c>
      <c r="O15" s="1">
        <v>3</v>
      </c>
    </row>
    <row r="16" spans="1:15" ht="15.75" customHeight="1" x14ac:dyDescent="0.3">
      <c r="A16" s="15" t="s">
        <v>119</v>
      </c>
      <c r="B16" s="16" t="s">
        <v>181</v>
      </c>
      <c r="C16" s="17">
        <v>30</v>
      </c>
      <c r="D16" s="15"/>
      <c r="E16" s="15"/>
      <c r="F16" s="20">
        <v>70</v>
      </c>
      <c r="G16" s="18">
        <v>4.2</v>
      </c>
      <c r="H16" s="15">
        <v>23</v>
      </c>
      <c r="I16" s="15">
        <v>0</v>
      </c>
      <c r="J16" s="15"/>
      <c r="K16" s="18"/>
      <c r="L16" s="15"/>
      <c r="M16" s="17">
        <v>3</v>
      </c>
      <c r="N16" s="1">
        <v>2</v>
      </c>
      <c r="O16" s="1">
        <v>2</v>
      </c>
    </row>
    <row r="17" spans="1:15" ht="15.75" customHeight="1" x14ac:dyDescent="0.3">
      <c r="A17" s="15" t="s">
        <v>119</v>
      </c>
      <c r="B17" s="16" t="s">
        <v>182</v>
      </c>
      <c r="C17" s="17">
        <v>8</v>
      </c>
      <c r="D17" s="15"/>
      <c r="E17" s="15"/>
      <c r="F17" s="20">
        <v>70</v>
      </c>
      <c r="G17" s="18">
        <v>4.2</v>
      </c>
      <c r="H17" s="15">
        <v>21</v>
      </c>
      <c r="I17" s="15">
        <v>0</v>
      </c>
      <c r="J17" s="15"/>
      <c r="K17" s="18"/>
      <c r="L17" s="15"/>
      <c r="M17" s="17">
        <v>3</v>
      </c>
      <c r="N17" s="1">
        <v>4</v>
      </c>
      <c r="O17" s="1">
        <v>4</v>
      </c>
    </row>
    <row r="18" spans="1:15" ht="15.75" customHeight="1" x14ac:dyDescent="0.3">
      <c r="A18" s="15" t="s">
        <v>119</v>
      </c>
      <c r="B18" s="16" t="s">
        <v>182</v>
      </c>
      <c r="C18" s="17">
        <v>8</v>
      </c>
      <c r="D18" s="15"/>
      <c r="E18" s="15"/>
      <c r="F18" s="20">
        <v>70</v>
      </c>
      <c r="G18" s="18">
        <v>4.2</v>
      </c>
      <c r="H18" s="15">
        <v>20</v>
      </c>
      <c r="I18" s="15">
        <v>0</v>
      </c>
      <c r="J18" s="15"/>
      <c r="K18" s="18"/>
      <c r="L18" s="15"/>
      <c r="M18" s="17">
        <v>3</v>
      </c>
      <c r="N18" s="1">
        <v>1</v>
      </c>
      <c r="O18" s="1">
        <v>1</v>
      </c>
    </row>
    <row r="19" spans="1:15" ht="15.75" customHeight="1" x14ac:dyDescent="0.3">
      <c r="A19" s="15" t="s">
        <v>119</v>
      </c>
      <c r="B19" s="16" t="s">
        <v>182</v>
      </c>
      <c r="C19" s="17">
        <v>9</v>
      </c>
      <c r="D19" s="15"/>
      <c r="E19" s="15"/>
      <c r="F19" s="20">
        <v>70</v>
      </c>
      <c r="G19" s="18">
        <v>4.2</v>
      </c>
      <c r="H19" s="15">
        <v>21</v>
      </c>
      <c r="I19" s="15">
        <v>0</v>
      </c>
      <c r="J19" s="15"/>
      <c r="K19" s="18"/>
      <c r="L19" s="15"/>
      <c r="M19" s="17">
        <v>3</v>
      </c>
      <c r="N19" s="1">
        <v>1</v>
      </c>
      <c r="O19" s="1">
        <v>1</v>
      </c>
    </row>
    <row r="20" spans="1:15" ht="15.75" customHeight="1" x14ac:dyDescent="0.3">
      <c r="A20" s="15" t="s">
        <v>119</v>
      </c>
      <c r="B20" s="16" t="s">
        <v>182</v>
      </c>
      <c r="C20" s="17">
        <v>15</v>
      </c>
      <c r="D20" s="15"/>
      <c r="E20" s="15"/>
      <c r="F20" s="20">
        <v>70</v>
      </c>
      <c r="G20" s="18">
        <v>4.2</v>
      </c>
      <c r="H20" s="15">
        <v>22</v>
      </c>
      <c r="I20" s="15">
        <v>0</v>
      </c>
      <c r="J20" s="15"/>
      <c r="K20" s="18"/>
      <c r="L20" s="15"/>
      <c r="M20" s="17">
        <v>3</v>
      </c>
      <c r="N20" s="1">
        <v>5</v>
      </c>
      <c r="O20" s="1">
        <v>5</v>
      </c>
    </row>
    <row r="21" spans="1:15" ht="15.75" customHeight="1" x14ac:dyDescent="0.3">
      <c r="A21" s="15" t="s">
        <v>119</v>
      </c>
      <c r="B21" s="16" t="s">
        <v>182</v>
      </c>
      <c r="C21" s="17">
        <v>11</v>
      </c>
      <c r="D21" s="15"/>
      <c r="E21" s="15"/>
      <c r="F21" s="20">
        <v>70</v>
      </c>
      <c r="G21" s="18">
        <v>4.2</v>
      </c>
      <c r="H21" s="15">
        <v>23</v>
      </c>
      <c r="I21" s="15">
        <v>0</v>
      </c>
      <c r="J21" s="15"/>
      <c r="K21" s="18"/>
      <c r="L21" s="15"/>
      <c r="M21" s="17">
        <v>3</v>
      </c>
      <c r="N21" s="1">
        <v>2</v>
      </c>
      <c r="O21" s="1">
        <v>2</v>
      </c>
    </row>
    <row r="22" spans="1:15" ht="15.75" customHeight="1" x14ac:dyDescent="0.3">
      <c r="A22" s="15" t="s">
        <v>119</v>
      </c>
      <c r="B22" s="16" t="s">
        <v>182</v>
      </c>
      <c r="C22" s="17">
        <v>20</v>
      </c>
      <c r="D22" s="15"/>
      <c r="E22" s="15"/>
      <c r="F22" s="20">
        <v>70</v>
      </c>
      <c r="G22" s="18">
        <v>4.2</v>
      </c>
      <c r="H22" s="15">
        <v>22</v>
      </c>
      <c r="I22" s="15">
        <v>0</v>
      </c>
      <c r="J22" s="15"/>
      <c r="K22" s="18"/>
      <c r="L22" s="15"/>
      <c r="M22" s="17">
        <v>3</v>
      </c>
      <c r="N22" s="1">
        <v>1</v>
      </c>
      <c r="O22" s="1">
        <v>1</v>
      </c>
    </row>
    <row r="23" spans="1:15" ht="15.75" customHeight="1" x14ac:dyDescent="0.3">
      <c r="A23" s="15" t="s">
        <v>119</v>
      </c>
      <c r="B23" s="16" t="s">
        <v>182</v>
      </c>
      <c r="C23" s="17">
        <v>18</v>
      </c>
      <c r="D23" s="15"/>
      <c r="E23" s="15"/>
      <c r="F23" s="20">
        <v>70</v>
      </c>
      <c r="G23" s="18">
        <v>4.2</v>
      </c>
      <c r="H23" s="15">
        <v>25</v>
      </c>
      <c r="I23" s="15">
        <v>0</v>
      </c>
      <c r="J23" s="15"/>
      <c r="K23" s="18"/>
      <c r="L23" s="15"/>
      <c r="M23" s="17">
        <v>3</v>
      </c>
      <c r="N23" s="1">
        <v>1</v>
      </c>
      <c r="O23" s="1">
        <v>1</v>
      </c>
    </row>
    <row r="24" spans="1:15" ht="15.75" customHeight="1" x14ac:dyDescent="0.3">
      <c r="A24" s="15" t="s">
        <v>119</v>
      </c>
      <c r="B24" s="16" t="s">
        <v>182</v>
      </c>
      <c r="C24" s="17">
        <v>21</v>
      </c>
      <c r="D24" s="15"/>
      <c r="E24" s="15"/>
      <c r="F24" s="20">
        <v>70</v>
      </c>
      <c r="G24" s="18">
        <v>4.2</v>
      </c>
      <c r="H24" s="15">
        <v>23</v>
      </c>
      <c r="I24" s="15">
        <v>0</v>
      </c>
      <c r="J24" s="15"/>
      <c r="K24" s="18"/>
      <c r="L24" s="15"/>
      <c r="M24" s="17">
        <v>3</v>
      </c>
      <c r="N24" s="1">
        <v>1</v>
      </c>
      <c r="O24" s="1">
        <v>1</v>
      </c>
    </row>
    <row r="25" spans="1:15" ht="15.75" customHeight="1" x14ac:dyDescent="0.3">
      <c r="A25" s="15" t="s">
        <v>119</v>
      </c>
      <c r="B25" s="16" t="s">
        <v>182</v>
      </c>
      <c r="C25" s="17">
        <v>21</v>
      </c>
      <c r="D25" s="15"/>
      <c r="E25" s="15"/>
      <c r="F25" s="20">
        <v>70</v>
      </c>
      <c r="G25" s="18">
        <v>4.2</v>
      </c>
      <c r="H25" s="15">
        <v>29</v>
      </c>
      <c r="I25" s="15">
        <v>0</v>
      </c>
      <c r="J25" s="15"/>
      <c r="K25" s="18"/>
      <c r="L25" s="15"/>
      <c r="M25" s="17">
        <v>3</v>
      </c>
      <c r="N25" s="1">
        <v>1</v>
      </c>
      <c r="O25" s="1">
        <v>1</v>
      </c>
    </row>
    <row r="26" spans="1:15" ht="15.75" customHeight="1" x14ac:dyDescent="0.3">
      <c r="A26" s="15" t="s">
        <v>119</v>
      </c>
      <c r="B26" s="16" t="s">
        <v>182</v>
      </c>
      <c r="C26" s="17">
        <v>23</v>
      </c>
      <c r="D26" s="15"/>
      <c r="E26" s="15"/>
      <c r="F26" s="20">
        <v>70</v>
      </c>
      <c r="G26" s="18">
        <v>4.2</v>
      </c>
      <c r="H26" s="15">
        <v>23</v>
      </c>
      <c r="I26" s="15">
        <v>0</v>
      </c>
      <c r="J26" s="15"/>
      <c r="K26" s="18"/>
      <c r="L26" s="15"/>
      <c r="M26" s="17">
        <v>3</v>
      </c>
      <c r="N26" s="1">
        <v>1</v>
      </c>
      <c r="O26" s="1">
        <v>1</v>
      </c>
    </row>
    <row r="27" spans="1:15" ht="15.75" customHeight="1" x14ac:dyDescent="0.3">
      <c r="A27" s="15" t="s">
        <v>119</v>
      </c>
      <c r="B27" s="16" t="s">
        <v>182</v>
      </c>
      <c r="C27" s="17">
        <v>27</v>
      </c>
      <c r="D27" s="15"/>
      <c r="E27" s="15"/>
      <c r="F27" s="20">
        <v>70</v>
      </c>
      <c r="G27" s="18">
        <v>4.2</v>
      </c>
      <c r="H27" s="15">
        <v>23</v>
      </c>
      <c r="I27" s="15">
        <v>0</v>
      </c>
      <c r="J27" s="15"/>
      <c r="K27" s="18"/>
      <c r="L27" s="15"/>
      <c r="M27" s="17">
        <v>3</v>
      </c>
      <c r="N27" s="1">
        <v>1</v>
      </c>
      <c r="O27" s="1">
        <v>1</v>
      </c>
    </row>
    <row r="28" spans="1:15" ht="15.75" customHeight="1" x14ac:dyDescent="0.3">
      <c r="A28" s="15" t="s">
        <v>119</v>
      </c>
      <c r="B28" s="16" t="s">
        <v>182</v>
      </c>
      <c r="C28" s="17">
        <v>27</v>
      </c>
      <c r="D28" s="15"/>
      <c r="E28" s="15"/>
      <c r="F28" s="15">
        <v>69.17</v>
      </c>
      <c r="G28" s="18">
        <v>4.55</v>
      </c>
      <c r="H28" s="15">
        <v>27.5</v>
      </c>
      <c r="I28" s="15">
        <v>0.56999999999999995</v>
      </c>
      <c r="J28" s="15"/>
      <c r="K28" s="18"/>
      <c r="L28" s="15"/>
      <c r="M28" s="21">
        <v>3</v>
      </c>
      <c r="N28" s="1">
        <v>3</v>
      </c>
      <c r="O28" s="1">
        <v>3</v>
      </c>
    </row>
    <row r="29" spans="1:15" ht="15.75" customHeight="1" x14ac:dyDescent="0.3">
      <c r="A29" s="15" t="s">
        <v>119</v>
      </c>
      <c r="B29" s="16" t="s">
        <v>182</v>
      </c>
      <c r="C29" s="17">
        <v>30</v>
      </c>
      <c r="D29" s="15"/>
      <c r="E29" s="15"/>
      <c r="F29" s="20">
        <v>69</v>
      </c>
      <c r="G29" s="18">
        <v>4.55</v>
      </c>
      <c r="H29" s="15">
        <v>21</v>
      </c>
      <c r="I29" s="15">
        <v>0</v>
      </c>
      <c r="J29" s="15"/>
      <c r="K29" s="18"/>
      <c r="L29" s="15"/>
      <c r="M29" s="21">
        <v>3</v>
      </c>
      <c r="N29" s="1">
        <v>1</v>
      </c>
      <c r="O29" s="1">
        <v>1</v>
      </c>
    </row>
    <row r="30" spans="1:15" ht="15.75" customHeight="1" x14ac:dyDescent="0.3">
      <c r="A30" s="15"/>
      <c r="B30" s="16"/>
      <c r="C30" s="17"/>
      <c r="D30" s="15"/>
      <c r="E30" s="15"/>
      <c r="F30" s="15"/>
      <c r="G30" s="18"/>
      <c r="H30" s="15"/>
      <c r="I30" s="15"/>
      <c r="J30" s="15"/>
      <c r="K30" s="18"/>
      <c r="L30" s="15"/>
      <c r="M30" s="17"/>
      <c r="N30" s="1">
        <v>0</v>
      </c>
      <c r="O30" s="1">
        <v>0</v>
      </c>
    </row>
    <row r="31" spans="1:15" ht="15.75" customHeight="1" x14ac:dyDescent="0.3">
      <c r="A31" s="15" t="s">
        <v>134</v>
      </c>
      <c r="B31" s="16" t="s">
        <v>176</v>
      </c>
      <c r="C31" s="17">
        <v>48</v>
      </c>
      <c r="D31" s="15"/>
      <c r="E31" s="15"/>
      <c r="F31" s="15">
        <v>79</v>
      </c>
      <c r="G31" s="18">
        <v>0.309</v>
      </c>
      <c r="H31" s="15">
        <v>23.3</v>
      </c>
      <c r="I31" s="15">
        <v>0.5</v>
      </c>
      <c r="J31" s="15"/>
      <c r="K31" s="18"/>
      <c r="L31" s="15">
        <v>76.67</v>
      </c>
      <c r="M31" s="17">
        <v>4</v>
      </c>
      <c r="N31" s="1">
        <v>10</v>
      </c>
      <c r="O31" s="1">
        <v>10</v>
      </c>
    </row>
    <row r="32" spans="1:15" ht="15.75" customHeight="1" x14ac:dyDescent="0.3">
      <c r="A32" s="15" t="s">
        <v>134</v>
      </c>
      <c r="B32" s="16" t="s">
        <v>176</v>
      </c>
      <c r="C32" s="17">
        <v>48</v>
      </c>
      <c r="D32" s="15"/>
      <c r="E32" s="15"/>
      <c r="F32" s="15">
        <v>80</v>
      </c>
      <c r="G32" s="18">
        <v>0.32</v>
      </c>
      <c r="H32" s="15">
        <v>24</v>
      </c>
      <c r="I32" s="15">
        <v>0</v>
      </c>
      <c r="J32" s="15"/>
      <c r="K32" s="18"/>
      <c r="L32" s="15">
        <v>76.67</v>
      </c>
      <c r="M32" s="17">
        <v>4</v>
      </c>
      <c r="N32" s="1">
        <v>7</v>
      </c>
      <c r="O32" s="1">
        <v>7</v>
      </c>
    </row>
    <row r="33" spans="1:15" ht="15.75" customHeight="1" x14ac:dyDescent="0.3">
      <c r="A33" s="15" t="s">
        <v>134</v>
      </c>
      <c r="B33" s="16" t="s">
        <v>177</v>
      </c>
      <c r="C33" s="17">
        <v>48</v>
      </c>
      <c r="D33" s="15"/>
      <c r="E33" s="15"/>
      <c r="F33" s="15">
        <v>80</v>
      </c>
      <c r="G33" s="18">
        <v>1.85</v>
      </c>
      <c r="H33" s="15">
        <v>25.3</v>
      </c>
      <c r="I33" s="15">
        <v>0.8</v>
      </c>
      <c r="J33" s="15"/>
      <c r="K33" s="18"/>
      <c r="L33" s="15">
        <v>93.33</v>
      </c>
      <c r="M33" s="17">
        <v>3</v>
      </c>
      <c r="N33" s="1">
        <v>14</v>
      </c>
      <c r="O33" s="1">
        <v>17</v>
      </c>
    </row>
    <row r="34" spans="1:15" ht="15.75" customHeight="1" x14ac:dyDescent="0.3">
      <c r="A34" s="15" t="s">
        <v>134</v>
      </c>
      <c r="B34" s="23" t="s">
        <v>177</v>
      </c>
      <c r="C34" s="17">
        <v>48</v>
      </c>
      <c r="D34" s="15"/>
      <c r="E34" s="15"/>
      <c r="F34" s="15">
        <v>58</v>
      </c>
      <c r="G34" s="18">
        <v>0.27</v>
      </c>
      <c r="H34" s="15">
        <v>26.8</v>
      </c>
      <c r="I34" s="15">
        <v>0.5</v>
      </c>
      <c r="J34" s="15"/>
      <c r="K34" s="18"/>
      <c r="L34" s="15">
        <v>88.87</v>
      </c>
      <c r="M34" s="17">
        <v>3</v>
      </c>
      <c r="N34" s="1">
        <v>5</v>
      </c>
      <c r="O34" s="1">
        <v>5</v>
      </c>
    </row>
    <row r="35" spans="1:15" ht="15.75" customHeight="1" x14ac:dyDescent="0.3">
      <c r="A35" s="15" t="s">
        <v>134</v>
      </c>
      <c r="B35" s="23" t="s">
        <v>179</v>
      </c>
      <c r="C35" s="17">
        <v>46</v>
      </c>
      <c r="D35" s="15"/>
      <c r="E35" s="15"/>
      <c r="F35" s="20">
        <v>77</v>
      </c>
      <c r="G35" s="18">
        <v>0.28999999999999998</v>
      </c>
      <c r="H35" s="15">
        <v>22</v>
      </c>
      <c r="I35" s="15">
        <v>0</v>
      </c>
      <c r="J35" s="15"/>
      <c r="K35" s="18"/>
      <c r="L35" s="15">
        <v>88.87</v>
      </c>
      <c r="M35" s="17">
        <v>5</v>
      </c>
      <c r="N35" s="1">
        <v>2</v>
      </c>
      <c r="O35" s="1">
        <v>2</v>
      </c>
    </row>
    <row r="36" spans="1:15" ht="15.75" customHeight="1" x14ac:dyDescent="0.3">
      <c r="A36" s="15" t="s">
        <v>134</v>
      </c>
      <c r="B36" s="23" t="s">
        <v>179</v>
      </c>
      <c r="C36" s="17">
        <v>48</v>
      </c>
      <c r="D36" s="15"/>
      <c r="E36" s="15"/>
      <c r="F36" s="15">
        <v>77</v>
      </c>
      <c r="G36" s="18">
        <v>0.28999999999999998</v>
      </c>
      <c r="H36" s="15">
        <v>25.9</v>
      </c>
      <c r="I36" s="15">
        <v>0</v>
      </c>
      <c r="J36" s="15"/>
      <c r="K36" s="18"/>
      <c r="L36" s="15">
        <v>98.33</v>
      </c>
      <c r="M36" s="17">
        <v>5</v>
      </c>
      <c r="N36" s="1">
        <v>12</v>
      </c>
      <c r="O36" s="1">
        <v>12</v>
      </c>
    </row>
    <row r="37" spans="1:15" ht="15.75" customHeight="1" x14ac:dyDescent="0.3">
      <c r="A37" s="15" t="s">
        <v>134</v>
      </c>
      <c r="B37" s="23" t="s">
        <v>179</v>
      </c>
      <c r="C37" s="17">
        <v>48</v>
      </c>
      <c r="D37" s="15"/>
      <c r="E37" s="15"/>
      <c r="F37" s="15">
        <v>55</v>
      </c>
      <c r="G37" s="18">
        <v>4.9000000000000002E-2</v>
      </c>
      <c r="H37" s="15">
        <v>27.2</v>
      </c>
      <c r="I37" s="15">
        <v>0</v>
      </c>
      <c r="J37" s="15"/>
      <c r="K37" s="18"/>
      <c r="L37" s="15">
        <v>84.47</v>
      </c>
      <c r="M37" s="17">
        <v>5</v>
      </c>
      <c r="N37" s="1">
        <v>3</v>
      </c>
      <c r="O37" s="1">
        <v>3</v>
      </c>
    </row>
    <row r="38" spans="1:15" ht="15.75" customHeight="1" x14ac:dyDescent="0.3">
      <c r="A38" s="15" t="s">
        <v>134</v>
      </c>
      <c r="B38" s="23" t="s">
        <v>180</v>
      </c>
      <c r="C38" s="17">
        <v>48</v>
      </c>
      <c r="D38" s="15"/>
      <c r="E38" s="15"/>
      <c r="F38" s="15">
        <v>76</v>
      </c>
      <c r="G38" s="18">
        <v>0.30399999999999999</v>
      </c>
      <c r="H38" s="15">
        <v>24.9</v>
      </c>
      <c r="I38" s="15">
        <v>2</v>
      </c>
      <c r="J38" s="15"/>
      <c r="K38" s="18"/>
      <c r="L38" s="15">
        <v>100</v>
      </c>
      <c r="M38" s="17">
        <v>5</v>
      </c>
      <c r="N38" s="1">
        <v>0</v>
      </c>
      <c r="O38" s="1">
        <v>0</v>
      </c>
    </row>
    <row r="39" spans="1:15" ht="15.75" customHeight="1" x14ac:dyDescent="0.3">
      <c r="A39" s="15" t="s">
        <v>134</v>
      </c>
      <c r="B39" s="23" t="s">
        <v>180</v>
      </c>
      <c r="C39" s="17">
        <v>48</v>
      </c>
      <c r="D39" s="15"/>
      <c r="E39" s="15"/>
      <c r="F39" s="15">
        <v>47</v>
      </c>
      <c r="G39" s="18">
        <v>0.13600000000000001</v>
      </c>
      <c r="H39" s="15">
        <v>29.3</v>
      </c>
      <c r="I39" s="15">
        <v>0.7</v>
      </c>
      <c r="J39" s="15"/>
      <c r="K39" s="18"/>
      <c r="L39" s="15">
        <v>100</v>
      </c>
      <c r="M39" s="17">
        <v>5</v>
      </c>
      <c r="N39" s="1">
        <v>2</v>
      </c>
      <c r="O39" s="1">
        <v>3</v>
      </c>
    </row>
    <row r="40" spans="1:15" ht="15.75" customHeight="1" x14ac:dyDescent="0.3">
      <c r="A40" s="15" t="s">
        <v>134</v>
      </c>
      <c r="B40" s="23" t="s">
        <v>181</v>
      </c>
      <c r="C40" s="24">
        <v>52</v>
      </c>
      <c r="D40" s="15"/>
      <c r="E40" s="15"/>
      <c r="F40" s="20">
        <v>63</v>
      </c>
      <c r="G40" s="18">
        <v>0.08</v>
      </c>
      <c r="H40" s="15">
        <v>21</v>
      </c>
      <c r="I40" s="15">
        <v>0</v>
      </c>
      <c r="J40" s="15"/>
      <c r="K40" s="18"/>
      <c r="L40" s="15">
        <v>100</v>
      </c>
      <c r="M40" s="17">
        <v>3</v>
      </c>
      <c r="N40" s="1">
        <v>1</v>
      </c>
      <c r="O40" s="1">
        <v>1</v>
      </c>
    </row>
    <row r="41" spans="1:15" ht="15.75" customHeight="1" x14ac:dyDescent="0.3">
      <c r="A41" s="15" t="s">
        <v>138</v>
      </c>
      <c r="B41" s="23" t="s">
        <v>181</v>
      </c>
      <c r="C41" s="17">
        <v>48</v>
      </c>
      <c r="D41" s="15"/>
      <c r="E41" s="15"/>
      <c r="F41" s="15">
        <v>63</v>
      </c>
      <c r="G41" s="18">
        <v>6.6900000000000001E-2</v>
      </c>
      <c r="H41" s="15">
        <v>33.700000000000003</v>
      </c>
      <c r="I41" s="15">
        <v>2.4</v>
      </c>
      <c r="J41" s="15"/>
      <c r="K41" s="18"/>
      <c r="L41" s="15">
        <v>100</v>
      </c>
      <c r="M41" s="17">
        <v>3</v>
      </c>
      <c r="N41" s="1">
        <v>4</v>
      </c>
      <c r="O41" s="1">
        <v>4</v>
      </c>
    </row>
    <row r="42" spans="1:15" ht="15.75" customHeight="1" x14ac:dyDescent="0.3">
      <c r="A42" s="15" t="s">
        <v>134</v>
      </c>
      <c r="B42" s="23" t="s">
        <v>181</v>
      </c>
      <c r="C42" s="17">
        <v>48</v>
      </c>
      <c r="D42" s="15"/>
      <c r="E42" s="15"/>
      <c r="F42" s="15">
        <v>44</v>
      </c>
      <c r="G42" s="18">
        <v>21.4</v>
      </c>
      <c r="H42" s="15">
        <v>34.4</v>
      </c>
      <c r="I42" s="15">
        <v>2</v>
      </c>
      <c r="J42" s="15"/>
      <c r="K42" s="18"/>
      <c r="L42" s="15">
        <v>100</v>
      </c>
      <c r="M42" s="17">
        <v>3</v>
      </c>
      <c r="N42" s="1">
        <v>4</v>
      </c>
      <c r="O42" s="1">
        <v>4</v>
      </c>
    </row>
    <row r="43" spans="1:15" ht="15.75" customHeight="1" x14ac:dyDescent="0.3">
      <c r="A43" s="15" t="s">
        <v>134</v>
      </c>
      <c r="B43" s="23" t="s">
        <v>182</v>
      </c>
      <c r="C43" s="17">
        <v>48</v>
      </c>
      <c r="D43" s="15"/>
      <c r="E43" s="15"/>
      <c r="F43" s="15">
        <v>57</v>
      </c>
      <c r="G43" s="18">
        <v>32.799999999999997</v>
      </c>
      <c r="H43" s="15">
        <v>30.4</v>
      </c>
      <c r="I43" s="15">
        <v>3.9</v>
      </c>
      <c r="J43" s="15"/>
      <c r="K43" s="18"/>
      <c r="L43" s="15">
        <v>100</v>
      </c>
      <c r="M43" s="17">
        <v>3</v>
      </c>
      <c r="N43" s="1">
        <v>1</v>
      </c>
      <c r="O43" s="1">
        <v>1</v>
      </c>
    </row>
    <row r="44" spans="1:15" ht="15.75" customHeight="1" x14ac:dyDescent="0.3">
      <c r="A44" s="15" t="s">
        <v>134</v>
      </c>
      <c r="B44" s="15" t="s">
        <v>182</v>
      </c>
      <c r="C44" s="17">
        <v>48</v>
      </c>
      <c r="D44" s="15"/>
      <c r="E44" s="15"/>
      <c r="F44" s="15">
        <v>28</v>
      </c>
      <c r="G44" s="18">
        <v>31.5</v>
      </c>
      <c r="H44" s="15">
        <v>43.8</v>
      </c>
      <c r="I44" s="15">
        <v>1.1000000000000001</v>
      </c>
      <c r="J44" s="15"/>
      <c r="K44" s="18"/>
      <c r="L44" s="15">
        <v>100</v>
      </c>
      <c r="M44" s="17">
        <v>3</v>
      </c>
      <c r="N44" s="1">
        <v>2</v>
      </c>
      <c r="O44" s="1">
        <v>2</v>
      </c>
    </row>
    <row r="45" spans="1:15" ht="15.75" customHeight="1" x14ac:dyDescent="0.3">
      <c r="A45" s="15"/>
      <c r="B45" s="16"/>
      <c r="C45" s="17"/>
      <c r="D45" s="15"/>
      <c r="E45" s="15"/>
      <c r="F45" s="15"/>
      <c r="G45" s="18"/>
      <c r="H45" s="15"/>
      <c r="I45" s="15"/>
      <c r="J45" s="15"/>
      <c r="K45" s="18"/>
      <c r="L45" s="15"/>
      <c r="M45" s="17"/>
      <c r="N45" s="1">
        <v>0</v>
      </c>
      <c r="O45" s="1">
        <v>0</v>
      </c>
    </row>
    <row r="46" spans="1:15" ht="15.75" customHeight="1" x14ac:dyDescent="0.3">
      <c r="A46" s="15" t="s">
        <v>141</v>
      </c>
      <c r="B46" s="26" t="s">
        <v>176</v>
      </c>
      <c r="C46" s="28">
        <v>83</v>
      </c>
      <c r="D46" s="15"/>
      <c r="E46" s="15"/>
      <c r="F46" s="30">
        <v>95</v>
      </c>
      <c r="G46" s="29">
        <v>0.59</v>
      </c>
      <c r="H46" s="30">
        <v>23.4</v>
      </c>
      <c r="I46" s="30">
        <v>0</v>
      </c>
      <c r="J46" s="15"/>
      <c r="K46" s="31">
        <v>400</v>
      </c>
      <c r="L46" s="15">
        <v>70</v>
      </c>
      <c r="M46" s="21">
        <v>4</v>
      </c>
      <c r="N46" s="1">
        <v>9</v>
      </c>
      <c r="O46" s="1">
        <v>18</v>
      </c>
    </row>
    <row r="47" spans="1:15" ht="15.75" customHeight="1" x14ac:dyDescent="0.3">
      <c r="A47" s="15" t="s">
        <v>141</v>
      </c>
      <c r="B47" s="26" t="s">
        <v>177</v>
      </c>
      <c r="C47" s="28">
        <v>84</v>
      </c>
      <c r="D47" s="15"/>
      <c r="E47" s="15"/>
      <c r="F47" s="30">
        <v>99</v>
      </c>
      <c r="G47" s="29">
        <v>34.6</v>
      </c>
      <c r="H47" s="30">
        <v>25.4</v>
      </c>
      <c r="I47" s="30">
        <v>2.2999999999999998</v>
      </c>
      <c r="J47" s="15"/>
      <c r="K47" s="29"/>
      <c r="L47" s="15">
        <v>93.33</v>
      </c>
      <c r="M47" s="21">
        <v>3</v>
      </c>
      <c r="N47" s="1">
        <v>11</v>
      </c>
      <c r="O47" s="1">
        <v>11</v>
      </c>
    </row>
    <row r="48" spans="1:15" ht="15.75" customHeight="1" x14ac:dyDescent="0.3">
      <c r="A48" s="15" t="s">
        <v>141</v>
      </c>
      <c r="B48" s="26" t="s">
        <v>179</v>
      </c>
      <c r="C48" s="28">
        <v>74</v>
      </c>
      <c r="D48" s="15"/>
      <c r="E48" s="15"/>
      <c r="F48" s="33">
        <v>99</v>
      </c>
      <c r="G48" s="29">
        <v>0.42</v>
      </c>
      <c r="H48" s="30">
        <v>22</v>
      </c>
      <c r="I48" s="30">
        <v>0</v>
      </c>
      <c r="J48" s="15"/>
      <c r="K48" s="29"/>
      <c r="L48" s="15">
        <v>52.38</v>
      </c>
      <c r="M48" s="21">
        <v>5</v>
      </c>
      <c r="N48" s="1">
        <v>7</v>
      </c>
      <c r="O48" s="1">
        <v>10</v>
      </c>
    </row>
    <row r="49" spans="1:15" ht="15.75" customHeight="1" x14ac:dyDescent="0.3">
      <c r="A49" s="15" t="s">
        <v>141</v>
      </c>
      <c r="B49" s="26" t="s">
        <v>179</v>
      </c>
      <c r="C49" s="28">
        <v>83</v>
      </c>
      <c r="D49" s="15"/>
      <c r="E49" s="15"/>
      <c r="F49" s="30">
        <v>99</v>
      </c>
      <c r="G49" s="34">
        <v>0.47249999999999998</v>
      </c>
      <c r="H49" s="30">
        <v>25.7</v>
      </c>
      <c r="I49" s="26">
        <v>0</v>
      </c>
      <c r="J49" s="15"/>
      <c r="K49" s="30">
        <v>400</v>
      </c>
      <c r="L49" s="15">
        <v>90</v>
      </c>
      <c r="M49" s="21">
        <v>5</v>
      </c>
      <c r="N49" s="1">
        <v>8</v>
      </c>
      <c r="O49" s="1">
        <v>9</v>
      </c>
    </row>
    <row r="50" spans="1:15" ht="15.75" customHeight="1" x14ac:dyDescent="0.3">
      <c r="A50" s="15" t="s">
        <v>141</v>
      </c>
      <c r="B50" s="26" t="s">
        <v>179</v>
      </c>
      <c r="C50" s="28">
        <v>83</v>
      </c>
      <c r="D50" s="15"/>
      <c r="E50" s="15"/>
      <c r="F50" s="30">
        <v>99</v>
      </c>
      <c r="G50" s="29">
        <v>32.6</v>
      </c>
      <c r="H50" s="30">
        <v>23.7</v>
      </c>
      <c r="I50" s="26">
        <v>0</v>
      </c>
      <c r="J50" s="15"/>
      <c r="K50" s="26">
        <v>400</v>
      </c>
      <c r="L50" s="15">
        <v>73.33</v>
      </c>
      <c r="M50" s="21">
        <v>5</v>
      </c>
      <c r="N50" s="1">
        <v>3</v>
      </c>
      <c r="O50" s="1">
        <v>3</v>
      </c>
    </row>
    <row r="51" spans="1:15" ht="15.75" customHeight="1" x14ac:dyDescent="0.3">
      <c r="A51" s="15" t="s">
        <v>141</v>
      </c>
      <c r="B51" s="26" t="s">
        <v>180</v>
      </c>
      <c r="C51" s="28">
        <v>83</v>
      </c>
      <c r="D51" s="15"/>
      <c r="E51" s="15"/>
      <c r="F51" s="30">
        <v>97</v>
      </c>
      <c r="G51" s="35">
        <v>0.53600000000000003</v>
      </c>
      <c r="H51" s="30">
        <v>24.9</v>
      </c>
      <c r="I51" s="30">
        <v>0</v>
      </c>
      <c r="J51" s="15"/>
      <c r="K51" s="30">
        <v>400</v>
      </c>
      <c r="L51" s="15">
        <v>90</v>
      </c>
      <c r="M51" s="21">
        <v>5</v>
      </c>
      <c r="N51" s="1">
        <v>5</v>
      </c>
      <c r="O51" s="1">
        <v>9</v>
      </c>
    </row>
    <row r="52" spans="1:15" ht="15.75" customHeight="1" x14ac:dyDescent="0.3">
      <c r="A52" s="15" t="s">
        <v>141</v>
      </c>
      <c r="B52" s="26" t="s">
        <v>180</v>
      </c>
      <c r="C52" s="28">
        <v>83</v>
      </c>
      <c r="D52" s="15"/>
      <c r="E52" s="15"/>
      <c r="F52" s="30">
        <v>99</v>
      </c>
      <c r="G52" s="29">
        <v>47.9</v>
      </c>
      <c r="H52" s="30">
        <v>24.1</v>
      </c>
      <c r="I52" s="30">
        <v>0.5</v>
      </c>
      <c r="J52" s="15"/>
      <c r="K52" s="30">
        <v>400</v>
      </c>
      <c r="L52" s="15">
        <v>80</v>
      </c>
      <c r="M52" s="21">
        <v>5</v>
      </c>
      <c r="N52" s="1">
        <v>1</v>
      </c>
      <c r="O52" s="1">
        <v>1</v>
      </c>
    </row>
    <row r="53" spans="1:15" ht="15.75" customHeight="1" x14ac:dyDescent="0.3">
      <c r="A53" s="15" t="s">
        <v>141</v>
      </c>
      <c r="B53" s="26" t="s">
        <v>181</v>
      </c>
      <c r="C53" s="28">
        <v>83</v>
      </c>
      <c r="D53" s="15"/>
      <c r="E53" s="15"/>
      <c r="F53" s="30">
        <v>99</v>
      </c>
      <c r="G53" s="29">
        <v>53.2</v>
      </c>
      <c r="H53" s="30">
        <v>27.5</v>
      </c>
      <c r="I53" s="30">
        <v>0</v>
      </c>
      <c r="J53" s="15"/>
      <c r="K53" s="30">
        <v>400</v>
      </c>
      <c r="L53" s="15">
        <v>93.33</v>
      </c>
      <c r="M53" s="21">
        <v>3</v>
      </c>
      <c r="N53" s="1">
        <v>4</v>
      </c>
      <c r="O53" s="1">
        <v>7</v>
      </c>
    </row>
    <row r="54" spans="1:15" ht="15.75" customHeight="1" x14ac:dyDescent="0.3">
      <c r="A54" s="15" t="s">
        <v>141</v>
      </c>
      <c r="B54" s="26" t="s">
        <v>181</v>
      </c>
      <c r="C54" s="28">
        <v>83</v>
      </c>
      <c r="D54" s="15"/>
      <c r="E54" s="15"/>
      <c r="F54" s="30">
        <v>99</v>
      </c>
      <c r="G54" s="29">
        <v>8.23</v>
      </c>
      <c r="H54" s="30">
        <v>23.7</v>
      </c>
      <c r="I54" s="30">
        <v>0</v>
      </c>
      <c r="J54" s="15"/>
      <c r="K54" s="30">
        <v>400</v>
      </c>
      <c r="L54" s="15">
        <v>93.33</v>
      </c>
      <c r="M54" s="21">
        <v>3</v>
      </c>
      <c r="N54" s="1">
        <v>2</v>
      </c>
      <c r="O54" s="1">
        <v>4</v>
      </c>
    </row>
    <row r="55" spans="1:15" ht="15.75" customHeight="1" x14ac:dyDescent="0.3">
      <c r="A55" s="15" t="s">
        <v>141</v>
      </c>
      <c r="B55" s="26" t="s">
        <v>182</v>
      </c>
      <c r="C55" s="28">
        <v>83</v>
      </c>
      <c r="D55" s="15"/>
      <c r="E55" s="15"/>
      <c r="F55" s="30">
        <v>77</v>
      </c>
      <c r="G55" s="29">
        <v>8.5399999999999991</v>
      </c>
      <c r="H55" s="30">
        <v>28</v>
      </c>
      <c r="I55" s="30">
        <v>1.75</v>
      </c>
      <c r="J55" s="15"/>
      <c r="K55" s="30">
        <v>400</v>
      </c>
      <c r="L55" s="15">
        <v>93.33</v>
      </c>
      <c r="M55" s="21">
        <v>3</v>
      </c>
      <c r="N55" s="1">
        <v>6</v>
      </c>
      <c r="O55" s="1">
        <v>12</v>
      </c>
    </row>
    <row r="56" spans="1:15" ht="15.75" customHeight="1" x14ac:dyDescent="0.3">
      <c r="A56" s="15" t="s">
        <v>141</v>
      </c>
      <c r="B56" s="26" t="s">
        <v>182</v>
      </c>
      <c r="C56" s="28">
        <v>83</v>
      </c>
      <c r="D56" s="15"/>
      <c r="E56" s="15"/>
      <c r="F56" s="30">
        <v>99</v>
      </c>
      <c r="G56" s="29">
        <v>7.51</v>
      </c>
      <c r="H56" s="30">
        <v>23.7</v>
      </c>
      <c r="I56" s="30">
        <v>0</v>
      </c>
      <c r="J56" s="15"/>
      <c r="K56" s="30">
        <v>400</v>
      </c>
      <c r="L56" s="15">
        <v>93.33</v>
      </c>
      <c r="M56" s="21">
        <v>3</v>
      </c>
      <c r="N56" s="1">
        <v>4</v>
      </c>
      <c r="O56" s="1">
        <v>15</v>
      </c>
    </row>
    <row r="57" spans="1:15" ht="15.75" customHeight="1" x14ac:dyDescent="0.3">
      <c r="A57" s="15" t="s">
        <v>141</v>
      </c>
      <c r="B57" s="27" t="s">
        <v>183</v>
      </c>
      <c r="C57" s="28">
        <v>86</v>
      </c>
      <c r="D57" s="15"/>
      <c r="E57" s="15"/>
      <c r="F57" s="30">
        <v>79</v>
      </c>
      <c r="G57" s="29">
        <v>73.7</v>
      </c>
      <c r="H57" s="30">
        <v>29.1</v>
      </c>
      <c r="I57" s="30">
        <v>1</v>
      </c>
      <c r="J57" s="15"/>
      <c r="K57" s="26"/>
      <c r="L57" s="15">
        <v>80</v>
      </c>
      <c r="M57" s="21">
        <v>3</v>
      </c>
      <c r="N57" s="1">
        <v>0</v>
      </c>
      <c r="O57" s="1">
        <v>0</v>
      </c>
    </row>
    <row r="58" spans="1:15" ht="15.75" customHeight="1" x14ac:dyDescent="0.3">
      <c r="A58" s="15" t="s">
        <v>141</v>
      </c>
      <c r="B58" s="27" t="s">
        <v>185</v>
      </c>
      <c r="C58" s="28">
        <v>90</v>
      </c>
      <c r="D58" s="15"/>
      <c r="E58" s="15"/>
      <c r="F58" s="33">
        <v>73</v>
      </c>
      <c r="G58" s="29">
        <v>50.3</v>
      </c>
      <c r="H58" s="30">
        <v>17</v>
      </c>
      <c r="I58" s="30">
        <v>0</v>
      </c>
      <c r="J58" s="15"/>
      <c r="K58" s="26"/>
      <c r="L58" s="15">
        <v>80</v>
      </c>
      <c r="M58" s="21"/>
      <c r="N58" s="1">
        <v>2</v>
      </c>
      <c r="O58" s="1">
        <v>2</v>
      </c>
    </row>
    <row r="59" spans="1:15" ht="15.75" customHeight="1" x14ac:dyDescent="0.3">
      <c r="A59" s="15" t="s">
        <v>141</v>
      </c>
      <c r="B59" s="27" t="s">
        <v>185</v>
      </c>
      <c r="C59" s="28">
        <v>86</v>
      </c>
      <c r="D59" s="15"/>
      <c r="E59" s="15"/>
      <c r="F59" s="30">
        <v>72</v>
      </c>
      <c r="G59" s="29">
        <v>50.4</v>
      </c>
      <c r="H59" s="30">
        <v>30.4</v>
      </c>
      <c r="I59" s="30">
        <v>0</v>
      </c>
      <c r="J59" s="15"/>
      <c r="K59" s="26"/>
      <c r="L59" s="15">
        <v>80</v>
      </c>
      <c r="M59" s="21">
        <v>1</v>
      </c>
      <c r="N59" s="1">
        <v>3</v>
      </c>
      <c r="O59" s="1">
        <v>7</v>
      </c>
    </row>
    <row r="60" spans="1:15" ht="15.75" customHeight="1" x14ac:dyDescent="0.3">
      <c r="A60" s="15" t="s">
        <v>141</v>
      </c>
      <c r="B60" s="27" t="s">
        <v>186</v>
      </c>
      <c r="C60" s="28">
        <v>86</v>
      </c>
      <c r="D60" s="15"/>
      <c r="E60" s="15"/>
      <c r="F60" s="30">
        <v>75</v>
      </c>
      <c r="G60" s="35">
        <v>0.71899999999999997</v>
      </c>
      <c r="H60" s="30">
        <v>25.8</v>
      </c>
      <c r="I60" s="30">
        <v>0</v>
      </c>
      <c r="J60" s="15"/>
      <c r="K60" s="26"/>
      <c r="L60" s="15">
        <v>80</v>
      </c>
      <c r="M60" s="21">
        <v>6</v>
      </c>
      <c r="N60" s="1">
        <v>0</v>
      </c>
      <c r="O60" s="1">
        <v>0</v>
      </c>
    </row>
    <row r="61" spans="1:15" ht="15.75" customHeight="1" x14ac:dyDescent="0.3">
      <c r="A61" s="15"/>
      <c r="B61" s="16"/>
      <c r="D61" s="15"/>
      <c r="E61" s="15"/>
      <c r="F61" s="15"/>
      <c r="G61" s="18"/>
      <c r="H61" s="15"/>
      <c r="I61" s="15"/>
      <c r="J61" s="15"/>
      <c r="K61" s="15"/>
      <c r="L61" s="15"/>
      <c r="M61" s="17"/>
      <c r="N61" s="1">
        <v>0</v>
      </c>
      <c r="O61" s="1">
        <v>0</v>
      </c>
    </row>
    <row r="62" spans="1:15" ht="15.75" customHeight="1" x14ac:dyDescent="0.3">
      <c r="A62" s="15" t="s">
        <v>146</v>
      </c>
      <c r="B62" s="23" t="s">
        <v>176</v>
      </c>
      <c r="C62" s="17">
        <v>117</v>
      </c>
      <c r="D62" s="15"/>
      <c r="E62" s="15"/>
      <c r="F62" s="15">
        <v>99</v>
      </c>
      <c r="G62" s="36">
        <v>0.27700000000000002</v>
      </c>
      <c r="H62" s="15">
        <v>26.4</v>
      </c>
      <c r="I62" s="15">
        <v>0</v>
      </c>
      <c r="J62" s="15">
        <v>100</v>
      </c>
      <c r="K62" s="15"/>
      <c r="L62" s="15">
        <v>23.81</v>
      </c>
      <c r="M62" s="17">
        <v>4</v>
      </c>
      <c r="N62" s="1">
        <v>6</v>
      </c>
      <c r="O62" s="1">
        <v>22</v>
      </c>
    </row>
    <row r="63" spans="1:15" ht="15.75" customHeight="1" x14ac:dyDescent="0.3">
      <c r="A63" s="15" t="s">
        <v>146</v>
      </c>
      <c r="B63" s="23" t="s">
        <v>177</v>
      </c>
      <c r="C63" s="17">
        <v>119</v>
      </c>
      <c r="D63" s="15"/>
      <c r="E63" s="15"/>
      <c r="F63" s="15">
        <v>92</v>
      </c>
      <c r="G63" s="18">
        <v>0.78</v>
      </c>
      <c r="H63" s="15">
        <v>24.6</v>
      </c>
      <c r="I63" s="15">
        <v>0</v>
      </c>
      <c r="J63" s="15">
        <v>5</v>
      </c>
      <c r="K63" s="15"/>
      <c r="L63" s="15">
        <v>100</v>
      </c>
      <c r="M63" s="17">
        <v>3</v>
      </c>
      <c r="N63" s="1">
        <v>9</v>
      </c>
      <c r="O63" s="1">
        <v>14</v>
      </c>
    </row>
    <row r="64" spans="1:15" ht="15.75" customHeight="1" x14ac:dyDescent="0.3">
      <c r="A64" s="15" t="s">
        <v>146</v>
      </c>
      <c r="B64" s="23" t="s">
        <v>179</v>
      </c>
      <c r="C64" s="17">
        <v>119</v>
      </c>
      <c r="D64" s="15"/>
      <c r="E64" s="15"/>
      <c r="F64" s="15">
        <v>94</v>
      </c>
      <c r="G64" s="36">
        <v>0.50800000000000001</v>
      </c>
      <c r="H64" s="15">
        <v>24.8</v>
      </c>
      <c r="I64" s="15">
        <v>0</v>
      </c>
      <c r="J64" s="15">
        <v>5</v>
      </c>
      <c r="K64" s="15"/>
      <c r="L64" s="15">
        <v>100</v>
      </c>
      <c r="M64" s="17">
        <v>5</v>
      </c>
      <c r="N64" s="1">
        <v>8</v>
      </c>
      <c r="O64" s="1">
        <v>8</v>
      </c>
    </row>
    <row r="65" spans="1:15" ht="15.75" customHeight="1" x14ac:dyDescent="0.3">
      <c r="A65" s="15" t="s">
        <v>146</v>
      </c>
      <c r="B65" s="23" t="s">
        <v>179</v>
      </c>
      <c r="C65" s="17">
        <v>105</v>
      </c>
      <c r="D65" s="15"/>
      <c r="E65" s="15"/>
      <c r="F65" s="15">
        <v>94</v>
      </c>
      <c r="G65" s="36">
        <v>0.5</v>
      </c>
      <c r="H65" s="15">
        <v>24.8</v>
      </c>
      <c r="I65" s="15">
        <v>0</v>
      </c>
      <c r="J65" s="15">
        <v>100</v>
      </c>
      <c r="K65" s="15"/>
      <c r="L65" s="15">
        <v>66.67</v>
      </c>
      <c r="M65" s="17">
        <v>5</v>
      </c>
      <c r="N65" s="1">
        <v>2</v>
      </c>
      <c r="O65" s="1">
        <v>6</v>
      </c>
    </row>
    <row r="66" spans="1:15" ht="15.75" customHeight="1" x14ac:dyDescent="0.3">
      <c r="A66" s="15" t="s">
        <v>146</v>
      </c>
      <c r="B66" s="23" t="s">
        <v>179</v>
      </c>
      <c r="C66" s="17">
        <v>108</v>
      </c>
      <c r="D66" s="15"/>
      <c r="E66" s="15"/>
      <c r="F66" s="20">
        <v>94</v>
      </c>
      <c r="G66" s="36">
        <v>0.5</v>
      </c>
      <c r="H66" s="15">
        <v>23</v>
      </c>
      <c r="I66" s="15">
        <v>0</v>
      </c>
      <c r="J66" s="15">
        <v>100</v>
      </c>
      <c r="K66" s="15"/>
      <c r="L66" s="15">
        <v>66.67</v>
      </c>
      <c r="M66" s="17">
        <v>5</v>
      </c>
      <c r="N66" s="1">
        <v>5</v>
      </c>
      <c r="O66" s="1">
        <v>5</v>
      </c>
    </row>
    <row r="67" spans="1:15" ht="15.75" customHeight="1" x14ac:dyDescent="0.3">
      <c r="A67" s="15" t="s">
        <v>146</v>
      </c>
      <c r="B67" s="23" t="s">
        <v>179</v>
      </c>
      <c r="C67" s="17">
        <v>111</v>
      </c>
      <c r="D67" s="15"/>
      <c r="E67" s="15"/>
      <c r="F67" s="20">
        <v>94</v>
      </c>
      <c r="G67" s="36">
        <v>0.5</v>
      </c>
      <c r="H67" s="15">
        <v>22</v>
      </c>
      <c r="I67" s="15">
        <v>0</v>
      </c>
      <c r="J67" s="15">
        <v>100</v>
      </c>
      <c r="K67" s="15"/>
      <c r="L67" s="15">
        <v>66.67</v>
      </c>
      <c r="M67" s="17">
        <v>5</v>
      </c>
      <c r="N67" s="1">
        <v>1</v>
      </c>
      <c r="O67" s="1">
        <v>1</v>
      </c>
    </row>
    <row r="68" spans="1:15" ht="15.75" customHeight="1" x14ac:dyDescent="0.3">
      <c r="A68" s="15" t="s">
        <v>146</v>
      </c>
      <c r="B68" s="23" t="s">
        <v>181</v>
      </c>
      <c r="C68" s="17">
        <v>105</v>
      </c>
      <c r="D68" s="15"/>
      <c r="E68" s="15"/>
      <c r="F68" s="15">
        <v>99</v>
      </c>
      <c r="G68" s="18">
        <v>7.59</v>
      </c>
      <c r="H68" s="15">
        <v>23.9</v>
      </c>
      <c r="I68" s="15">
        <v>0</v>
      </c>
      <c r="J68" s="15">
        <v>100</v>
      </c>
      <c r="K68" s="15">
        <v>500</v>
      </c>
      <c r="L68" s="15">
        <v>66.67</v>
      </c>
      <c r="M68" s="17">
        <v>3</v>
      </c>
      <c r="N68" s="1">
        <v>5</v>
      </c>
      <c r="O68" s="1">
        <v>6</v>
      </c>
    </row>
    <row r="69" spans="1:15" ht="15.75" customHeight="1" x14ac:dyDescent="0.3">
      <c r="A69" s="15" t="s">
        <v>146</v>
      </c>
      <c r="B69" s="23" t="s">
        <v>182</v>
      </c>
      <c r="C69" s="17">
        <v>105</v>
      </c>
      <c r="D69" s="15"/>
      <c r="E69" s="15"/>
      <c r="F69" s="15">
        <v>99</v>
      </c>
      <c r="G69" s="18">
        <v>13.05</v>
      </c>
      <c r="H69" s="15">
        <v>25.9</v>
      </c>
      <c r="I69" s="15">
        <v>0.45</v>
      </c>
      <c r="J69" s="15">
        <v>100</v>
      </c>
      <c r="K69" s="15">
        <v>500</v>
      </c>
      <c r="L69" s="15">
        <v>100</v>
      </c>
      <c r="M69" s="17">
        <v>3</v>
      </c>
      <c r="N69" s="1">
        <v>4</v>
      </c>
      <c r="O69" s="1">
        <v>4</v>
      </c>
    </row>
    <row r="70" spans="1:15" ht="15.75" customHeight="1" x14ac:dyDescent="0.3">
      <c r="A70" s="15" t="s">
        <v>146</v>
      </c>
      <c r="B70" s="23" t="s">
        <v>184</v>
      </c>
      <c r="C70" s="17">
        <v>105</v>
      </c>
      <c r="D70" s="15"/>
      <c r="E70" s="15"/>
      <c r="F70" s="15">
        <v>93</v>
      </c>
      <c r="G70" s="18">
        <v>6.64</v>
      </c>
      <c r="H70" s="15">
        <v>26</v>
      </c>
      <c r="I70" s="15">
        <v>0</v>
      </c>
      <c r="J70" s="15">
        <v>100</v>
      </c>
      <c r="K70" s="15">
        <v>500</v>
      </c>
      <c r="L70" s="15">
        <v>100</v>
      </c>
      <c r="M70" s="17">
        <v>2</v>
      </c>
      <c r="N70" s="1">
        <v>7</v>
      </c>
      <c r="O70" s="1">
        <v>13</v>
      </c>
    </row>
    <row r="71" spans="1:15" ht="15.75" customHeight="1" x14ac:dyDescent="0.3">
      <c r="A71" s="15" t="s">
        <v>146</v>
      </c>
      <c r="B71" s="23" t="s">
        <v>184</v>
      </c>
      <c r="C71" s="17">
        <v>118</v>
      </c>
      <c r="D71" s="15"/>
      <c r="E71" s="15"/>
      <c r="F71" s="15">
        <v>59</v>
      </c>
      <c r="G71" s="18">
        <v>39.5</v>
      </c>
      <c r="H71" s="15">
        <v>31.13</v>
      </c>
      <c r="I71" s="15">
        <v>2.1</v>
      </c>
      <c r="J71" s="15">
        <v>100</v>
      </c>
      <c r="K71" s="15"/>
      <c r="L71" s="15">
        <v>100</v>
      </c>
      <c r="M71" s="17">
        <v>2</v>
      </c>
      <c r="N71" s="1">
        <v>4</v>
      </c>
      <c r="O71" s="1">
        <v>9</v>
      </c>
    </row>
    <row r="72" spans="1:15" ht="15.75" customHeight="1" x14ac:dyDescent="0.3">
      <c r="A72" s="15" t="s">
        <v>146</v>
      </c>
      <c r="B72" s="23" t="s">
        <v>184</v>
      </c>
      <c r="C72" s="17">
        <v>118</v>
      </c>
      <c r="D72" s="15"/>
      <c r="E72" s="15"/>
      <c r="F72" s="15">
        <v>80</v>
      </c>
      <c r="G72" s="18">
        <v>6.56</v>
      </c>
      <c r="H72" s="15">
        <v>23.9</v>
      </c>
      <c r="I72" s="15">
        <v>0</v>
      </c>
      <c r="J72" s="15">
        <v>100</v>
      </c>
      <c r="K72" s="15"/>
      <c r="L72" s="15">
        <v>95.24</v>
      </c>
      <c r="M72" s="17">
        <v>2</v>
      </c>
      <c r="N72" s="1">
        <v>0</v>
      </c>
      <c r="O72" s="1">
        <v>0</v>
      </c>
    </row>
    <row r="73" spans="1:15" ht="15.75" customHeight="1" x14ac:dyDescent="0.3">
      <c r="A73" s="15" t="s">
        <v>146</v>
      </c>
      <c r="B73" s="23" t="s">
        <v>183</v>
      </c>
      <c r="C73" s="17">
        <v>118</v>
      </c>
      <c r="D73" s="15"/>
      <c r="E73" s="15"/>
      <c r="F73" s="15">
        <v>79</v>
      </c>
      <c r="G73" s="18">
        <v>15.5</v>
      </c>
      <c r="H73" s="15">
        <v>28.3</v>
      </c>
      <c r="I73" s="15">
        <v>0</v>
      </c>
      <c r="J73" s="15">
        <v>100</v>
      </c>
      <c r="K73" s="15"/>
      <c r="L73" s="15">
        <v>100</v>
      </c>
      <c r="M73" s="17">
        <v>3</v>
      </c>
      <c r="N73" s="1">
        <v>3</v>
      </c>
      <c r="O73" s="1">
        <v>3</v>
      </c>
    </row>
    <row r="74" spans="1:15" ht="15.75" customHeight="1" x14ac:dyDescent="0.3">
      <c r="A74" s="15" t="s">
        <v>146</v>
      </c>
      <c r="B74" s="23" t="s">
        <v>183</v>
      </c>
      <c r="C74" s="17">
        <v>118</v>
      </c>
      <c r="D74" s="15"/>
      <c r="E74" s="15"/>
      <c r="F74" s="15">
        <v>79</v>
      </c>
      <c r="G74" s="18">
        <v>4.87</v>
      </c>
      <c r="H74" s="15">
        <v>25.2</v>
      </c>
      <c r="I74" s="15">
        <v>0</v>
      </c>
      <c r="J74" s="15">
        <v>100</v>
      </c>
      <c r="K74" s="15"/>
      <c r="L74" s="15">
        <v>71.430000000000007</v>
      </c>
      <c r="M74" s="17">
        <v>3</v>
      </c>
      <c r="N74" s="1">
        <v>0</v>
      </c>
      <c r="O74" s="1">
        <v>0</v>
      </c>
    </row>
    <row r="75" spans="1:15" ht="15.75" customHeight="1" x14ac:dyDescent="0.3">
      <c r="A75" s="15" t="s">
        <v>146</v>
      </c>
      <c r="B75" s="23" t="s">
        <v>185</v>
      </c>
      <c r="C75" s="17">
        <v>118</v>
      </c>
      <c r="D75" s="15"/>
      <c r="E75" s="15"/>
      <c r="F75" s="15">
        <v>86</v>
      </c>
      <c r="G75" s="18">
        <v>19.5</v>
      </c>
      <c r="H75" s="15">
        <v>27.4</v>
      </c>
      <c r="I75" s="15">
        <v>2.9</v>
      </c>
      <c r="J75" s="15">
        <v>100</v>
      </c>
      <c r="K75" s="15"/>
      <c r="L75" s="15">
        <v>71.430000000000007</v>
      </c>
      <c r="M75" s="17">
        <v>1</v>
      </c>
      <c r="N75" s="1">
        <v>3</v>
      </c>
      <c r="O75" s="1">
        <v>5</v>
      </c>
    </row>
    <row r="76" spans="1:15" ht="15.75" customHeight="1" x14ac:dyDescent="0.3">
      <c r="A76" s="15" t="s">
        <v>146</v>
      </c>
      <c r="B76" s="23" t="s">
        <v>186</v>
      </c>
      <c r="C76" s="17">
        <v>118</v>
      </c>
      <c r="D76" s="15"/>
      <c r="E76" s="15"/>
      <c r="F76" s="15">
        <v>79</v>
      </c>
      <c r="G76" s="18">
        <v>0.56999999999999995</v>
      </c>
      <c r="H76" s="15">
        <v>24.8</v>
      </c>
      <c r="I76" s="15">
        <v>0</v>
      </c>
      <c r="J76" s="15">
        <v>100</v>
      </c>
      <c r="K76" s="15"/>
      <c r="L76" s="15">
        <v>100</v>
      </c>
      <c r="M76" s="17">
        <v>6</v>
      </c>
      <c r="N76" s="1">
        <v>3</v>
      </c>
      <c r="O76" s="1">
        <v>4</v>
      </c>
    </row>
    <row r="77" spans="1:15" ht="15.75" customHeight="1" x14ac:dyDescent="0.3">
      <c r="A77" s="15" t="s">
        <v>146</v>
      </c>
      <c r="B77" s="23" t="s">
        <v>186</v>
      </c>
      <c r="C77" s="17">
        <v>105</v>
      </c>
      <c r="D77" s="15"/>
      <c r="E77" s="15"/>
      <c r="F77" s="15">
        <v>96</v>
      </c>
      <c r="G77" s="18">
        <v>15.05</v>
      </c>
      <c r="H77" s="15">
        <v>30.2</v>
      </c>
      <c r="I77" s="15">
        <v>0</v>
      </c>
      <c r="J77" s="15">
        <v>100</v>
      </c>
      <c r="K77" s="15">
        <v>500</v>
      </c>
      <c r="L77" s="15">
        <v>66.67</v>
      </c>
      <c r="M77" s="17">
        <v>6</v>
      </c>
      <c r="N77" s="1">
        <v>2</v>
      </c>
      <c r="O77" s="1">
        <v>6</v>
      </c>
    </row>
    <row r="78" spans="1:15" ht="15.75" customHeight="1" x14ac:dyDescent="0.3">
      <c r="A78" s="15" t="s">
        <v>146</v>
      </c>
      <c r="B78" s="15" t="s">
        <v>186</v>
      </c>
      <c r="C78" s="17">
        <v>118</v>
      </c>
      <c r="D78" s="15"/>
      <c r="E78" s="15"/>
      <c r="F78" s="15">
        <v>57</v>
      </c>
      <c r="G78" s="18">
        <v>153.19999999999999</v>
      </c>
      <c r="H78" s="15">
        <v>30.2</v>
      </c>
      <c r="I78" s="15">
        <v>0.4</v>
      </c>
      <c r="J78" s="15">
        <v>100</v>
      </c>
      <c r="K78" s="15"/>
      <c r="L78" s="15">
        <v>71.430000000000007</v>
      </c>
      <c r="M78" s="17">
        <v>6</v>
      </c>
      <c r="N78" s="1">
        <v>2</v>
      </c>
      <c r="O78" s="1">
        <v>3</v>
      </c>
    </row>
    <row r="79" spans="1:15" ht="15.75" customHeight="1" x14ac:dyDescent="0.3">
      <c r="A79" s="15"/>
      <c r="B79" s="37"/>
      <c r="C79" s="17"/>
      <c r="D79" s="15"/>
      <c r="E79" s="15"/>
      <c r="F79" s="15"/>
      <c r="G79" s="18"/>
      <c r="H79" s="15"/>
      <c r="I79" s="15"/>
      <c r="J79" s="15"/>
      <c r="K79" s="15"/>
      <c r="L79" s="15"/>
      <c r="M79" s="17"/>
      <c r="N79" s="1">
        <v>0</v>
      </c>
      <c r="O79" s="1">
        <v>0</v>
      </c>
    </row>
    <row r="80" spans="1:15" ht="15.75" customHeight="1" x14ac:dyDescent="0.3">
      <c r="A80" s="15" t="s">
        <v>153</v>
      </c>
      <c r="B80" s="23" t="s">
        <v>176</v>
      </c>
      <c r="C80" s="17">
        <v>133</v>
      </c>
      <c r="D80" s="15"/>
      <c r="E80" s="15"/>
      <c r="F80" s="15">
        <v>98</v>
      </c>
      <c r="G80" s="18">
        <v>7.54</v>
      </c>
      <c r="H80" s="15">
        <v>25.8</v>
      </c>
      <c r="I80" s="15">
        <v>0</v>
      </c>
      <c r="J80" s="15">
        <v>100</v>
      </c>
      <c r="K80" s="15"/>
      <c r="L80" s="15">
        <v>55.4</v>
      </c>
      <c r="M80" s="17">
        <v>4</v>
      </c>
      <c r="N80" s="1">
        <v>5</v>
      </c>
      <c r="O80" s="1">
        <v>7</v>
      </c>
    </row>
    <row r="81" spans="1:15" ht="15.75" customHeight="1" x14ac:dyDescent="0.3">
      <c r="A81" s="15" t="s">
        <v>153</v>
      </c>
      <c r="B81" s="23" t="s">
        <v>176</v>
      </c>
      <c r="C81" s="17">
        <v>146</v>
      </c>
      <c r="D81" s="15"/>
      <c r="E81" s="15"/>
      <c r="F81" s="15">
        <v>99</v>
      </c>
      <c r="G81" s="18">
        <v>6.06</v>
      </c>
      <c r="H81" s="15">
        <v>25.35</v>
      </c>
      <c r="I81" s="15">
        <v>0</v>
      </c>
      <c r="J81" s="15">
        <v>100</v>
      </c>
      <c r="K81" s="15"/>
      <c r="L81" s="15">
        <v>95.24</v>
      </c>
      <c r="M81" s="17">
        <v>4</v>
      </c>
      <c r="N81" s="1">
        <v>9</v>
      </c>
      <c r="O81" s="1">
        <v>9</v>
      </c>
    </row>
    <row r="82" spans="1:15" ht="15.75" customHeight="1" x14ac:dyDescent="0.3">
      <c r="A82" s="15" t="s">
        <v>153</v>
      </c>
      <c r="B82" s="23" t="s">
        <v>177</v>
      </c>
      <c r="C82" s="17">
        <v>146</v>
      </c>
      <c r="D82" s="15"/>
      <c r="E82" s="15"/>
      <c r="F82" s="15">
        <v>98</v>
      </c>
      <c r="G82" s="18">
        <v>0.77</v>
      </c>
      <c r="H82" s="15">
        <v>22.6</v>
      </c>
      <c r="I82" s="15">
        <v>0</v>
      </c>
      <c r="J82" s="15">
        <v>100</v>
      </c>
      <c r="K82" s="15"/>
      <c r="L82" s="15">
        <v>71.430000000000007</v>
      </c>
      <c r="M82" s="17">
        <v>3</v>
      </c>
      <c r="N82" s="1">
        <v>8</v>
      </c>
      <c r="O82" s="1">
        <v>14</v>
      </c>
    </row>
    <row r="83" spans="1:15" ht="15.75" customHeight="1" x14ac:dyDescent="0.3">
      <c r="A83" s="15" t="s">
        <v>153</v>
      </c>
      <c r="B83" s="23" t="s">
        <v>177</v>
      </c>
      <c r="C83" s="17">
        <v>132</v>
      </c>
      <c r="D83" s="15"/>
      <c r="E83" s="15"/>
      <c r="F83" s="15">
        <v>82</v>
      </c>
      <c r="G83" s="36">
        <v>0.19800000000000001</v>
      </c>
      <c r="H83" s="15">
        <v>24.3</v>
      </c>
      <c r="I83" s="15">
        <v>0</v>
      </c>
      <c r="J83" s="15">
        <v>20</v>
      </c>
      <c r="K83" s="15"/>
      <c r="L83" s="15">
        <v>47.62</v>
      </c>
      <c r="M83" s="17">
        <v>3</v>
      </c>
      <c r="N83" s="1">
        <v>9</v>
      </c>
      <c r="O83" s="1">
        <v>12</v>
      </c>
    </row>
    <row r="84" spans="1:15" ht="15.75" customHeight="1" x14ac:dyDescent="0.3">
      <c r="A84" s="15" t="s">
        <v>153</v>
      </c>
      <c r="B84" s="23" t="s">
        <v>179</v>
      </c>
      <c r="C84" s="17">
        <v>144</v>
      </c>
      <c r="D84" s="15"/>
      <c r="E84" s="15"/>
      <c r="F84" s="15">
        <v>98</v>
      </c>
      <c r="G84" s="18">
        <v>3.69</v>
      </c>
      <c r="H84" s="15">
        <v>22.35</v>
      </c>
      <c r="I84" s="15">
        <v>0</v>
      </c>
      <c r="J84" s="15">
        <v>0</v>
      </c>
      <c r="K84" s="15"/>
      <c r="L84" s="15">
        <v>100</v>
      </c>
      <c r="M84" s="17">
        <v>5</v>
      </c>
      <c r="N84" s="1">
        <v>3</v>
      </c>
      <c r="O84" s="1">
        <v>7</v>
      </c>
    </row>
    <row r="85" spans="1:15" ht="15.75" customHeight="1" x14ac:dyDescent="0.3">
      <c r="A85" s="15" t="s">
        <v>153</v>
      </c>
      <c r="B85" s="23" t="s">
        <v>179</v>
      </c>
      <c r="C85" s="17">
        <v>144</v>
      </c>
      <c r="D85" s="15"/>
      <c r="E85" s="15"/>
      <c r="F85" s="15">
        <v>98</v>
      </c>
      <c r="G85" s="18">
        <v>3.69</v>
      </c>
      <c r="H85" s="15">
        <v>22.35</v>
      </c>
      <c r="I85" s="15">
        <v>0</v>
      </c>
      <c r="J85" s="15">
        <v>0</v>
      </c>
      <c r="K85" s="15"/>
      <c r="L85" s="15">
        <v>100</v>
      </c>
      <c r="M85" s="17">
        <v>5</v>
      </c>
      <c r="N85" s="1">
        <v>13</v>
      </c>
      <c r="O85" s="1">
        <v>14</v>
      </c>
    </row>
    <row r="86" spans="1:15" ht="15.75" customHeight="1" x14ac:dyDescent="0.3">
      <c r="A86" s="15" t="s">
        <v>153</v>
      </c>
      <c r="B86" s="23" t="s">
        <v>179</v>
      </c>
      <c r="C86" s="17">
        <v>132</v>
      </c>
      <c r="D86" s="15"/>
      <c r="E86" s="15"/>
      <c r="F86" s="15">
        <v>90</v>
      </c>
      <c r="G86" s="36">
        <v>3.5000000000000003E-2</v>
      </c>
      <c r="H86" s="15">
        <v>24.2</v>
      </c>
      <c r="I86" s="15">
        <v>0</v>
      </c>
      <c r="J86" s="15">
        <v>20</v>
      </c>
      <c r="K86" s="15"/>
      <c r="L86" s="15">
        <v>100</v>
      </c>
      <c r="M86" s="17">
        <v>5</v>
      </c>
      <c r="N86" s="1">
        <v>1</v>
      </c>
      <c r="O86" s="1">
        <v>1</v>
      </c>
    </row>
    <row r="87" spans="1:15" ht="15.75" customHeight="1" x14ac:dyDescent="0.3">
      <c r="A87" s="15" t="s">
        <v>153</v>
      </c>
      <c r="B87" s="23" t="s">
        <v>179</v>
      </c>
      <c r="C87" s="17">
        <v>133</v>
      </c>
      <c r="D87" s="15"/>
      <c r="E87" s="15"/>
      <c r="F87" s="15">
        <v>61</v>
      </c>
      <c r="G87" s="36">
        <v>9.4E-2</v>
      </c>
      <c r="H87" s="15">
        <v>25.5</v>
      </c>
      <c r="I87" s="15">
        <v>0</v>
      </c>
      <c r="J87" s="15">
        <v>15</v>
      </c>
      <c r="K87" s="15"/>
      <c r="L87" s="15">
        <v>71.430000000000007</v>
      </c>
      <c r="M87" s="17">
        <v>5</v>
      </c>
      <c r="N87" s="1">
        <v>6</v>
      </c>
      <c r="O87" s="1">
        <v>8</v>
      </c>
    </row>
    <row r="88" spans="1:15" ht="15.75" customHeight="1" x14ac:dyDescent="0.3">
      <c r="A88" s="15" t="s">
        <v>153</v>
      </c>
      <c r="B88" s="23" t="s">
        <v>179</v>
      </c>
      <c r="C88" s="17">
        <v>145</v>
      </c>
      <c r="D88" s="15"/>
      <c r="E88" s="15"/>
      <c r="F88" s="15">
        <v>65</v>
      </c>
      <c r="G88" s="36">
        <v>3.5000000000000003E-2</v>
      </c>
      <c r="H88" s="15">
        <v>25.7</v>
      </c>
      <c r="I88" s="15">
        <v>0</v>
      </c>
      <c r="J88" s="15">
        <v>100</v>
      </c>
      <c r="K88" s="15">
        <v>560</v>
      </c>
      <c r="L88" s="15">
        <v>100</v>
      </c>
      <c r="M88" s="17">
        <v>5</v>
      </c>
      <c r="N88" s="1">
        <v>3</v>
      </c>
      <c r="O88" s="1">
        <v>3</v>
      </c>
    </row>
    <row r="89" spans="1:15" ht="15.75" customHeight="1" x14ac:dyDescent="0.3">
      <c r="A89" s="15" t="s">
        <v>153</v>
      </c>
      <c r="B89" s="23" t="s">
        <v>180</v>
      </c>
      <c r="C89" s="17">
        <v>144</v>
      </c>
      <c r="D89" s="15"/>
      <c r="E89" s="15"/>
      <c r="F89" s="15">
        <v>85</v>
      </c>
      <c r="G89" s="18">
        <v>3.81</v>
      </c>
      <c r="H89" s="15">
        <v>25</v>
      </c>
      <c r="I89" s="15">
        <v>0</v>
      </c>
      <c r="J89" s="15">
        <v>78.33</v>
      </c>
      <c r="K89" s="15"/>
      <c r="L89" s="15">
        <v>100</v>
      </c>
      <c r="M89" s="17">
        <v>5</v>
      </c>
      <c r="N89" s="1">
        <v>3</v>
      </c>
      <c r="O89" s="1">
        <v>3</v>
      </c>
    </row>
    <row r="90" spans="1:15" ht="15.75" customHeight="1" x14ac:dyDescent="0.3">
      <c r="A90" s="15" t="s">
        <v>153</v>
      </c>
      <c r="B90" s="23" t="s">
        <v>180</v>
      </c>
      <c r="C90" s="17">
        <v>133</v>
      </c>
      <c r="D90" s="15"/>
      <c r="E90" s="15"/>
      <c r="F90" s="15">
        <v>61</v>
      </c>
      <c r="G90" s="18">
        <v>4.78</v>
      </c>
      <c r="H90" s="15">
        <v>28.7</v>
      </c>
      <c r="I90" s="15">
        <v>0</v>
      </c>
      <c r="J90" s="15">
        <v>100</v>
      </c>
      <c r="K90" s="15"/>
      <c r="L90" s="15">
        <v>66.67</v>
      </c>
      <c r="M90" s="17">
        <v>5</v>
      </c>
      <c r="N90" s="1">
        <v>0</v>
      </c>
      <c r="O90" s="1">
        <v>0</v>
      </c>
    </row>
    <row r="91" spans="1:15" ht="15.75" customHeight="1" x14ac:dyDescent="0.3">
      <c r="A91" s="15" t="s">
        <v>153</v>
      </c>
      <c r="B91" s="23" t="s">
        <v>180</v>
      </c>
      <c r="C91" s="17">
        <v>133</v>
      </c>
      <c r="D91" s="15"/>
      <c r="E91" s="15"/>
      <c r="F91" s="15">
        <v>47</v>
      </c>
      <c r="G91" s="36">
        <v>0.74399999999999999</v>
      </c>
      <c r="H91" s="15">
        <v>29.9</v>
      </c>
      <c r="I91" s="15">
        <v>0</v>
      </c>
      <c r="J91" s="15">
        <v>2</v>
      </c>
      <c r="K91" s="15"/>
      <c r="L91" s="15">
        <v>95.24</v>
      </c>
      <c r="M91" s="17">
        <v>5</v>
      </c>
      <c r="N91" s="1">
        <v>2</v>
      </c>
      <c r="O91" s="1">
        <v>2</v>
      </c>
    </row>
    <row r="92" spans="1:15" ht="15.75" customHeight="1" x14ac:dyDescent="0.3">
      <c r="A92" s="15" t="s">
        <v>153</v>
      </c>
      <c r="B92" s="23" t="s">
        <v>180</v>
      </c>
      <c r="C92" s="17">
        <v>145</v>
      </c>
      <c r="D92" s="15"/>
      <c r="E92" s="15"/>
      <c r="F92" s="15">
        <v>50</v>
      </c>
      <c r="G92" s="36">
        <v>0.7</v>
      </c>
      <c r="H92" s="15">
        <v>26.3</v>
      </c>
      <c r="I92" s="15">
        <v>0</v>
      </c>
      <c r="J92" s="15">
        <v>100</v>
      </c>
      <c r="K92" s="15">
        <v>560</v>
      </c>
      <c r="L92" s="15">
        <v>47.62</v>
      </c>
      <c r="M92" s="17">
        <v>5</v>
      </c>
      <c r="N92" s="1">
        <v>2</v>
      </c>
      <c r="O92" s="1">
        <v>5</v>
      </c>
    </row>
    <row r="93" spans="1:15" ht="15.75" customHeight="1" x14ac:dyDescent="0.3">
      <c r="A93" s="15" t="s">
        <v>153</v>
      </c>
      <c r="B93" s="23" t="s">
        <v>181</v>
      </c>
      <c r="C93" s="17">
        <v>144</v>
      </c>
      <c r="D93" s="15"/>
      <c r="E93" s="15"/>
      <c r="F93" s="15">
        <v>85</v>
      </c>
      <c r="G93" s="18">
        <v>13.84</v>
      </c>
      <c r="H93" s="15">
        <v>26.7</v>
      </c>
      <c r="I93" s="15">
        <v>0</v>
      </c>
      <c r="J93" s="15">
        <v>100</v>
      </c>
      <c r="K93" s="15"/>
      <c r="L93" s="15">
        <v>95.24</v>
      </c>
      <c r="M93" s="17">
        <v>3</v>
      </c>
      <c r="N93" s="1">
        <v>4</v>
      </c>
      <c r="O93" s="1">
        <v>6</v>
      </c>
    </row>
    <row r="94" spans="1:15" ht="15.75" customHeight="1" x14ac:dyDescent="0.3">
      <c r="A94" s="15" t="s">
        <v>153</v>
      </c>
      <c r="B94" s="23" t="s">
        <v>181</v>
      </c>
      <c r="C94" s="17">
        <v>133</v>
      </c>
      <c r="D94" s="15"/>
      <c r="E94" s="15"/>
      <c r="F94" s="15">
        <v>55</v>
      </c>
      <c r="G94" s="18">
        <v>55.3</v>
      </c>
      <c r="H94" s="15">
        <v>30.2</v>
      </c>
      <c r="I94" s="15">
        <v>0</v>
      </c>
      <c r="J94" s="15">
        <v>100</v>
      </c>
      <c r="K94" s="15"/>
      <c r="L94" s="15">
        <v>95.24</v>
      </c>
      <c r="M94" s="17">
        <v>3</v>
      </c>
      <c r="N94" s="1">
        <v>0</v>
      </c>
      <c r="O94" s="1">
        <v>0</v>
      </c>
    </row>
    <row r="95" spans="1:15" ht="15.75" customHeight="1" x14ac:dyDescent="0.3">
      <c r="A95" s="15" t="s">
        <v>153</v>
      </c>
      <c r="B95" s="23" t="s">
        <v>181</v>
      </c>
      <c r="C95" s="17">
        <v>133</v>
      </c>
      <c r="D95" s="15"/>
      <c r="E95" s="15"/>
      <c r="F95" s="15">
        <v>51</v>
      </c>
      <c r="G95" s="18">
        <v>26.78</v>
      </c>
      <c r="H95" s="15">
        <v>30.7</v>
      </c>
      <c r="I95" s="15">
        <v>0</v>
      </c>
      <c r="J95" s="15">
        <v>23.33</v>
      </c>
      <c r="K95" s="15"/>
      <c r="L95" s="15">
        <v>100</v>
      </c>
      <c r="M95" s="17">
        <v>3</v>
      </c>
      <c r="N95" s="1">
        <v>2</v>
      </c>
      <c r="O95" s="1">
        <v>2</v>
      </c>
    </row>
    <row r="96" spans="1:15" ht="15.75" customHeight="1" x14ac:dyDescent="0.3">
      <c r="A96" s="15" t="s">
        <v>153</v>
      </c>
      <c r="B96" s="23" t="s">
        <v>182</v>
      </c>
      <c r="C96" s="17">
        <v>144</v>
      </c>
      <c r="D96" s="15"/>
      <c r="E96" s="15"/>
      <c r="F96" s="15">
        <v>90</v>
      </c>
      <c r="G96" s="18">
        <v>8.44</v>
      </c>
      <c r="H96" s="15">
        <v>27.4</v>
      </c>
      <c r="I96" s="15">
        <v>0.8</v>
      </c>
      <c r="J96" s="15">
        <v>100</v>
      </c>
      <c r="K96" s="15"/>
      <c r="L96" s="15">
        <v>100</v>
      </c>
      <c r="M96" s="17">
        <v>3</v>
      </c>
      <c r="N96" s="1">
        <v>12</v>
      </c>
      <c r="O96" s="1">
        <v>17</v>
      </c>
    </row>
    <row r="97" spans="1:15" ht="15.75" customHeight="1" x14ac:dyDescent="0.3">
      <c r="A97" s="15" t="s">
        <v>153</v>
      </c>
      <c r="B97" s="16" t="s">
        <v>182</v>
      </c>
      <c r="C97" s="17">
        <v>133</v>
      </c>
      <c r="D97" s="15"/>
      <c r="E97" s="15"/>
      <c r="F97" s="15">
        <v>58</v>
      </c>
      <c r="G97" s="18">
        <v>30.1</v>
      </c>
      <c r="H97" s="15">
        <v>29.1</v>
      </c>
      <c r="I97" s="15">
        <v>0</v>
      </c>
      <c r="J97" s="15">
        <v>98.75</v>
      </c>
      <c r="K97" s="15"/>
      <c r="L97" s="15">
        <v>100</v>
      </c>
      <c r="M97" s="17">
        <v>3</v>
      </c>
      <c r="N97" s="1">
        <v>2</v>
      </c>
      <c r="O97" s="1">
        <v>2</v>
      </c>
    </row>
    <row r="98" spans="1:15" ht="15.75" customHeight="1" x14ac:dyDescent="0.3">
      <c r="A98" s="15" t="s">
        <v>153</v>
      </c>
      <c r="B98" s="23" t="s">
        <v>184</v>
      </c>
      <c r="C98" s="17">
        <v>143</v>
      </c>
      <c r="D98" s="15"/>
      <c r="E98" s="15"/>
      <c r="F98" s="15">
        <v>77</v>
      </c>
      <c r="G98" s="36">
        <v>1.79</v>
      </c>
      <c r="H98" s="15">
        <v>23.98</v>
      </c>
      <c r="I98" s="15">
        <v>0.83</v>
      </c>
      <c r="J98" s="15">
        <v>100</v>
      </c>
      <c r="K98" s="15">
        <v>850</v>
      </c>
      <c r="L98" s="15">
        <v>76.19</v>
      </c>
      <c r="M98" s="17">
        <v>2</v>
      </c>
      <c r="N98" s="1">
        <v>3</v>
      </c>
      <c r="O98" s="1">
        <v>3</v>
      </c>
    </row>
    <row r="99" spans="1:15" ht="15.75" customHeight="1" x14ac:dyDescent="0.3">
      <c r="A99" s="15" t="s">
        <v>153</v>
      </c>
      <c r="B99" s="23" t="s">
        <v>184</v>
      </c>
      <c r="C99" s="17">
        <v>145</v>
      </c>
      <c r="D99" s="15"/>
      <c r="E99" s="15"/>
      <c r="F99" s="15">
        <v>78</v>
      </c>
      <c r="G99" s="36">
        <v>20.350000000000001</v>
      </c>
      <c r="H99" s="15">
        <v>22.55</v>
      </c>
      <c r="I99" s="15">
        <v>0</v>
      </c>
      <c r="J99" s="15">
        <v>38.33</v>
      </c>
      <c r="K99" s="1">
        <v>560</v>
      </c>
      <c r="L99" s="15">
        <v>100</v>
      </c>
      <c r="M99" s="17">
        <v>2</v>
      </c>
      <c r="N99" s="1">
        <v>6</v>
      </c>
      <c r="O99" s="1">
        <v>14</v>
      </c>
    </row>
    <row r="100" spans="1:15" ht="15.75" customHeight="1" x14ac:dyDescent="0.3">
      <c r="A100" s="15" t="s">
        <v>153</v>
      </c>
      <c r="B100" s="23" t="s">
        <v>184</v>
      </c>
      <c r="C100" s="17">
        <v>143</v>
      </c>
      <c r="D100" s="15"/>
      <c r="E100" s="15"/>
      <c r="F100" s="15">
        <v>98</v>
      </c>
      <c r="G100" s="36">
        <v>3.05</v>
      </c>
      <c r="H100" s="15">
        <v>21.7</v>
      </c>
      <c r="I100" s="15">
        <v>0.9</v>
      </c>
      <c r="J100" s="15">
        <v>100</v>
      </c>
      <c r="K100" s="15">
        <v>850</v>
      </c>
      <c r="L100" s="15">
        <v>100</v>
      </c>
      <c r="M100" s="17">
        <v>2</v>
      </c>
      <c r="N100" s="1">
        <v>1</v>
      </c>
      <c r="O100" s="1">
        <v>1</v>
      </c>
    </row>
    <row r="101" spans="1:15" ht="15.75" customHeight="1" x14ac:dyDescent="0.3">
      <c r="A101" s="15" t="s">
        <v>153</v>
      </c>
      <c r="B101" s="23" t="s">
        <v>184</v>
      </c>
      <c r="C101" s="17">
        <v>145</v>
      </c>
      <c r="D101" s="15"/>
      <c r="E101" s="15"/>
      <c r="F101" s="15">
        <v>77</v>
      </c>
      <c r="G101" s="36">
        <v>12.54</v>
      </c>
      <c r="H101" s="15">
        <v>25.3</v>
      </c>
      <c r="I101" s="15">
        <v>1</v>
      </c>
      <c r="J101" s="15">
        <v>100</v>
      </c>
      <c r="K101" s="15">
        <v>560</v>
      </c>
      <c r="L101" s="15">
        <v>100</v>
      </c>
      <c r="M101" s="17">
        <v>2</v>
      </c>
      <c r="N101" s="1">
        <v>1</v>
      </c>
      <c r="O101" s="1">
        <v>5</v>
      </c>
    </row>
    <row r="102" spans="1:15" ht="15.75" customHeight="1" x14ac:dyDescent="0.3">
      <c r="A102" s="15" t="s">
        <v>153</v>
      </c>
      <c r="B102" s="23" t="s">
        <v>183</v>
      </c>
      <c r="C102" s="17">
        <v>143</v>
      </c>
      <c r="D102" s="15"/>
      <c r="E102" s="15"/>
      <c r="F102" s="15">
        <v>95</v>
      </c>
      <c r="G102" s="18">
        <v>10.69</v>
      </c>
      <c r="H102" s="15">
        <v>22.8</v>
      </c>
      <c r="I102" s="15">
        <v>1.2</v>
      </c>
      <c r="J102" s="15">
        <v>100</v>
      </c>
      <c r="K102" s="15">
        <v>850</v>
      </c>
      <c r="L102" s="15">
        <v>100</v>
      </c>
      <c r="M102" s="17">
        <v>3</v>
      </c>
      <c r="N102" s="1">
        <v>4</v>
      </c>
      <c r="O102" s="1">
        <v>7</v>
      </c>
    </row>
    <row r="103" spans="1:15" ht="15.75" customHeight="1" x14ac:dyDescent="0.3">
      <c r="A103" s="15" t="s">
        <v>153</v>
      </c>
      <c r="B103" s="23" t="s">
        <v>183</v>
      </c>
      <c r="C103" s="17">
        <v>145</v>
      </c>
      <c r="D103" s="15"/>
      <c r="E103" s="15"/>
      <c r="F103" s="15">
        <v>95</v>
      </c>
      <c r="G103" s="18">
        <v>5.99</v>
      </c>
      <c r="H103" s="15">
        <v>25.7</v>
      </c>
      <c r="I103" s="15">
        <v>0</v>
      </c>
      <c r="J103" s="15">
        <v>100</v>
      </c>
      <c r="K103" s="15">
        <v>560</v>
      </c>
      <c r="L103" s="15">
        <v>100</v>
      </c>
      <c r="M103" s="17">
        <v>3</v>
      </c>
      <c r="N103" s="1">
        <v>5</v>
      </c>
      <c r="O103" s="1">
        <v>7</v>
      </c>
    </row>
    <row r="104" spans="1:15" ht="15.75" customHeight="1" x14ac:dyDescent="0.3">
      <c r="A104" s="15" t="s">
        <v>153</v>
      </c>
      <c r="B104" s="16" t="s">
        <v>183</v>
      </c>
      <c r="C104" s="17">
        <v>143</v>
      </c>
      <c r="D104" s="15"/>
      <c r="E104" s="15"/>
      <c r="F104" s="15">
        <v>98</v>
      </c>
      <c r="G104" s="18">
        <v>3.61</v>
      </c>
      <c r="H104" s="15">
        <v>23</v>
      </c>
      <c r="I104" s="15">
        <v>0</v>
      </c>
      <c r="J104" s="15">
        <v>100</v>
      </c>
      <c r="K104" s="15">
        <v>850</v>
      </c>
      <c r="L104" s="15">
        <v>76.19</v>
      </c>
      <c r="M104" s="17">
        <v>3</v>
      </c>
      <c r="N104" s="1">
        <v>0</v>
      </c>
      <c r="O104" s="1">
        <v>0</v>
      </c>
    </row>
    <row r="105" spans="1:15" ht="15.75" customHeight="1" x14ac:dyDescent="0.3">
      <c r="A105" s="15" t="s">
        <v>153</v>
      </c>
      <c r="B105" s="23" t="s">
        <v>183</v>
      </c>
      <c r="C105" s="17">
        <v>145</v>
      </c>
      <c r="D105" s="15"/>
      <c r="E105" s="15"/>
      <c r="F105" s="15">
        <v>80</v>
      </c>
      <c r="G105" s="18">
        <v>6.89</v>
      </c>
      <c r="H105" s="15">
        <v>24.3</v>
      </c>
      <c r="I105" s="15">
        <v>0.87</v>
      </c>
      <c r="J105" s="15">
        <v>100</v>
      </c>
      <c r="K105" s="15">
        <v>560</v>
      </c>
      <c r="L105" s="15">
        <v>100</v>
      </c>
      <c r="M105" s="17">
        <v>3</v>
      </c>
      <c r="N105" s="1">
        <v>2</v>
      </c>
      <c r="O105" s="1">
        <v>2</v>
      </c>
    </row>
    <row r="106" spans="1:15" ht="15.75" customHeight="1" x14ac:dyDescent="0.3">
      <c r="A106" s="15" t="s">
        <v>153</v>
      </c>
      <c r="B106" s="23" t="s">
        <v>185</v>
      </c>
      <c r="C106" s="17">
        <v>143</v>
      </c>
      <c r="D106" s="15"/>
      <c r="E106" s="15"/>
      <c r="F106" s="15">
        <v>80</v>
      </c>
      <c r="G106" s="36">
        <v>14.7</v>
      </c>
      <c r="H106" s="15">
        <v>24.13</v>
      </c>
      <c r="I106" s="15">
        <v>2.1</v>
      </c>
      <c r="J106" s="15">
        <v>100</v>
      </c>
      <c r="K106" s="15">
        <v>850</v>
      </c>
      <c r="L106" s="15">
        <v>100</v>
      </c>
      <c r="M106" s="17">
        <v>1</v>
      </c>
      <c r="N106" s="1">
        <v>3</v>
      </c>
      <c r="O106" s="1">
        <v>11</v>
      </c>
    </row>
    <row r="107" spans="1:15" ht="15.75" customHeight="1" x14ac:dyDescent="0.3">
      <c r="A107" s="15" t="s">
        <v>153</v>
      </c>
      <c r="B107" s="23" t="s">
        <v>185</v>
      </c>
      <c r="C107" s="17">
        <v>145</v>
      </c>
      <c r="D107" s="15"/>
      <c r="E107" s="15"/>
      <c r="F107" s="15">
        <v>99</v>
      </c>
      <c r="G107" s="36">
        <v>12.46</v>
      </c>
      <c r="H107" s="15">
        <v>22.9</v>
      </c>
      <c r="I107" s="15">
        <v>0</v>
      </c>
      <c r="J107" s="15">
        <v>100</v>
      </c>
      <c r="K107" s="15">
        <v>560</v>
      </c>
      <c r="L107" s="15">
        <v>95.24</v>
      </c>
      <c r="M107" s="17">
        <v>1</v>
      </c>
      <c r="N107" s="1">
        <v>4</v>
      </c>
      <c r="O107" s="1">
        <v>5</v>
      </c>
    </row>
    <row r="108" spans="1:15" ht="15.75" customHeight="1" x14ac:dyDescent="0.3">
      <c r="A108" s="15" t="s">
        <v>153</v>
      </c>
      <c r="B108" s="16" t="s">
        <v>185</v>
      </c>
      <c r="C108" s="17">
        <v>143</v>
      </c>
      <c r="D108" s="15"/>
      <c r="E108" s="15"/>
      <c r="F108" s="15">
        <v>99</v>
      </c>
      <c r="G108" s="18">
        <v>8.2799999999999994</v>
      </c>
      <c r="H108" s="15">
        <v>24.2</v>
      </c>
      <c r="I108" s="15">
        <v>0</v>
      </c>
      <c r="J108" s="15">
        <v>100</v>
      </c>
      <c r="K108" s="15">
        <v>850</v>
      </c>
      <c r="L108" s="15">
        <v>76.19</v>
      </c>
      <c r="M108" s="17">
        <v>1</v>
      </c>
      <c r="N108" s="1">
        <v>0</v>
      </c>
      <c r="O108" s="1">
        <v>0</v>
      </c>
    </row>
    <row r="109" spans="1:15" ht="15.75" customHeight="1" x14ac:dyDescent="0.3">
      <c r="A109" s="15" t="s">
        <v>153</v>
      </c>
      <c r="B109" s="16" t="s">
        <v>185</v>
      </c>
      <c r="C109" s="17">
        <v>145</v>
      </c>
      <c r="D109" s="15"/>
      <c r="E109" s="15"/>
      <c r="F109" s="15">
        <v>99</v>
      </c>
      <c r="G109" s="18">
        <v>7.19</v>
      </c>
      <c r="H109" s="15">
        <v>23.4</v>
      </c>
      <c r="I109" s="15">
        <v>1.5</v>
      </c>
      <c r="J109" s="15">
        <v>100</v>
      </c>
      <c r="K109" s="15">
        <v>560</v>
      </c>
      <c r="L109" s="15">
        <v>76.19</v>
      </c>
      <c r="M109" s="17">
        <v>1</v>
      </c>
      <c r="N109" s="1">
        <v>0</v>
      </c>
      <c r="O109" s="1">
        <v>0</v>
      </c>
    </row>
    <row r="110" spans="1:15" ht="15.75" customHeight="1" x14ac:dyDescent="0.3">
      <c r="A110" s="15" t="s">
        <v>153</v>
      </c>
      <c r="B110" s="23" t="s">
        <v>186</v>
      </c>
      <c r="C110" s="17">
        <v>143</v>
      </c>
      <c r="D110" s="15"/>
      <c r="E110" s="15"/>
      <c r="F110" s="15">
        <v>95</v>
      </c>
      <c r="G110" s="18">
        <v>1.44</v>
      </c>
      <c r="H110" s="15">
        <v>25.1</v>
      </c>
      <c r="I110" s="15">
        <v>0</v>
      </c>
      <c r="J110" s="15">
        <v>100</v>
      </c>
      <c r="K110" s="15">
        <v>850</v>
      </c>
      <c r="L110" s="15">
        <v>76.19</v>
      </c>
      <c r="M110" s="17">
        <v>6</v>
      </c>
      <c r="N110" s="1">
        <v>2</v>
      </c>
      <c r="O110" s="1">
        <v>7</v>
      </c>
    </row>
    <row r="111" spans="1:15" ht="15.75" customHeight="1" x14ac:dyDescent="0.3">
      <c r="A111" s="15" t="s">
        <v>153</v>
      </c>
      <c r="B111" s="23" t="s">
        <v>186</v>
      </c>
      <c r="C111" s="17">
        <v>145</v>
      </c>
      <c r="D111" s="15"/>
      <c r="E111" s="15"/>
      <c r="F111" s="15">
        <v>99</v>
      </c>
      <c r="G111" s="18">
        <v>0.54</v>
      </c>
      <c r="H111" s="15">
        <v>21.9</v>
      </c>
      <c r="I111" s="15">
        <v>0</v>
      </c>
      <c r="J111" s="15">
        <v>100</v>
      </c>
      <c r="K111" s="15">
        <v>560</v>
      </c>
      <c r="L111" s="15">
        <v>76.19</v>
      </c>
      <c r="M111" s="17">
        <v>6</v>
      </c>
      <c r="N111" s="1">
        <v>3</v>
      </c>
      <c r="O111" s="1">
        <v>3</v>
      </c>
    </row>
    <row r="112" spans="1:15" ht="15.75" customHeight="1" x14ac:dyDescent="0.3">
      <c r="A112" s="15" t="s">
        <v>153</v>
      </c>
      <c r="B112" s="23" t="s">
        <v>186</v>
      </c>
      <c r="C112" s="17">
        <v>143</v>
      </c>
      <c r="D112" s="15"/>
      <c r="E112" s="15"/>
      <c r="F112" s="15">
        <v>99</v>
      </c>
      <c r="G112" s="18">
        <v>0.63</v>
      </c>
      <c r="H112" s="15">
        <v>25.1</v>
      </c>
      <c r="I112" s="15">
        <v>0</v>
      </c>
      <c r="J112" s="15">
        <v>100</v>
      </c>
      <c r="K112" s="15">
        <v>850</v>
      </c>
      <c r="L112" s="15">
        <v>95.24</v>
      </c>
      <c r="M112" s="17">
        <v>6</v>
      </c>
      <c r="N112" s="1">
        <v>3</v>
      </c>
      <c r="O112" s="1">
        <v>8</v>
      </c>
    </row>
    <row r="113" spans="1:15" ht="15.75" customHeight="1" x14ac:dyDescent="0.3">
      <c r="A113" s="15" t="s">
        <v>153</v>
      </c>
      <c r="B113" s="23" t="s">
        <v>186</v>
      </c>
      <c r="C113" s="17">
        <v>145</v>
      </c>
      <c r="D113" s="15"/>
      <c r="E113" s="15"/>
      <c r="F113" s="15">
        <v>99</v>
      </c>
      <c r="G113" s="18">
        <v>1.67</v>
      </c>
      <c r="H113" s="15">
        <v>25.2</v>
      </c>
      <c r="I113" s="15">
        <v>0</v>
      </c>
      <c r="J113" s="15">
        <v>100</v>
      </c>
      <c r="K113" s="15">
        <v>560</v>
      </c>
      <c r="L113" s="15">
        <v>14.29</v>
      </c>
      <c r="M113" s="17">
        <v>6</v>
      </c>
      <c r="N113" s="1">
        <v>3</v>
      </c>
      <c r="O113" s="1">
        <v>4</v>
      </c>
    </row>
    <row r="114" spans="1:15" ht="15.75" customHeight="1" x14ac:dyDescent="0.3">
      <c r="A114" s="15"/>
      <c r="C114" s="38"/>
      <c r="D114" s="15"/>
      <c r="E114" s="15"/>
      <c r="F114" s="15"/>
      <c r="G114" s="18"/>
      <c r="H114" s="15"/>
      <c r="I114" s="15"/>
      <c r="J114" s="15"/>
      <c r="K114" s="15"/>
      <c r="L114" s="15"/>
      <c r="M114" s="17"/>
      <c r="N114" s="1">
        <v>0</v>
      </c>
      <c r="O114" s="1">
        <v>0</v>
      </c>
    </row>
    <row r="115" spans="1:15" ht="15.75" customHeight="1" x14ac:dyDescent="0.3">
      <c r="A115" s="15" t="s">
        <v>158</v>
      </c>
      <c r="B115" s="23" t="s">
        <v>176</v>
      </c>
      <c r="C115" s="5">
        <v>160</v>
      </c>
      <c r="D115" s="15"/>
      <c r="E115" s="15"/>
      <c r="F115" s="15">
        <v>96</v>
      </c>
      <c r="G115" s="18">
        <v>1.1399999999999999</v>
      </c>
      <c r="H115" s="15">
        <v>26.4</v>
      </c>
      <c r="I115" s="15">
        <v>0</v>
      </c>
      <c r="J115" s="15">
        <v>22</v>
      </c>
      <c r="K115" s="15">
        <v>450</v>
      </c>
      <c r="L115" s="15">
        <v>71.42</v>
      </c>
      <c r="M115" s="17">
        <v>4</v>
      </c>
      <c r="N115" s="1">
        <v>4</v>
      </c>
      <c r="O115" s="1">
        <v>7</v>
      </c>
    </row>
    <row r="116" spans="1:15" ht="15.75" customHeight="1" x14ac:dyDescent="0.3">
      <c r="A116" s="15" t="s">
        <v>158</v>
      </c>
      <c r="B116" s="23" t="s">
        <v>176</v>
      </c>
      <c r="C116" s="5">
        <v>169</v>
      </c>
      <c r="D116" s="15"/>
      <c r="E116" s="15"/>
      <c r="F116" s="15">
        <v>99</v>
      </c>
      <c r="G116" s="18">
        <v>8.51</v>
      </c>
      <c r="H116" s="15">
        <v>26.5</v>
      </c>
      <c r="I116" s="15">
        <v>0</v>
      </c>
      <c r="J116" s="15">
        <v>36.659999999999997</v>
      </c>
      <c r="K116" s="15"/>
      <c r="L116" s="15">
        <v>95.24</v>
      </c>
      <c r="M116" s="17">
        <v>4</v>
      </c>
      <c r="N116" s="1">
        <v>9</v>
      </c>
      <c r="O116" s="1">
        <v>9</v>
      </c>
    </row>
    <row r="117" spans="1:15" ht="15.75" customHeight="1" x14ac:dyDescent="0.3">
      <c r="A117" s="15" t="s">
        <v>158</v>
      </c>
      <c r="B117" s="23" t="s">
        <v>176</v>
      </c>
      <c r="C117" s="5">
        <v>174</v>
      </c>
      <c r="D117" s="15"/>
      <c r="E117" s="15"/>
      <c r="F117" s="15">
        <v>99</v>
      </c>
      <c r="G117" s="18">
        <v>8.52</v>
      </c>
      <c r="H117" s="15">
        <v>26.5</v>
      </c>
      <c r="I117" s="15">
        <v>0</v>
      </c>
      <c r="J117" s="15">
        <v>100</v>
      </c>
      <c r="K117" s="15"/>
      <c r="L117" s="15">
        <v>95.24</v>
      </c>
      <c r="M117" s="17">
        <v>4</v>
      </c>
      <c r="N117" s="1">
        <v>5</v>
      </c>
      <c r="O117" s="1">
        <v>6</v>
      </c>
    </row>
    <row r="118" spans="1:15" ht="15.75" customHeight="1" x14ac:dyDescent="0.3">
      <c r="A118" s="15" t="s">
        <v>158</v>
      </c>
      <c r="B118" s="23" t="s">
        <v>178</v>
      </c>
      <c r="C118" s="5">
        <v>169</v>
      </c>
      <c r="D118" s="15"/>
      <c r="E118" s="15"/>
      <c r="F118" s="15">
        <v>99</v>
      </c>
      <c r="G118" s="18">
        <v>6.93</v>
      </c>
      <c r="H118" s="15">
        <v>23.5</v>
      </c>
      <c r="I118" s="15">
        <v>0</v>
      </c>
      <c r="J118" s="15">
        <v>98</v>
      </c>
      <c r="K118" s="15"/>
      <c r="L118" s="15">
        <v>95.24</v>
      </c>
      <c r="M118" s="17">
        <v>3</v>
      </c>
      <c r="N118" s="1">
        <v>7</v>
      </c>
      <c r="O118" s="1">
        <v>7</v>
      </c>
    </row>
    <row r="119" spans="1:15" ht="15.75" customHeight="1" x14ac:dyDescent="0.3">
      <c r="A119" s="15" t="s">
        <v>158</v>
      </c>
      <c r="B119" s="23" t="s">
        <v>178</v>
      </c>
      <c r="C119" s="5">
        <v>175</v>
      </c>
      <c r="D119" s="15"/>
      <c r="E119" s="15"/>
      <c r="F119" s="15">
        <v>99</v>
      </c>
      <c r="G119" s="18">
        <v>6.8</v>
      </c>
      <c r="H119" s="15">
        <v>23.5</v>
      </c>
      <c r="I119" s="15">
        <v>0</v>
      </c>
      <c r="J119" s="15">
        <v>100</v>
      </c>
      <c r="K119" s="15"/>
      <c r="L119" s="15">
        <v>95.24</v>
      </c>
      <c r="M119" s="17">
        <v>3</v>
      </c>
      <c r="N119" s="1">
        <v>1</v>
      </c>
      <c r="O119" s="1">
        <v>1</v>
      </c>
    </row>
    <row r="120" spans="1:15" ht="15.75" customHeight="1" x14ac:dyDescent="0.3">
      <c r="A120" s="15" t="s">
        <v>158</v>
      </c>
      <c r="B120" s="23" t="s">
        <v>179</v>
      </c>
      <c r="C120" s="5">
        <v>167</v>
      </c>
      <c r="D120" s="15"/>
      <c r="E120" s="15"/>
      <c r="F120" s="15">
        <v>89</v>
      </c>
      <c r="G120" s="18">
        <v>2.74</v>
      </c>
      <c r="H120" s="15">
        <v>23.5</v>
      </c>
      <c r="I120" s="15">
        <v>0</v>
      </c>
      <c r="J120" s="15">
        <v>0</v>
      </c>
      <c r="K120" s="15">
        <v>600</v>
      </c>
      <c r="L120" s="15">
        <v>95.24</v>
      </c>
      <c r="M120" s="17">
        <v>5</v>
      </c>
      <c r="N120" s="1">
        <v>13</v>
      </c>
      <c r="O120" s="1">
        <v>16</v>
      </c>
    </row>
    <row r="121" spans="1:15" ht="15.75" customHeight="1" x14ac:dyDescent="0.3">
      <c r="A121" s="15" t="s">
        <v>158</v>
      </c>
      <c r="B121" s="23" t="s">
        <v>179</v>
      </c>
      <c r="C121" s="5">
        <v>169</v>
      </c>
      <c r="D121" s="15"/>
      <c r="E121" s="15"/>
      <c r="F121" s="15">
        <v>99</v>
      </c>
      <c r="G121" s="18">
        <v>0.32</v>
      </c>
      <c r="H121" s="15">
        <v>21.5</v>
      </c>
      <c r="I121" s="15">
        <v>0</v>
      </c>
      <c r="J121" s="15">
        <v>100</v>
      </c>
      <c r="K121" s="15"/>
      <c r="L121" s="1">
        <v>100</v>
      </c>
      <c r="M121" s="17">
        <v>5</v>
      </c>
      <c r="N121" s="1">
        <v>3</v>
      </c>
      <c r="O121" s="1">
        <v>3</v>
      </c>
    </row>
    <row r="122" spans="1:15" ht="15.75" customHeight="1" x14ac:dyDescent="0.3">
      <c r="A122" s="15" t="s">
        <v>158</v>
      </c>
      <c r="B122" s="23" t="s">
        <v>179</v>
      </c>
      <c r="C122" s="5">
        <v>160</v>
      </c>
      <c r="D122" s="15"/>
      <c r="E122" s="15"/>
      <c r="F122" s="15">
        <v>87</v>
      </c>
      <c r="G122" s="18">
        <v>0.03</v>
      </c>
      <c r="H122" s="15">
        <v>23.2</v>
      </c>
      <c r="I122" s="15">
        <v>0</v>
      </c>
      <c r="J122" s="15">
        <v>100</v>
      </c>
      <c r="K122" s="15">
        <v>450</v>
      </c>
      <c r="L122" s="15">
        <v>71.42</v>
      </c>
      <c r="M122" s="17">
        <v>5</v>
      </c>
      <c r="N122" s="1">
        <v>3</v>
      </c>
      <c r="O122" s="1">
        <v>3</v>
      </c>
    </row>
    <row r="123" spans="1:15" ht="15.75" customHeight="1" x14ac:dyDescent="0.3">
      <c r="A123" s="15" t="s">
        <v>158</v>
      </c>
      <c r="B123" s="23" t="s">
        <v>179</v>
      </c>
      <c r="C123" s="5">
        <v>168</v>
      </c>
      <c r="D123" s="15"/>
      <c r="E123" s="15"/>
      <c r="F123" s="15">
        <v>85</v>
      </c>
      <c r="G123" s="18">
        <v>0.04</v>
      </c>
      <c r="H123" s="15">
        <v>23.2</v>
      </c>
      <c r="I123" s="15">
        <v>0</v>
      </c>
      <c r="J123" s="15">
        <v>50</v>
      </c>
      <c r="K123" s="15">
        <v>600</v>
      </c>
      <c r="L123" s="15">
        <v>100</v>
      </c>
      <c r="M123" s="17">
        <v>5</v>
      </c>
      <c r="N123" s="1">
        <v>1</v>
      </c>
      <c r="O123" s="1">
        <v>1</v>
      </c>
    </row>
    <row r="124" spans="1:15" ht="15.75" customHeight="1" x14ac:dyDescent="0.3">
      <c r="A124" s="15" t="s">
        <v>158</v>
      </c>
      <c r="B124" s="23" t="s">
        <v>180</v>
      </c>
      <c r="C124" s="5">
        <v>167</v>
      </c>
      <c r="D124" s="15"/>
      <c r="E124" s="15"/>
      <c r="F124" s="15">
        <v>88</v>
      </c>
      <c r="G124" s="18">
        <v>0.69</v>
      </c>
      <c r="H124" s="15">
        <v>23.4</v>
      </c>
      <c r="I124" s="15">
        <v>6</v>
      </c>
      <c r="J124" s="15">
        <v>100</v>
      </c>
      <c r="K124" s="15">
        <v>600</v>
      </c>
      <c r="L124" s="15">
        <v>100</v>
      </c>
      <c r="M124" s="17">
        <v>5</v>
      </c>
      <c r="N124" s="1">
        <v>8</v>
      </c>
      <c r="O124" s="1">
        <v>9</v>
      </c>
    </row>
    <row r="125" spans="1:15" ht="15.75" customHeight="1" x14ac:dyDescent="0.3">
      <c r="A125" s="15" t="s">
        <v>158</v>
      </c>
      <c r="B125" s="23" t="s">
        <v>180</v>
      </c>
      <c r="C125" s="5">
        <v>168</v>
      </c>
      <c r="D125" s="15"/>
      <c r="E125" s="15"/>
      <c r="F125" s="15">
        <v>88</v>
      </c>
      <c r="G125" s="18">
        <v>1.86</v>
      </c>
      <c r="H125" s="15">
        <v>27.2</v>
      </c>
      <c r="I125" s="15">
        <v>0.6</v>
      </c>
      <c r="J125" s="15">
        <v>100</v>
      </c>
      <c r="K125" s="15">
        <v>600</v>
      </c>
      <c r="L125" s="15">
        <v>100</v>
      </c>
      <c r="M125" s="17">
        <v>5</v>
      </c>
      <c r="N125" s="1">
        <v>4</v>
      </c>
      <c r="O125" s="1">
        <v>4</v>
      </c>
    </row>
    <row r="126" spans="1:15" ht="15.75" customHeight="1" x14ac:dyDescent="0.3">
      <c r="A126" s="15" t="s">
        <v>158</v>
      </c>
      <c r="B126" s="23" t="s">
        <v>181</v>
      </c>
      <c r="C126" s="5">
        <v>167</v>
      </c>
      <c r="D126" s="15"/>
      <c r="E126" s="15"/>
      <c r="F126" s="15">
        <v>80</v>
      </c>
      <c r="G126" s="18">
        <v>51.6</v>
      </c>
      <c r="H126" s="15">
        <v>28.7</v>
      </c>
      <c r="I126" s="15">
        <v>2.5</v>
      </c>
      <c r="J126" s="15">
        <v>0</v>
      </c>
      <c r="K126" s="15">
        <v>600</v>
      </c>
      <c r="L126" s="15">
        <v>100</v>
      </c>
      <c r="M126" s="17">
        <v>3</v>
      </c>
      <c r="N126" s="1">
        <v>5</v>
      </c>
      <c r="O126" s="1">
        <v>5</v>
      </c>
    </row>
    <row r="127" spans="1:15" ht="15.75" customHeight="1" x14ac:dyDescent="0.3">
      <c r="A127" s="15" t="s">
        <v>158</v>
      </c>
      <c r="B127" s="23" t="s">
        <v>182</v>
      </c>
      <c r="C127" s="5">
        <v>167</v>
      </c>
      <c r="D127" s="15"/>
      <c r="E127" s="15"/>
      <c r="F127" s="15">
        <v>71</v>
      </c>
      <c r="G127" s="18">
        <v>7.17</v>
      </c>
      <c r="H127" s="15">
        <v>26.1</v>
      </c>
      <c r="I127" s="15">
        <v>1.9</v>
      </c>
      <c r="J127" s="15">
        <v>0</v>
      </c>
      <c r="K127" s="15">
        <v>600</v>
      </c>
      <c r="L127" s="15">
        <v>100</v>
      </c>
      <c r="M127" s="17">
        <v>3</v>
      </c>
      <c r="N127" s="1">
        <v>9</v>
      </c>
      <c r="O127" s="1">
        <v>11</v>
      </c>
    </row>
    <row r="128" spans="1:15" ht="15.75" customHeight="1" x14ac:dyDescent="0.3">
      <c r="A128" s="15" t="s">
        <v>158</v>
      </c>
      <c r="B128" s="23" t="s">
        <v>182</v>
      </c>
      <c r="C128" s="5">
        <v>174</v>
      </c>
      <c r="D128" s="15"/>
      <c r="E128" s="15"/>
      <c r="F128" s="15">
        <v>74</v>
      </c>
      <c r="G128" s="18">
        <v>7.5</v>
      </c>
      <c r="H128" s="15">
        <v>26</v>
      </c>
      <c r="I128" s="15">
        <v>0</v>
      </c>
      <c r="J128" s="15">
        <v>100</v>
      </c>
      <c r="K128" s="15"/>
      <c r="L128" s="15">
        <v>100</v>
      </c>
      <c r="M128" s="17">
        <v>3</v>
      </c>
      <c r="N128" s="1">
        <v>1</v>
      </c>
      <c r="O128" s="1">
        <v>1</v>
      </c>
    </row>
    <row r="129" spans="1:15" ht="15.75" customHeight="1" x14ac:dyDescent="0.3">
      <c r="A129" s="15" t="s">
        <v>158</v>
      </c>
      <c r="B129" s="23" t="s">
        <v>182</v>
      </c>
      <c r="C129" s="5">
        <v>168</v>
      </c>
      <c r="D129" s="15"/>
      <c r="E129" s="15"/>
      <c r="F129" s="15">
        <v>54</v>
      </c>
      <c r="G129" s="18">
        <v>10.85</v>
      </c>
      <c r="H129" s="15">
        <v>28.3</v>
      </c>
      <c r="I129" s="15">
        <v>1.45</v>
      </c>
      <c r="J129" s="15">
        <v>35</v>
      </c>
      <c r="K129" s="15">
        <v>600</v>
      </c>
      <c r="L129" s="15">
        <v>100</v>
      </c>
      <c r="M129" s="17">
        <v>3</v>
      </c>
      <c r="N129" s="1">
        <v>4</v>
      </c>
      <c r="O129" s="1">
        <v>4</v>
      </c>
    </row>
    <row r="130" spans="1:15" ht="15.75" customHeight="1" x14ac:dyDescent="0.3">
      <c r="A130" s="15" t="s">
        <v>158</v>
      </c>
      <c r="B130" s="23" t="s">
        <v>184</v>
      </c>
      <c r="C130" s="5">
        <v>168</v>
      </c>
      <c r="F130" s="1">
        <v>72</v>
      </c>
      <c r="G130" s="1">
        <v>17.850000000000001</v>
      </c>
      <c r="H130" s="1">
        <v>26.9</v>
      </c>
      <c r="I130" s="1">
        <v>1.6</v>
      </c>
      <c r="J130" s="1">
        <v>90</v>
      </c>
      <c r="K130" s="1">
        <v>600</v>
      </c>
      <c r="L130" s="1">
        <v>100</v>
      </c>
      <c r="M130" s="17">
        <v>2</v>
      </c>
      <c r="N130" s="1">
        <v>2</v>
      </c>
      <c r="O130" s="1">
        <v>3</v>
      </c>
    </row>
    <row r="131" spans="1:15" ht="15.75" customHeight="1" x14ac:dyDescent="0.3">
      <c r="A131" s="15" t="s">
        <v>158</v>
      </c>
      <c r="B131" s="23" t="s">
        <v>184</v>
      </c>
      <c r="C131" s="5">
        <v>167</v>
      </c>
      <c r="D131" s="15"/>
      <c r="E131" s="15"/>
      <c r="F131" s="15">
        <v>66</v>
      </c>
      <c r="G131" s="18">
        <v>6.27</v>
      </c>
      <c r="H131" s="15">
        <v>26.2</v>
      </c>
      <c r="I131" s="15">
        <v>0.8</v>
      </c>
      <c r="J131" s="15">
        <v>100</v>
      </c>
      <c r="K131" s="15">
        <v>600</v>
      </c>
      <c r="L131" s="15">
        <v>71.42</v>
      </c>
      <c r="M131" s="17">
        <v>2</v>
      </c>
      <c r="N131" s="1">
        <v>1</v>
      </c>
      <c r="O131" s="1">
        <v>1</v>
      </c>
    </row>
    <row r="132" spans="1:15" ht="15.75" customHeight="1" x14ac:dyDescent="0.3">
      <c r="A132" s="15" t="s">
        <v>158</v>
      </c>
      <c r="B132" s="23" t="s">
        <v>183</v>
      </c>
      <c r="C132" s="5">
        <v>159</v>
      </c>
      <c r="D132" s="15"/>
      <c r="E132" s="15"/>
      <c r="F132" s="15">
        <v>77</v>
      </c>
      <c r="G132" s="18">
        <v>19</v>
      </c>
      <c r="H132" s="15">
        <v>23.9</v>
      </c>
      <c r="I132" s="15">
        <v>0</v>
      </c>
      <c r="J132" s="15">
        <v>100</v>
      </c>
      <c r="K132" s="15"/>
      <c r="L132" s="15">
        <v>76.19</v>
      </c>
      <c r="M132" s="17">
        <v>3</v>
      </c>
      <c r="N132" s="1">
        <v>4</v>
      </c>
      <c r="O132" s="1">
        <v>13</v>
      </c>
    </row>
    <row r="133" spans="1:15" ht="15.75" customHeight="1" x14ac:dyDescent="0.3">
      <c r="A133" s="15" t="s">
        <v>158</v>
      </c>
      <c r="B133" s="23" t="s">
        <v>183</v>
      </c>
      <c r="C133" s="5">
        <v>168</v>
      </c>
      <c r="D133" s="15"/>
      <c r="E133" s="15"/>
      <c r="F133" s="15">
        <v>99</v>
      </c>
      <c r="G133" s="18">
        <v>29.59</v>
      </c>
      <c r="H133" s="15">
        <v>24.9</v>
      </c>
      <c r="I133" s="15">
        <v>0.65</v>
      </c>
      <c r="J133" s="15">
        <v>99</v>
      </c>
      <c r="K133" s="15">
        <v>600</v>
      </c>
      <c r="L133" s="15">
        <v>95.24</v>
      </c>
      <c r="M133" s="17">
        <v>3</v>
      </c>
      <c r="N133" s="1">
        <v>4</v>
      </c>
      <c r="O133" s="1">
        <v>7</v>
      </c>
    </row>
    <row r="134" spans="1:15" ht="15.75" customHeight="1" x14ac:dyDescent="0.3">
      <c r="A134" s="15" t="s">
        <v>158</v>
      </c>
      <c r="B134" s="23" t="s">
        <v>183</v>
      </c>
      <c r="C134" s="5">
        <v>167</v>
      </c>
      <c r="D134" s="15"/>
      <c r="E134" s="15"/>
      <c r="F134" s="15">
        <v>74</v>
      </c>
      <c r="G134" s="18">
        <v>1.52</v>
      </c>
      <c r="H134" s="15">
        <v>19.829999999999998</v>
      </c>
      <c r="I134" s="15">
        <v>0.85</v>
      </c>
      <c r="J134" s="15">
        <v>100</v>
      </c>
      <c r="K134" s="15">
        <v>600</v>
      </c>
      <c r="L134" s="15">
        <v>95.24</v>
      </c>
      <c r="M134" s="17">
        <v>3</v>
      </c>
      <c r="N134" s="1">
        <v>2</v>
      </c>
      <c r="O134" s="1">
        <v>2</v>
      </c>
    </row>
    <row r="135" spans="1:15" ht="15.75" customHeight="1" x14ac:dyDescent="0.3">
      <c r="A135" s="15" t="s">
        <v>158</v>
      </c>
      <c r="B135" s="23" t="s">
        <v>185</v>
      </c>
      <c r="C135" s="5">
        <v>168</v>
      </c>
      <c r="D135" s="15"/>
      <c r="E135" s="15"/>
      <c r="F135" s="15">
        <v>99</v>
      </c>
      <c r="G135" s="18">
        <v>27.94</v>
      </c>
      <c r="H135" s="15">
        <v>22.3</v>
      </c>
      <c r="I135" s="15">
        <v>1.2</v>
      </c>
      <c r="J135" s="15">
        <v>100</v>
      </c>
      <c r="K135" s="15">
        <v>600</v>
      </c>
      <c r="L135" s="15">
        <v>95.24</v>
      </c>
      <c r="M135" s="17">
        <v>1</v>
      </c>
      <c r="N135" s="1">
        <v>5</v>
      </c>
      <c r="O135" s="1">
        <v>15</v>
      </c>
    </row>
    <row r="136" spans="1:15" ht="15.75" customHeight="1" x14ac:dyDescent="0.3">
      <c r="A136" s="15" t="s">
        <v>158</v>
      </c>
      <c r="B136" s="23" t="s">
        <v>185</v>
      </c>
      <c r="C136" s="5">
        <v>167</v>
      </c>
      <c r="D136" s="15"/>
      <c r="E136" s="15"/>
      <c r="F136" s="15">
        <v>80</v>
      </c>
      <c r="G136" s="18">
        <v>6.81</v>
      </c>
      <c r="H136" s="15">
        <v>19.03</v>
      </c>
      <c r="I136" s="15">
        <v>1.8</v>
      </c>
      <c r="J136" s="15">
        <v>100</v>
      </c>
      <c r="K136" s="15">
        <v>600</v>
      </c>
      <c r="L136" s="15">
        <v>100</v>
      </c>
      <c r="M136" s="17">
        <v>1</v>
      </c>
      <c r="N136" s="1">
        <v>2</v>
      </c>
      <c r="O136" s="1">
        <v>4</v>
      </c>
    </row>
    <row r="137" spans="1:15" ht="15.75" customHeight="1" x14ac:dyDescent="0.3">
      <c r="A137" s="15" t="s">
        <v>158</v>
      </c>
      <c r="B137" s="23" t="s">
        <v>186</v>
      </c>
      <c r="C137" s="5">
        <v>168</v>
      </c>
      <c r="D137" s="15"/>
      <c r="E137" s="15"/>
      <c r="F137" s="15">
        <v>95</v>
      </c>
      <c r="G137" s="18">
        <v>0.4</v>
      </c>
      <c r="H137" s="15">
        <v>17.100000000000001</v>
      </c>
      <c r="I137" s="15">
        <v>0</v>
      </c>
      <c r="J137" s="15">
        <v>0</v>
      </c>
      <c r="K137" s="15">
        <v>600</v>
      </c>
      <c r="L137" s="15">
        <v>100</v>
      </c>
      <c r="M137" s="17">
        <v>6</v>
      </c>
      <c r="N137" s="1">
        <v>10</v>
      </c>
      <c r="O137" s="1">
        <v>33</v>
      </c>
    </row>
    <row r="138" spans="1:15" ht="15.75" customHeight="1" x14ac:dyDescent="0.3">
      <c r="A138" s="15" t="s">
        <v>158</v>
      </c>
      <c r="B138" s="23" t="s">
        <v>186</v>
      </c>
      <c r="C138" s="5">
        <v>174</v>
      </c>
      <c r="D138" s="15"/>
      <c r="E138" s="15"/>
      <c r="F138" s="15">
        <v>95</v>
      </c>
      <c r="G138" s="18">
        <v>0.42</v>
      </c>
      <c r="H138" s="15">
        <v>17.2</v>
      </c>
      <c r="I138" s="15">
        <v>0</v>
      </c>
      <c r="J138" s="15">
        <v>100</v>
      </c>
      <c r="K138" s="15"/>
      <c r="L138" s="15">
        <v>100</v>
      </c>
      <c r="M138" s="17">
        <v>6</v>
      </c>
      <c r="N138" s="1">
        <v>1</v>
      </c>
      <c r="O138" s="1">
        <v>1</v>
      </c>
    </row>
    <row r="139" spans="1:15" ht="15.75" customHeight="1" x14ac:dyDescent="0.3">
      <c r="A139" s="15" t="s">
        <v>158</v>
      </c>
      <c r="B139" s="23" t="s">
        <v>186</v>
      </c>
      <c r="C139" s="5">
        <v>168</v>
      </c>
      <c r="D139" s="15"/>
      <c r="E139" s="15"/>
      <c r="F139" s="15">
        <v>95</v>
      </c>
      <c r="G139" s="18">
        <v>0.41</v>
      </c>
      <c r="H139" s="15">
        <v>17.100000000000001</v>
      </c>
      <c r="I139" s="15">
        <v>0</v>
      </c>
      <c r="J139" s="15">
        <v>100</v>
      </c>
      <c r="K139" s="15">
        <v>600</v>
      </c>
      <c r="L139" s="15">
        <v>95.24</v>
      </c>
      <c r="M139" s="17">
        <v>6</v>
      </c>
      <c r="N139" s="1">
        <v>8</v>
      </c>
      <c r="O139" s="1">
        <v>11</v>
      </c>
    </row>
    <row r="140" spans="1:15" ht="15.75" customHeight="1" x14ac:dyDescent="0.3">
      <c r="A140" s="15" t="s">
        <v>158</v>
      </c>
      <c r="B140" s="23" t="s">
        <v>186</v>
      </c>
      <c r="C140" s="5">
        <v>167</v>
      </c>
      <c r="D140" s="15"/>
      <c r="E140" s="15"/>
      <c r="F140" s="15">
        <v>87</v>
      </c>
      <c r="G140" s="18">
        <v>0.16</v>
      </c>
      <c r="H140" s="15">
        <v>20.2</v>
      </c>
      <c r="I140" s="15">
        <v>0</v>
      </c>
      <c r="J140" s="15">
        <v>100</v>
      </c>
      <c r="K140" s="15">
        <v>600</v>
      </c>
      <c r="L140" s="15">
        <v>100</v>
      </c>
      <c r="M140" s="17">
        <v>6</v>
      </c>
      <c r="N140" s="1">
        <v>6</v>
      </c>
      <c r="O140" s="1">
        <v>6</v>
      </c>
    </row>
    <row r="141" spans="1:15" ht="15.75" customHeight="1" x14ac:dyDescent="0.3">
      <c r="A141" s="15"/>
      <c r="B141" s="15"/>
      <c r="C141" s="17"/>
      <c r="D141" s="15"/>
      <c r="E141" s="15"/>
      <c r="F141" s="15"/>
      <c r="G141" s="18"/>
      <c r="H141" s="15"/>
      <c r="I141" s="15"/>
      <c r="J141" s="15"/>
      <c r="K141" s="15"/>
      <c r="L141" s="15"/>
      <c r="M141" s="17"/>
      <c r="N141" s="1">
        <v>0</v>
      </c>
      <c r="O141" s="1">
        <v>0</v>
      </c>
    </row>
    <row r="142" spans="1:15" ht="15.75" customHeight="1" x14ac:dyDescent="0.3">
      <c r="A142" s="15"/>
      <c r="B142" s="15"/>
      <c r="C142" s="17"/>
      <c r="D142" s="15"/>
      <c r="E142" s="15"/>
      <c r="F142" s="15"/>
      <c r="G142" s="18"/>
      <c r="H142" s="15"/>
      <c r="I142" s="15"/>
      <c r="J142" s="15"/>
      <c r="K142" s="15"/>
      <c r="L142" s="15"/>
      <c r="M142" s="17"/>
      <c r="N142" s="1">
        <v>0</v>
      </c>
      <c r="O142" s="1">
        <v>0</v>
      </c>
    </row>
    <row r="143" spans="1:15" ht="15.75" customHeight="1" x14ac:dyDescent="0.3">
      <c r="A143" s="15" t="s">
        <v>164</v>
      </c>
      <c r="B143" s="23" t="s">
        <v>176</v>
      </c>
      <c r="C143" s="17">
        <v>187</v>
      </c>
      <c r="D143" s="15"/>
      <c r="E143" s="15"/>
      <c r="F143" s="15">
        <v>89</v>
      </c>
      <c r="G143" s="18">
        <v>1.36</v>
      </c>
      <c r="H143" s="15">
        <v>23.18</v>
      </c>
      <c r="I143" s="15">
        <v>0</v>
      </c>
      <c r="J143" s="15">
        <v>100</v>
      </c>
      <c r="K143" s="15">
        <v>800</v>
      </c>
      <c r="L143" s="15">
        <v>100</v>
      </c>
      <c r="M143" s="17">
        <v>4</v>
      </c>
      <c r="N143" s="1">
        <v>8</v>
      </c>
      <c r="O143" s="1">
        <v>11</v>
      </c>
    </row>
    <row r="144" spans="1:15" ht="15.75" customHeight="1" x14ac:dyDescent="0.3">
      <c r="A144" s="15" t="s">
        <v>164</v>
      </c>
      <c r="B144" s="23" t="s">
        <v>177</v>
      </c>
      <c r="C144" s="17">
        <v>187</v>
      </c>
      <c r="D144" s="15"/>
      <c r="E144" s="15"/>
      <c r="F144" s="15">
        <v>94</v>
      </c>
      <c r="G144" s="18">
        <v>7.68</v>
      </c>
      <c r="H144" s="15">
        <v>26.7</v>
      </c>
      <c r="I144" s="15">
        <v>0.75</v>
      </c>
      <c r="J144" s="15">
        <v>100</v>
      </c>
      <c r="K144" s="15">
        <v>800</v>
      </c>
      <c r="L144" s="15">
        <v>100</v>
      </c>
      <c r="M144" s="17">
        <v>3</v>
      </c>
      <c r="N144" s="1">
        <v>6</v>
      </c>
      <c r="O144" s="1">
        <v>8</v>
      </c>
    </row>
    <row r="145" spans="1:18" ht="15.75" customHeight="1" x14ac:dyDescent="0.3">
      <c r="A145" s="15" t="s">
        <v>164</v>
      </c>
      <c r="B145" s="23" t="s">
        <v>177</v>
      </c>
      <c r="C145" s="17">
        <v>203</v>
      </c>
      <c r="D145" s="15"/>
      <c r="E145" s="15"/>
      <c r="F145" s="15">
        <v>90</v>
      </c>
      <c r="G145" s="18">
        <v>1.5</v>
      </c>
      <c r="H145" s="15">
        <v>23.4</v>
      </c>
      <c r="I145" s="15">
        <v>0</v>
      </c>
      <c r="J145" s="15">
        <v>100</v>
      </c>
      <c r="K145" s="15"/>
      <c r="L145" s="15">
        <v>100</v>
      </c>
      <c r="M145" s="17">
        <v>3</v>
      </c>
      <c r="N145" s="1">
        <v>1</v>
      </c>
      <c r="O145" s="1">
        <v>1</v>
      </c>
    </row>
    <row r="146" spans="1:18" ht="15.75" customHeight="1" x14ac:dyDescent="0.3">
      <c r="A146" s="15" t="s">
        <v>164</v>
      </c>
      <c r="B146" s="23" t="s">
        <v>179</v>
      </c>
      <c r="C146" s="17">
        <v>189</v>
      </c>
      <c r="D146" s="15"/>
      <c r="E146" s="15"/>
      <c r="F146" s="15">
        <v>91</v>
      </c>
      <c r="G146" s="18">
        <v>1.1499999999999999</v>
      </c>
      <c r="H146" s="15">
        <v>24.4</v>
      </c>
      <c r="I146" s="15">
        <v>0</v>
      </c>
      <c r="J146" s="15">
        <v>100</v>
      </c>
      <c r="K146" s="15">
        <v>400</v>
      </c>
      <c r="L146" s="15">
        <v>95.24</v>
      </c>
      <c r="M146" s="17">
        <v>5</v>
      </c>
      <c r="N146" s="1">
        <v>8</v>
      </c>
      <c r="O146" s="1">
        <v>8</v>
      </c>
    </row>
    <row r="147" spans="1:18" ht="15.75" customHeight="1" x14ac:dyDescent="0.3">
      <c r="A147" s="15" t="s">
        <v>164</v>
      </c>
      <c r="B147" s="23" t="s">
        <v>179</v>
      </c>
      <c r="C147" s="17">
        <v>202</v>
      </c>
      <c r="D147" s="15"/>
      <c r="E147" s="15"/>
      <c r="F147" s="15">
        <v>94</v>
      </c>
      <c r="G147" s="18">
        <v>1.2</v>
      </c>
      <c r="H147" s="15">
        <v>24.4</v>
      </c>
      <c r="I147" s="15">
        <v>0</v>
      </c>
      <c r="J147" s="15">
        <v>100</v>
      </c>
      <c r="K147" s="15"/>
      <c r="L147" s="15">
        <v>100</v>
      </c>
      <c r="M147" s="17">
        <v>5</v>
      </c>
      <c r="N147" s="1">
        <v>1</v>
      </c>
      <c r="O147" s="1">
        <v>1</v>
      </c>
    </row>
    <row r="148" spans="1:18" ht="15.75" customHeight="1" x14ac:dyDescent="0.3">
      <c r="A148" s="15" t="s">
        <v>164</v>
      </c>
      <c r="B148" s="23" t="s">
        <v>179</v>
      </c>
      <c r="C148" s="17">
        <v>187</v>
      </c>
      <c r="D148" s="15"/>
      <c r="E148" s="15"/>
      <c r="F148" s="15">
        <v>85</v>
      </c>
      <c r="G148" s="18">
        <v>1.3</v>
      </c>
      <c r="H148" s="15">
        <v>24.4</v>
      </c>
      <c r="I148" s="15">
        <v>0</v>
      </c>
      <c r="J148" s="15">
        <v>100</v>
      </c>
      <c r="K148" s="15">
        <v>800</v>
      </c>
      <c r="L148" s="15">
        <v>100</v>
      </c>
      <c r="M148" s="17">
        <v>5</v>
      </c>
      <c r="N148" s="1">
        <v>8</v>
      </c>
      <c r="O148" s="1">
        <v>8</v>
      </c>
    </row>
    <row r="149" spans="1:18" ht="15.75" customHeight="1" x14ac:dyDescent="0.3">
      <c r="A149" s="15" t="s">
        <v>164</v>
      </c>
      <c r="B149" s="23" t="s">
        <v>180</v>
      </c>
      <c r="C149" s="17">
        <v>188</v>
      </c>
      <c r="D149" s="15"/>
      <c r="E149" s="15"/>
      <c r="F149" s="15">
        <v>91</v>
      </c>
      <c r="G149" s="18">
        <v>0.57999999999999996</v>
      </c>
      <c r="H149" s="15">
        <v>26.4</v>
      </c>
      <c r="I149" s="15">
        <v>0</v>
      </c>
      <c r="J149" s="15">
        <v>100</v>
      </c>
      <c r="K149" s="15">
        <v>700</v>
      </c>
      <c r="L149" s="15">
        <v>76.19</v>
      </c>
      <c r="M149" s="17">
        <v>5</v>
      </c>
      <c r="N149" s="1">
        <v>10</v>
      </c>
      <c r="O149" s="1">
        <v>10</v>
      </c>
      <c r="Q149" s="44"/>
      <c r="R149" s="44"/>
    </row>
    <row r="150" spans="1:18" ht="15.75" customHeight="1" x14ac:dyDescent="0.3">
      <c r="A150" s="15" t="s">
        <v>164</v>
      </c>
      <c r="B150" s="23" t="s">
        <v>180</v>
      </c>
      <c r="C150" s="17">
        <v>189</v>
      </c>
      <c r="D150" s="15"/>
      <c r="E150" s="15"/>
      <c r="F150" s="15">
        <v>91</v>
      </c>
      <c r="G150" s="18">
        <v>0.81</v>
      </c>
      <c r="H150" s="15">
        <v>23.28</v>
      </c>
      <c r="I150" s="15">
        <v>0</v>
      </c>
      <c r="J150" s="15">
        <v>100</v>
      </c>
      <c r="K150" s="15">
        <v>400</v>
      </c>
      <c r="L150" s="15">
        <v>100</v>
      </c>
      <c r="M150" s="17">
        <v>5</v>
      </c>
      <c r="N150" s="1">
        <v>5</v>
      </c>
      <c r="O150" s="1">
        <v>5</v>
      </c>
    </row>
    <row r="151" spans="1:18" ht="15.75" customHeight="1" x14ac:dyDescent="0.3">
      <c r="A151" s="15" t="s">
        <v>164</v>
      </c>
      <c r="B151" s="23" t="s">
        <v>181</v>
      </c>
      <c r="C151" s="17">
        <v>202</v>
      </c>
      <c r="D151" s="15"/>
      <c r="E151" s="15"/>
      <c r="F151" s="15">
        <v>91</v>
      </c>
      <c r="G151" s="18">
        <v>0.81</v>
      </c>
      <c r="H151" s="15">
        <v>23.3</v>
      </c>
      <c r="I151" s="15">
        <v>0</v>
      </c>
      <c r="J151" s="15">
        <v>100</v>
      </c>
      <c r="K151" s="15"/>
      <c r="L151" s="15">
        <v>100</v>
      </c>
      <c r="M151" s="17">
        <v>3</v>
      </c>
      <c r="N151" s="1">
        <v>1</v>
      </c>
      <c r="O151" s="1">
        <v>2</v>
      </c>
    </row>
    <row r="152" spans="1:18" ht="15.75" customHeight="1" x14ac:dyDescent="0.3">
      <c r="A152" s="15" t="s">
        <v>164</v>
      </c>
      <c r="B152" s="23" t="s">
        <v>181</v>
      </c>
      <c r="C152" s="17">
        <v>188</v>
      </c>
      <c r="D152" s="15"/>
      <c r="E152" s="15"/>
      <c r="F152" s="15">
        <v>99</v>
      </c>
      <c r="G152" s="18">
        <v>85.6</v>
      </c>
      <c r="H152" s="15">
        <v>28.5</v>
      </c>
      <c r="I152" s="15">
        <v>1.2</v>
      </c>
      <c r="J152" s="15">
        <v>100</v>
      </c>
      <c r="K152" s="15">
        <v>700</v>
      </c>
      <c r="L152" s="15">
        <v>95.24</v>
      </c>
      <c r="M152" s="17">
        <v>3</v>
      </c>
      <c r="N152" s="1">
        <v>1</v>
      </c>
      <c r="O152" s="1">
        <v>1</v>
      </c>
    </row>
    <row r="153" spans="1:18" ht="15.75" customHeight="1" x14ac:dyDescent="0.3">
      <c r="A153" s="15" t="s">
        <v>164</v>
      </c>
      <c r="B153" s="23" t="s">
        <v>181</v>
      </c>
      <c r="C153" s="17">
        <v>189</v>
      </c>
      <c r="D153" s="15"/>
      <c r="E153" s="15"/>
      <c r="F153" s="15">
        <v>91</v>
      </c>
      <c r="G153" s="18">
        <v>13.15</v>
      </c>
      <c r="H153" s="15">
        <v>26.13</v>
      </c>
      <c r="I153" s="15">
        <v>0</v>
      </c>
      <c r="J153" s="15">
        <v>100</v>
      </c>
      <c r="K153" s="15">
        <v>400</v>
      </c>
      <c r="L153" s="15">
        <v>95.24</v>
      </c>
      <c r="M153" s="17">
        <v>3</v>
      </c>
      <c r="N153" s="1">
        <v>3</v>
      </c>
      <c r="O153" s="1">
        <v>3</v>
      </c>
    </row>
    <row r="154" spans="1:18" ht="15.75" customHeight="1" x14ac:dyDescent="0.3">
      <c r="A154" s="15" t="s">
        <v>164</v>
      </c>
      <c r="B154" s="23" t="s">
        <v>182</v>
      </c>
      <c r="C154" s="17">
        <v>202</v>
      </c>
      <c r="D154" s="15"/>
      <c r="E154" s="15"/>
      <c r="F154" s="15">
        <v>75</v>
      </c>
      <c r="G154" s="18">
        <v>17.2</v>
      </c>
      <c r="H154" s="15">
        <v>28</v>
      </c>
      <c r="I154" s="15">
        <v>0</v>
      </c>
      <c r="J154" s="15">
        <v>100</v>
      </c>
      <c r="K154" s="15"/>
      <c r="L154" s="15">
        <v>100</v>
      </c>
      <c r="M154" s="17">
        <v>3</v>
      </c>
      <c r="N154" s="1">
        <v>2</v>
      </c>
      <c r="O154" s="1">
        <v>2</v>
      </c>
    </row>
    <row r="155" spans="1:18" s="44" customFormat="1" ht="15.75" customHeight="1" x14ac:dyDescent="0.3">
      <c r="A155" s="39" t="s">
        <v>164</v>
      </c>
      <c r="B155" s="40" t="s">
        <v>182</v>
      </c>
      <c r="C155" s="17">
        <v>189</v>
      </c>
      <c r="D155" s="39"/>
      <c r="E155" s="39"/>
      <c r="F155" s="39">
        <v>93</v>
      </c>
      <c r="G155" s="42">
        <v>14.5</v>
      </c>
      <c r="H155" s="39">
        <v>28.73</v>
      </c>
      <c r="I155" s="39">
        <v>0</v>
      </c>
      <c r="J155" s="39">
        <v>100</v>
      </c>
      <c r="K155" s="39">
        <v>400</v>
      </c>
      <c r="L155" s="39">
        <v>100</v>
      </c>
      <c r="M155" s="43">
        <v>3</v>
      </c>
      <c r="N155" s="44">
        <v>6</v>
      </c>
      <c r="O155" s="44">
        <v>9</v>
      </c>
      <c r="Q155" s="1"/>
      <c r="R155" s="1"/>
    </row>
    <row r="156" spans="1:18" ht="15.75" customHeight="1" x14ac:dyDescent="0.3">
      <c r="A156" s="15" t="s">
        <v>164</v>
      </c>
      <c r="B156" s="23" t="s">
        <v>182</v>
      </c>
      <c r="C156" s="17">
        <v>188</v>
      </c>
      <c r="D156" s="15"/>
      <c r="E156" s="15"/>
      <c r="F156" s="15">
        <v>74</v>
      </c>
      <c r="G156" s="18">
        <v>18</v>
      </c>
      <c r="H156" s="15">
        <v>28</v>
      </c>
      <c r="I156" s="15">
        <v>0</v>
      </c>
      <c r="J156" s="15">
        <v>2</v>
      </c>
      <c r="K156" s="15">
        <v>700</v>
      </c>
      <c r="L156" s="15">
        <v>100</v>
      </c>
      <c r="M156" s="17">
        <v>3</v>
      </c>
      <c r="N156" s="1">
        <v>2</v>
      </c>
      <c r="O156" s="1">
        <v>2</v>
      </c>
    </row>
    <row r="157" spans="1:18" ht="15.75" customHeight="1" x14ac:dyDescent="0.3">
      <c r="A157" s="15" t="s">
        <v>164</v>
      </c>
      <c r="B157" s="23" t="s">
        <v>184</v>
      </c>
      <c r="C157" s="17">
        <v>189</v>
      </c>
      <c r="D157" s="18">
        <v>11.2</v>
      </c>
      <c r="E157" s="18">
        <v>11.2</v>
      </c>
      <c r="F157" s="15">
        <v>92</v>
      </c>
      <c r="G157" s="18">
        <v>97.97</v>
      </c>
      <c r="H157" s="15">
        <v>28.73</v>
      </c>
      <c r="I157" s="15">
        <v>0.97</v>
      </c>
      <c r="J157" s="15">
        <v>100</v>
      </c>
      <c r="K157" s="15">
        <v>400</v>
      </c>
      <c r="L157" s="15">
        <v>100</v>
      </c>
      <c r="M157" s="17">
        <v>2</v>
      </c>
      <c r="N157" s="1">
        <v>0</v>
      </c>
      <c r="O157" s="1">
        <v>0</v>
      </c>
    </row>
    <row r="158" spans="1:18" ht="15.75" customHeight="1" x14ac:dyDescent="0.3">
      <c r="A158" s="15" t="s">
        <v>164</v>
      </c>
      <c r="B158" s="23" t="s">
        <v>184</v>
      </c>
      <c r="C158" s="17">
        <v>190</v>
      </c>
      <c r="D158" s="18">
        <v>11.2</v>
      </c>
      <c r="E158" s="18">
        <v>11.2</v>
      </c>
      <c r="F158" s="15">
        <v>86.5</v>
      </c>
      <c r="G158" s="18">
        <v>33.18</v>
      </c>
      <c r="H158" s="15">
        <v>25.7</v>
      </c>
      <c r="I158" s="15">
        <v>1.2</v>
      </c>
      <c r="J158" s="15">
        <v>100</v>
      </c>
      <c r="K158" s="15"/>
      <c r="L158" s="15">
        <v>100</v>
      </c>
      <c r="M158" s="17">
        <v>2</v>
      </c>
      <c r="N158" s="1">
        <v>3</v>
      </c>
      <c r="O158" s="1">
        <v>6</v>
      </c>
    </row>
    <row r="159" spans="1:18" ht="15.75" customHeight="1" x14ac:dyDescent="0.3">
      <c r="A159" s="15" t="s">
        <v>164</v>
      </c>
      <c r="B159" s="23" t="s">
        <v>184</v>
      </c>
      <c r="C159" s="17">
        <v>188</v>
      </c>
      <c r="D159" s="15"/>
      <c r="E159" s="15"/>
      <c r="F159" s="15">
        <v>70</v>
      </c>
      <c r="G159" s="18">
        <v>5.91</v>
      </c>
      <c r="H159" s="15">
        <v>20.5</v>
      </c>
      <c r="I159" s="15">
        <v>1.5</v>
      </c>
      <c r="J159" s="15">
        <v>2</v>
      </c>
      <c r="K159" s="15">
        <v>700</v>
      </c>
      <c r="L159" s="15">
        <v>100</v>
      </c>
      <c r="M159" s="17">
        <v>2</v>
      </c>
      <c r="N159" s="1">
        <v>3</v>
      </c>
      <c r="O159" s="1">
        <v>3</v>
      </c>
    </row>
    <row r="160" spans="1:18" ht="15.75" customHeight="1" x14ac:dyDescent="0.3">
      <c r="A160" s="15" t="s">
        <v>164</v>
      </c>
      <c r="B160" s="23" t="s">
        <v>183</v>
      </c>
      <c r="C160" s="17">
        <v>190</v>
      </c>
      <c r="D160" s="15"/>
      <c r="E160" s="15"/>
      <c r="F160" s="15">
        <v>89</v>
      </c>
      <c r="G160" s="18">
        <v>7.61</v>
      </c>
      <c r="H160" s="15">
        <v>23.8</v>
      </c>
      <c r="I160" s="15">
        <v>0.75</v>
      </c>
      <c r="J160" s="15">
        <v>100</v>
      </c>
      <c r="K160" s="15"/>
      <c r="L160" s="15">
        <v>100</v>
      </c>
      <c r="M160" s="17">
        <v>3</v>
      </c>
      <c r="N160" s="1">
        <v>5</v>
      </c>
      <c r="O160" s="1">
        <v>10</v>
      </c>
    </row>
    <row r="161" spans="1:15" ht="15.75" customHeight="1" x14ac:dyDescent="0.3">
      <c r="A161" s="15" t="s">
        <v>164</v>
      </c>
      <c r="B161" s="23" t="s">
        <v>183</v>
      </c>
      <c r="C161" s="17">
        <v>189</v>
      </c>
      <c r="D161" s="15"/>
      <c r="E161" s="15"/>
      <c r="F161" s="15">
        <v>81</v>
      </c>
      <c r="G161" s="18">
        <v>5.23</v>
      </c>
      <c r="H161" s="15">
        <v>27.03</v>
      </c>
      <c r="I161" s="15">
        <v>0</v>
      </c>
      <c r="J161" s="15">
        <v>100</v>
      </c>
      <c r="K161" s="15">
        <v>400</v>
      </c>
      <c r="L161" s="15">
        <v>100</v>
      </c>
      <c r="M161" s="17">
        <v>3</v>
      </c>
      <c r="N161" s="1">
        <v>4</v>
      </c>
      <c r="O161" s="1">
        <v>5</v>
      </c>
    </row>
    <row r="162" spans="1:15" ht="15.75" customHeight="1" x14ac:dyDescent="0.3">
      <c r="A162" s="15" t="s">
        <v>164</v>
      </c>
      <c r="B162" s="23" t="s">
        <v>185</v>
      </c>
      <c r="C162" s="17">
        <v>190</v>
      </c>
      <c r="D162" s="15"/>
      <c r="E162" s="15"/>
      <c r="F162" s="15">
        <v>88</v>
      </c>
      <c r="G162" s="18">
        <v>24.87</v>
      </c>
      <c r="H162" s="15">
        <v>23.25</v>
      </c>
      <c r="I162" s="15">
        <v>0.45</v>
      </c>
      <c r="J162" s="15">
        <v>100</v>
      </c>
      <c r="K162" s="15"/>
      <c r="L162" s="15">
        <v>100</v>
      </c>
      <c r="M162" s="17">
        <v>1</v>
      </c>
      <c r="N162" s="1">
        <v>1</v>
      </c>
      <c r="O162" s="1">
        <v>1</v>
      </c>
    </row>
    <row r="163" spans="1:15" ht="15.75" customHeight="1" x14ac:dyDescent="0.3">
      <c r="A163" s="15" t="s">
        <v>164</v>
      </c>
      <c r="B163" s="23" t="s">
        <v>185</v>
      </c>
      <c r="C163" s="17">
        <v>189</v>
      </c>
      <c r="D163" s="15"/>
      <c r="E163" s="15"/>
      <c r="F163" s="15">
        <v>72</v>
      </c>
      <c r="G163" s="18">
        <v>4.6399999999999997</v>
      </c>
      <c r="H163" s="15">
        <v>24.9</v>
      </c>
      <c r="I163" s="15">
        <v>3.17</v>
      </c>
      <c r="J163" s="15">
        <v>100</v>
      </c>
      <c r="K163" s="15">
        <v>400</v>
      </c>
      <c r="L163" s="15">
        <v>76.19</v>
      </c>
      <c r="M163" s="17">
        <v>1</v>
      </c>
      <c r="N163" s="1">
        <v>2</v>
      </c>
      <c r="O163" s="1">
        <v>4</v>
      </c>
    </row>
    <row r="164" spans="1:15" ht="15.75" customHeight="1" x14ac:dyDescent="0.3">
      <c r="A164" s="15" t="s">
        <v>164</v>
      </c>
      <c r="B164" s="23" t="s">
        <v>186</v>
      </c>
      <c r="C164" s="17">
        <v>190</v>
      </c>
      <c r="D164" s="15"/>
      <c r="E164" s="15"/>
      <c r="F164" s="15">
        <v>86</v>
      </c>
      <c r="G164" s="18">
        <v>0.14000000000000001</v>
      </c>
      <c r="H164" s="15">
        <v>18.55</v>
      </c>
      <c r="I164" s="15">
        <v>0</v>
      </c>
      <c r="J164" s="15">
        <v>100</v>
      </c>
      <c r="K164" s="15"/>
      <c r="L164" s="15">
        <v>100</v>
      </c>
      <c r="M164" s="17">
        <v>6</v>
      </c>
      <c r="N164" s="1">
        <v>5</v>
      </c>
      <c r="O164" s="1">
        <v>5</v>
      </c>
    </row>
    <row r="165" spans="1:15" ht="15.75" customHeight="1" x14ac:dyDescent="0.3">
      <c r="A165" s="15" t="s">
        <v>164</v>
      </c>
      <c r="B165" s="23" t="s">
        <v>186</v>
      </c>
      <c r="C165" s="17">
        <v>201</v>
      </c>
      <c r="D165" s="15"/>
      <c r="E165" s="15"/>
      <c r="F165" s="15">
        <v>87</v>
      </c>
      <c r="G165" s="18">
        <v>0.15</v>
      </c>
      <c r="H165" s="15">
        <v>15.2</v>
      </c>
      <c r="I165" s="15">
        <v>0</v>
      </c>
      <c r="J165" s="15">
        <v>100</v>
      </c>
      <c r="K165" s="15"/>
      <c r="L165" s="15">
        <v>100</v>
      </c>
      <c r="M165" s="17">
        <v>6</v>
      </c>
      <c r="N165" s="1">
        <v>3</v>
      </c>
      <c r="O165" s="1">
        <v>3</v>
      </c>
    </row>
    <row r="166" spans="1:15" ht="15.75" customHeight="1" x14ac:dyDescent="0.3">
      <c r="A166" s="15" t="s">
        <v>164</v>
      </c>
      <c r="B166" s="23" t="s">
        <v>186</v>
      </c>
      <c r="C166" s="17">
        <v>189</v>
      </c>
      <c r="D166" s="15"/>
      <c r="E166" s="15"/>
      <c r="F166" s="15">
        <v>83</v>
      </c>
      <c r="G166" s="18">
        <v>0.20499999999999999</v>
      </c>
      <c r="H166" s="15">
        <v>24.8</v>
      </c>
      <c r="I166" s="15">
        <v>0</v>
      </c>
      <c r="J166" s="15">
        <v>100</v>
      </c>
      <c r="K166" s="15">
        <v>400</v>
      </c>
      <c r="L166" s="15">
        <v>76.19</v>
      </c>
      <c r="M166" s="17">
        <v>6</v>
      </c>
      <c r="N166" s="1">
        <v>0</v>
      </c>
      <c r="O166" s="1">
        <v>0</v>
      </c>
    </row>
    <row r="167" spans="1:15" ht="15.75" customHeight="1" x14ac:dyDescent="0.3">
      <c r="A167" s="15"/>
      <c r="B167" s="15"/>
      <c r="C167" s="17"/>
      <c r="D167" s="15"/>
      <c r="E167" s="15"/>
      <c r="F167" s="15"/>
      <c r="G167" s="18"/>
      <c r="H167" s="15"/>
      <c r="I167" s="15"/>
      <c r="J167" s="15"/>
      <c r="K167" s="15"/>
      <c r="L167" s="15"/>
      <c r="M167" s="17"/>
      <c r="N167" s="1">
        <v>0</v>
      </c>
      <c r="O167" s="1">
        <v>0</v>
      </c>
    </row>
    <row r="168" spans="1:15" ht="15.75" customHeight="1" x14ac:dyDescent="0.3">
      <c r="A168" s="15" t="s">
        <v>168</v>
      </c>
      <c r="B168" s="15" t="s">
        <v>176</v>
      </c>
      <c r="C168" s="17">
        <v>228</v>
      </c>
      <c r="D168" s="15"/>
      <c r="E168" s="15"/>
      <c r="F168" s="15">
        <v>92</v>
      </c>
      <c r="G168" s="18">
        <v>0.14000000000000001</v>
      </c>
      <c r="H168" s="15">
        <v>22.5</v>
      </c>
      <c r="I168" s="15">
        <v>0</v>
      </c>
      <c r="J168" s="15">
        <v>100</v>
      </c>
      <c r="K168" s="15">
        <v>400</v>
      </c>
      <c r="L168" s="15">
        <v>95.24</v>
      </c>
      <c r="M168" s="17">
        <v>4</v>
      </c>
      <c r="N168" s="1">
        <v>6</v>
      </c>
      <c r="O168" s="1">
        <v>11</v>
      </c>
    </row>
    <row r="169" spans="1:15" ht="15.75" customHeight="1" x14ac:dyDescent="0.3">
      <c r="A169" s="15" t="s">
        <v>168</v>
      </c>
      <c r="B169" s="15" t="s">
        <v>176</v>
      </c>
      <c r="C169" s="17">
        <v>225</v>
      </c>
      <c r="D169" s="15"/>
      <c r="E169" s="15"/>
      <c r="F169" s="15">
        <v>92</v>
      </c>
      <c r="G169" s="18">
        <v>0.14000000000000001</v>
      </c>
      <c r="H169" s="15">
        <v>22.5</v>
      </c>
      <c r="I169" s="15">
        <v>0</v>
      </c>
      <c r="J169" s="15">
        <v>60</v>
      </c>
      <c r="K169" s="15"/>
      <c r="L169" s="15">
        <v>100</v>
      </c>
      <c r="M169" s="17">
        <v>4</v>
      </c>
      <c r="N169" s="1">
        <v>1</v>
      </c>
      <c r="O169" s="1">
        <v>2</v>
      </c>
    </row>
    <row r="170" spans="1:15" ht="15.75" customHeight="1" x14ac:dyDescent="0.3">
      <c r="A170" s="15" t="s">
        <v>168</v>
      </c>
      <c r="B170" s="15" t="s">
        <v>177</v>
      </c>
      <c r="C170" s="17">
        <v>228</v>
      </c>
      <c r="D170" s="15"/>
      <c r="E170" s="15"/>
      <c r="F170" s="15">
        <v>97</v>
      </c>
      <c r="G170" s="18">
        <v>4.5999999999999996</v>
      </c>
      <c r="H170" s="15">
        <v>24.3</v>
      </c>
      <c r="I170" s="15">
        <v>0</v>
      </c>
      <c r="J170" s="15">
        <v>100</v>
      </c>
      <c r="K170" s="15">
        <v>400</v>
      </c>
      <c r="L170" s="15">
        <v>95.24</v>
      </c>
      <c r="M170" s="17">
        <v>3</v>
      </c>
      <c r="N170" s="1">
        <v>17</v>
      </c>
      <c r="O170" s="1">
        <v>24</v>
      </c>
    </row>
    <row r="171" spans="1:15" ht="15.75" customHeight="1" x14ac:dyDescent="0.3">
      <c r="A171" s="15" t="s">
        <v>168</v>
      </c>
      <c r="B171" s="15" t="s">
        <v>179</v>
      </c>
      <c r="C171" s="17">
        <v>225</v>
      </c>
      <c r="D171" s="15"/>
      <c r="E171" s="15"/>
      <c r="F171" s="15">
        <v>99</v>
      </c>
      <c r="G171" s="18">
        <v>24.2</v>
      </c>
      <c r="H171" s="15">
        <v>26.1</v>
      </c>
      <c r="I171" s="15">
        <v>0</v>
      </c>
      <c r="J171" s="15">
        <v>60</v>
      </c>
      <c r="K171" s="15"/>
      <c r="L171" s="15">
        <v>100</v>
      </c>
      <c r="M171" s="17">
        <v>5</v>
      </c>
      <c r="N171" s="1">
        <v>1</v>
      </c>
      <c r="O171" s="1">
        <v>1</v>
      </c>
    </row>
    <row r="172" spans="1:15" ht="15.75" customHeight="1" x14ac:dyDescent="0.3">
      <c r="A172" s="15" t="s">
        <v>168</v>
      </c>
      <c r="B172" s="15" t="s">
        <v>179</v>
      </c>
      <c r="C172" s="17">
        <v>228</v>
      </c>
      <c r="D172" s="15"/>
      <c r="E172" s="15"/>
      <c r="F172" s="15">
        <v>99</v>
      </c>
      <c r="G172" s="18">
        <v>24.2</v>
      </c>
      <c r="H172" s="15">
        <v>26.1</v>
      </c>
      <c r="I172" s="15">
        <v>0</v>
      </c>
      <c r="J172" s="15">
        <v>35</v>
      </c>
      <c r="K172" s="15">
        <v>400</v>
      </c>
      <c r="L172" s="15">
        <v>100</v>
      </c>
      <c r="M172" s="17">
        <v>5</v>
      </c>
      <c r="N172" s="1">
        <v>11</v>
      </c>
      <c r="O172" s="1">
        <v>11</v>
      </c>
    </row>
    <row r="173" spans="1:15" ht="15.75" customHeight="1" x14ac:dyDescent="0.3">
      <c r="A173" s="15" t="s">
        <v>168</v>
      </c>
      <c r="B173" s="15" t="s">
        <v>179</v>
      </c>
      <c r="C173" s="17">
        <v>227</v>
      </c>
      <c r="D173" s="15"/>
      <c r="E173" s="15"/>
      <c r="F173" s="15">
        <v>84</v>
      </c>
      <c r="G173" s="18">
        <v>0.17</v>
      </c>
      <c r="H173" s="15">
        <v>24</v>
      </c>
      <c r="I173" s="15">
        <v>0</v>
      </c>
      <c r="J173" s="15">
        <v>100</v>
      </c>
      <c r="K173" s="15">
        <v>400</v>
      </c>
      <c r="L173" s="15">
        <v>52.38</v>
      </c>
      <c r="M173" s="17">
        <v>5</v>
      </c>
      <c r="N173" s="1">
        <v>2</v>
      </c>
      <c r="O173" s="1">
        <v>2</v>
      </c>
    </row>
    <row r="174" spans="1:15" ht="15.75" customHeight="1" x14ac:dyDescent="0.3">
      <c r="A174" s="15" t="s">
        <v>168</v>
      </c>
      <c r="B174" s="15" t="s">
        <v>180</v>
      </c>
      <c r="C174" s="17">
        <v>223</v>
      </c>
      <c r="D174" s="15"/>
      <c r="E174" s="15"/>
      <c r="F174" s="15">
        <v>97</v>
      </c>
      <c r="G174" s="18">
        <v>1.08</v>
      </c>
      <c r="H174" s="15">
        <v>25.4</v>
      </c>
      <c r="I174" s="15">
        <v>0</v>
      </c>
      <c r="J174" s="15">
        <v>100</v>
      </c>
      <c r="K174" s="15"/>
      <c r="L174" s="15">
        <v>100</v>
      </c>
      <c r="M174" s="17">
        <v>5</v>
      </c>
      <c r="N174" s="1">
        <v>6</v>
      </c>
      <c r="O174" s="1">
        <v>8</v>
      </c>
    </row>
    <row r="175" spans="1:15" ht="15.75" customHeight="1" x14ac:dyDescent="0.3">
      <c r="A175" s="15" t="s">
        <v>168</v>
      </c>
      <c r="B175" s="15" t="s">
        <v>180</v>
      </c>
      <c r="C175" s="17">
        <v>228</v>
      </c>
      <c r="D175" s="15"/>
      <c r="E175" s="15"/>
      <c r="F175" s="15">
        <v>97</v>
      </c>
      <c r="G175" s="18">
        <v>1.08</v>
      </c>
      <c r="H175" s="15">
        <v>25.4</v>
      </c>
      <c r="I175" s="15">
        <v>0</v>
      </c>
      <c r="J175" s="15">
        <v>65</v>
      </c>
      <c r="K175" s="15">
        <v>400</v>
      </c>
      <c r="L175" s="15">
        <v>100</v>
      </c>
      <c r="M175" s="17">
        <v>5</v>
      </c>
      <c r="N175" s="1">
        <v>9</v>
      </c>
      <c r="O175" s="1">
        <v>9</v>
      </c>
    </row>
    <row r="176" spans="1:15" ht="15.75" customHeight="1" x14ac:dyDescent="0.3">
      <c r="A176" s="15" t="s">
        <v>168</v>
      </c>
      <c r="B176" s="1" t="s">
        <v>180</v>
      </c>
      <c r="C176" s="2">
        <v>227</v>
      </c>
      <c r="F176" s="1">
        <v>80</v>
      </c>
      <c r="G176" s="46">
        <v>0.04</v>
      </c>
      <c r="H176" s="1">
        <v>25.3</v>
      </c>
      <c r="I176" s="1">
        <v>0</v>
      </c>
      <c r="J176" s="1">
        <v>100</v>
      </c>
      <c r="K176" s="1">
        <v>400</v>
      </c>
      <c r="L176" s="1">
        <v>52.38</v>
      </c>
      <c r="M176" s="2">
        <v>5</v>
      </c>
      <c r="N176" s="1">
        <v>0</v>
      </c>
      <c r="O176" s="1">
        <v>0</v>
      </c>
    </row>
    <row r="177" spans="1:15" ht="15.75" customHeight="1" x14ac:dyDescent="0.3">
      <c r="A177" s="15" t="s">
        <v>168</v>
      </c>
      <c r="B177" s="1" t="s">
        <v>181</v>
      </c>
      <c r="C177" s="2">
        <v>223</v>
      </c>
      <c r="F177" s="1">
        <v>87</v>
      </c>
      <c r="G177" s="46">
        <v>9.8000000000000007</v>
      </c>
      <c r="H177" s="1">
        <v>34.5</v>
      </c>
      <c r="I177" s="1">
        <v>0</v>
      </c>
      <c r="J177" s="1">
        <v>90</v>
      </c>
      <c r="L177" s="1">
        <v>100</v>
      </c>
      <c r="M177" s="2">
        <v>3</v>
      </c>
      <c r="N177" s="1">
        <v>4</v>
      </c>
      <c r="O177" s="1">
        <v>4</v>
      </c>
    </row>
    <row r="178" spans="1:15" ht="15.75" customHeight="1" x14ac:dyDescent="0.3">
      <c r="A178" s="15" t="s">
        <v>168</v>
      </c>
      <c r="B178" s="1" t="s">
        <v>181</v>
      </c>
      <c r="C178" s="2">
        <v>228</v>
      </c>
      <c r="F178" s="1">
        <v>87</v>
      </c>
      <c r="G178" s="46">
        <v>9.8000000000000007</v>
      </c>
      <c r="H178" s="1">
        <v>34.5</v>
      </c>
      <c r="I178" s="1">
        <v>0</v>
      </c>
      <c r="J178" s="1">
        <v>0</v>
      </c>
      <c r="K178" s="1">
        <v>400</v>
      </c>
      <c r="L178" s="1">
        <v>100</v>
      </c>
      <c r="M178" s="2">
        <v>3</v>
      </c>
      <c r="N178" s="1">
        <v>3</v>
      </c>
      <c r="O178" s="1">
        <v>3</v>
      </c>
    </row>
    <row r="179" spans="1:15" ht="15.75" customHeight="1" x14ac:dyDescent="0.3">
      <c r="A179" s="15" t="s">
        <v>168</v>
      </c>
      <c r="B179" s="1" t="s">
        <v>181</v>
      </c>
      <c r="C179" s="2">
        <v>227</v>
      </c>
      <c r="F179" s="1">
        <v>80</v>
      </c>
      <c r="G179" s="46">
        <v>1.5</v>
      </c>
      <c r="H179" s="1">
        <v>26.9</v>
      </c>
      <c r="I179" s="1">
        <v>0</v>
      </c>
      <c r="J179" s="1">
        <v>100</v>
      </c>
      <c r="K179" s="1">
        <v>400</v>
      </c>
      <c r="L179" s="1">
        <v>47.62</v>
      </c>
      <c r="M179" s="2">
        <v>3</v>
      </c>
      <c r="N179" s="1">
        <v>3</v>
      </c>
      <c r="O179" s="1">
        <v>4</v>
      </c>
    </row>
    <row r="180" spans="1:15" ht="15.75" customHeight="1" x14ac:dyDescent="0.3">
      <c r="A180" s="15" t="s">
        <v>168</v>
      </c>
      <c r="B180" s="1" t="s">
        <v>182</v>
      </c>
      <c r="C180" s="2">
        <v>228</v>
      </c>
      <c r="F180" s="1">
        <v>81</v>
      </c>
      <c r="G180" s="46">
        <v>36.6</v>
      </c>
      <c r="H180" s="1">
        <v>31.4</v>
      </c>
      <c r="I180" s="1">
        <v>0.8</v>
      </c>
      <c r="J180" s="1">
        <v>96</v>
      </c>
      <c r="K180" s="1">
        <v>400</v>
      </c>
      <c r="L180" s="1">
        <v>100</v>
      </c>
      <c r="M180" s="2">
        <v>3</v>
      </c>
      <c r="N180" s="1">
        <v>7</v>
      </c>
      <c r="O180" s="1">
        <v>7</v>
      </c>
    </row>
    <row r="181" spans="1:15" ht="15.75" customHeight="1" x14ac:dyDescent="0.3">
      <c r="A181" s="15" t="s">
        <v>168</v>
      </c>
      <c r="B181" s="1" t="s">
        <v>182</v>
      </c>
      <c r="C181" s="2">
        <v>227</v>
      </c>
      <c r="F181" s="1">
        <v>79</v>
      </c>
      <c r="G181" s="46">
        <v>13.35</v>
      </c>
      <c r="H181" s="1">
        <v>29.2</v>
      </c>
      <c r="I181" s="1">
        <v>0</v>
      </c>
      <c r="J181" s="1">
        <v>100</v>
      </c>
      <c r="K181" s="1">
        <v>400</v>
      </c>
      <c r="L181" s="1">
        <v>100</v>
      </c>
      <c r="M181" s="2">
        <v>3</v>
      </c>
      <c r="N181" s="1">
        <v>2</v>
      </c>
      <c r="O181" s="1">
        <v>2</v>
      </c>
    </row>
    <row r="182" spans="1:15" ht="15.75" customHeight="1" x14ac:dyDescent="0.3">
      <c r="A182" s="15" t="s">
        <v>168</v>
      </c>
      <c r="B182" s="1" t="s">
        <v>184</v>
      </c>
      <c r="C182" s="2">
        <v>227</v>
      </c>
      <c r="F182" s="1">
        <v>92</v>
      </c>
      <c r="G182" s="46">
        <v>15.6</v>
      </c>
      <c r="H182" s="1">
        <v>23.5</v>
      </c>
      <c r="I182" s="1">
        <v>0.7</v>
      </c>
      <c r="J182" s="1">
        <v>2</v>
      </c>
      <c r="K182" s="1">
        <v>400</v>
      </c>
      <c r="L182" s="1">
        <v>100</v>
      </c>
      <c r="M182" s="2">
        <v>2</v>
      </c>
      <c r="N182" s="1">
        <v>1</v>
      </c>
      <c r="O182" s="1">
        <v>1</v>
      </c>
    </row>
    <row r="183" spans="1:15" ht="15.75" customHeight="1" x14ac:dyDescent="0.3">
      <c r="A183" s="15" t="s">
        <v>168</v>
      </c>
      <c r="B183" s="1" t="s">
        <v>184</v>
      </c>
      <c r="C183" s="2">
        <v>227</v>
      </c>
      <c r="F183" s="1">
        <v>79</v>
      </c>
      <c r="G183" s="46">
        <v>7.6</v>
      </c>
      <c r="H183" s="1">
        <v>25.4</v>
      </c>
      <c r="I183" s="1">
        <v>0</v>
      </c>
      <c r="J183" s="1">
        <v>100</v>
      </c>
      <c r="K183" s="1">
        <v>400</v>
      </c>
      <c r="L183" s="1">
        <v>100</v>
      </c>
      <c r="M183" s="2">
        <v>2</v>
      </c>
      <c r="N183" s="1">
        <v>2</v>
      </c>
      <c r="O183" s="1">
        <v>5</v>
      </c>
    </row>
    <row r="184" spans="1:15" ht="15.75" customHeight="1" x14ac:dyDescent="0.3">
      <c r="A184" s="15" t="s">
        <v>168</v>
      </c>
      <c r="B184" s="1" t="s">
        <v>183</v>
      </c>
      <c r="C184" s="2">
        <v>224</v>
      </c>
      <c r="F184" s="1">
        <v>89</v>
      </c>
      <c r="G184" s="46">
        <v>1.1000000000000001</v>
      </c>
      <c r="H184" s="1">
        <v>22.3</v>
      </c>
      <c r="I184" s="1">
        <v>0</v>
      </c>
      <c r="J184" s="1">
        <v>2</v>
      </c>
      <c r="L184" s="1">
        <v>100</v>
      </c>
      <c r="M184" s="2">
        <v>3</v>
      </c>
      <c r="N184" s="1">
        <v>7</v>
      </c>
      <c r="O184" s="1">
        <v>10</v>
      </c>
    </row>
    <row r="185" spans="1:15" ht="15.75" customHeight="1" x14ac:dyDescent="0.3">
      <c r="A185" s="15" t="s">
        <v>168</v>
      </c>
      <c r="B185" s="1" t="s">
        <v>183</v>
      </c>
      <c r="C185" s="2">
        <v>227</v>
      </c>
      <c r="F185" s="1">
        <v>89</v>
      </c>
      <c r="G185" s="46">
        <v>1</v>
      </c>
      <c r="H185" s="1">
        <v>22.2</v>
      </c>
      <c r="I185" s="1">
        <v>0</v>
      </c>
      <c r="J185" s="1">
        <v>100</v>
      </c>
      <c r="K185" s="1">
        <v>400</v>
      </c>
      <c r="L185" s="1">
        <v>100</v>
      </c>
      <c r="M185" s="2">
        <v>3</v>
      </c>
      <c r="N185" s="1">
        <v>4</v>
      </c>
      <c r="O185" s="1">
        <v>4</v>
      </c>
    </row>
    <row r="186" spans="1:15" ht="15.75" customHeight="1" x14ac:dyDescent="0.3">
      <c r="A186" s="15" t="s">
        <v>168</v>
      </c>
      <c r="B186" s="1" t="s">
        <v>183</v>
      </c>
      <c r="C186" s="2">
        <v>227</v>
      </c>
      <c r="F186" s="1">
        <v>72</v>
      </c>
      <c r="G186" s="1">
        <v>0.75</v>
      </c>
      <c r="H186" s="1">
        <v>25</v>
      </c>
      <c r="I186" s="1">
        <v>0.9</v>
      </c>
      <c r="J186" s="1">
        <v>100</v>
      </c>
      <c r="K186" s="1">
        <v>400</v>
      </c>
      <c r="L186" s="1">
        <v>100</v>
      </c>
      <c r="M186" s="2">
        <v>3</v>
      </c>
      <c r="N186" s="1">
        <v>2</v>
      </c>
      <c r="O186" s="1">
        <v>3</v>
      </c>
    </row>
    <row r="187" spans="1:15" ht="15.75" customHeight="1" x14ac:dyDescent="0.3">
      <c r="A187" s="15" t="s">
        <v>168</v>
      </c>
      <c r="B187" s="1" t="s">
        <v>185</v>
      </c>
      <c r="C187" s="2">
        <v>227</v>
      </c>
      <c r="F187" s="1">
        <v>60</v>
      </c>
      <c r="G187" s="46">
        <v>44</v>
      </c>
      <c r="H187" s="1">
        <v>32.6</v>
      </c>
      <c r="I187" s="1">
        <v>0</v>
      </c>
      <c r="J187" s="1">
        <v>85</v>
      </c>
      <c r="K187" s="1">
        <v>400</v>
      </c>
      <c r="L187" s="1">
        <v>100</v>
      </c>
      <c r="M187" s="2">
        <v>1</v>
      </c>
      <c r="N187" s="1">
        <v>2</v>
      </c>
      <c r="O187" s="1">
        <v>4</v>
      </c>
    </row>
    <row r="188" spans="1:15" ht="15.75" customHeight="1" x14ac:dyDescent="0.3">
      <c r="A188" s="15" t="s">
        <v>168</v>
      </c>
      <c r="B188" s="1" t="s">
        <v>185</v>
      </c>
      <c r="C188" s="2">
        <v>227</v>
      </c>
      <c r="F188" s="1">
        <v>79</v>
      </c>
      <c r="G188" s="46">
        <v>39.200000000000003</v>
      </c>
      <c r="H188" s="1">
        <v>31.4</v>
      </c>
      <c r="I188" s="1">
        <v>0</v>
      </c>
      <c r="J188" s="1">
        <v>100</v>
      </c>
      <c r="K188" s="1">
        <v>400</v>
      </c>
      <c r="L188" s="1">
        <v>100</v>
      </c>
      <c r="M188" s="2">
        <v>1</v>
      </c>
      <c r="N188" s="1">
        <v>0</v>
      </c>
      <c r="O188" s="1">
        <v>0</v>
      </c>
    </row>
    <row r="189" spans="1:15" ht="15.75" customHeight="1" x14ac:dyDescent="0.3">
      <c r="A189" s="15" t="s">
        <v>168</v>
      </c>
      <c r="B189" s="1" t="s">
        <v>186</v>
      </c>
      <c r="C189" s="2">
        <v>227</v>
      </c>
      <c r="F189" s="1">
        <v>76</v>
      </c>
      <c r="G189" s="46">
        <v>1.53</v>
      </c>
      <c r="H189" s="1">
        <v>25.4</v>
      </c>
      <c r="I189" s="1">
        <v>0</v>
      </c>
      <c r="J189" s="1">
        <v>100</v>
      </c>
      <c r="K189" s="1">
        <v>400</v>
      </c>
      <c r="L189" s="1">
        <v>76.19</v>
      </c>
      <c r="M189" s="2">
        <v>6</v>
      </c>
      <c r="N189" s="1">
        <v>4</v>
      </c>
      <c r="O189" s="1">
        <v>5</v>
      </c>
    </row>
    <row r="190" spans="1:15" ht="15.75" customHeight="1" x14ac:dyDescent="0.3">
      <c r="G190" s="46"/>
      <c r="N190" s="1">
        <v>0</v>
      </c>
      <c r="O190" s="1">
        <v>0</v>
      </c>
    </row>
    <row r="191" spans="1:15" ht="15.75" customHeight="1" x14ac:dyDescent="0.3">
      <c r="A191" s="1" t="s">
        <v>172</v>
      </c>
      <c r="B191" s="1" t="s">
        <v>176</v>
      </c>
      <c r="C191" s="2">
        <v>250</v>
      </c>
      <c r="F191" s="1">
        <v>81</v>
      </c>
      <c r="G191" s="46">
        <v>1.6</v>
      </c>
      <c r="H191" s="1">
        <v>26.5</v>
      </c>
      <c r="I191" s="1">
        <v>0</v>
      </c>
      <c r="J191" s="1">
        <v>30</v>
      </c>
      <c r="L191" s="1">
        <v>100</v>
      </c>
      <c r="M191" s="2">
        <v>4</v>
      </c>
      <c r="N191" s="1">
        <v>12</v>
      </c>
      <c r="O191" s="1">
        <v>18</v>
      </c>
    </row>
    <row r="192" spans="1:15" ht="15.75" customHeight="1" x14ac:dyDescent="0.3">
      <c r="A192" s="1" t="s">
        <v>172</v>
      </c>
      <c r="B192" s="1" t="s">
        <v>177</v>
      </c>
      <c r="C192" s="2">
        <v>250</v>
      </c>
      <c r="F192" s="1">
        <v>96</v>
      </c>
      <c r="G192" s="46">
        <v>1.1299999999999999</v>
      </c>
      <c r="H192" s="1">
        <v>26.4</v>
      </c>
      <c r="I192" s="1">
        <v>0</v>
      </c>
      <c r="J192" s="1">
        <v>100</v>
      </c>
      <c r="L192" s="1">
        <v>100</v>
      </c>
      <c r="M192" s="2">
        <v>3</v>
      </c>
      <c r="N192" s="1">
        <v>5</v>
      </c>
      <c r="O192" s="1">
        <v>5</v>
      </c>
    </row>
    <row r="193" spans="1:15" ht="15.75" customHeight="1" x14ac:dyDescent="0.3">
      <c r="A193" s="1" t="s">
        <v>172</v>
      </c>
      <c r="B193" s="1" t="s">
        <v>179</v>
      </c>
      <c r="C193" s="2">
        <v>251</v>
      </c>
      <c r="F193" s="1">
        <v>99</v>
      </c>
      <c r="G193" s="46">
        <v>0.28000000000000003</v>
      </c>
      <c r="H193" s="1">
        <v>23.5</v>
      </c>
      <c r="I193" s="1">
        <v>0</v>
      </c>
      <c r="J193" s="1">
        <v>100</v>
      </c>
      <c r="K193" s="1">
        <v>550</v>
      </c>
      <c r="L193" s="1">
        <v>100</v>
      </c>
      <c r="M193" s="2">
        <v>5</v>
      </c>
      <c r="N193" s="1">
        <v>7</v>
      </c>
      <c r="O193" s="1">
        <v>10</v>
      </c>
    </row>
    <row r="194" spans="1:15" ht="15.75" customHeight="1" x14ac:dyDescent="0.3">
      <c r="A194" s="1" t="s">
        <v>172</v>
      </c>
      <c r="B194" s="1" t="s">
        <v>180</v>
      </c>
      <c r="C194" s="2">
        <v>251</v>
      </c>
      <c r="F194" s="1">
        <v>96</v>
      </c>
      <c r="G194" s="46">
        <v>0.64</v>
      </c>
      <c r="H194" s="1">
        <v>24.9</v>
      </c>
      <c r="I194" s="1">
        <v>0</v>
      </c>
      <c r="J194" s="1">
        <v>100</v>
      </c>
      <c r="L194" s="1">
        <v>100</v>
      </c>
      <c r="M194" s="2">
        <v>5</v>
      </c>
      <c r="N194" s="1">
        <v>9</v>
      </c>
      <c r="O194" s="1">
        <v>9</v>
      </c>
    </row>
    <row r="195" spans="1:15" ht="15.75" customHeight="1" x14ac:dyDescent="0.3">
      <c r="A195" s="1" t="s">
        <v>172</v>
      </c>
      <c r="B195" s="1" t="s">
        <v>181</v>
      </c>
      <c r="C195" s="2">
        <v>251</v>
      </c>
      <c r="F195" s="1">
        <v>98</v>
      </c>
      <c r="G195" s="46">
        <v>2.2799999999999998</v>
      </c>
      <c r="H195" s="1">
        <v>23.7</v>
      </c>
      <c r="I195" s="1">
        <v>0</v>
      </c>
      <c r="J195" s="1">
        <v>100</v>
      </c>
      <c r="K195" s="1">
        <v>550</v>
      </c>
      <c r="L195" s="1">
        <v>100</v>
      </c>
      <c r="M195" s="2">
        <v>3</v>
      </c>
      <c r="N195" s="1">
        <v>4</v>
      </c>
      <c r="O195" s="1">
        <v>4</v>
      </c>
    </row>
    <row r="196" spans="1:15" ht="15.75" customHeight="1" x14ac:dyDescent="0.3">
      <c r="A196" s="1" t="s">
        <v>172</v>
      </c>
      <c r="B196" s="1" t="s">
        <v>182</v>
      </c>
      <c r="C196" s="2">
        <v>251</v>
      </c>
      <c r="F196" s="1">
        <v>99</v>
      </c>
      <c r="G196" s="46">
        <v>7.2350000000000003</v>
      </c>
      <c r="H196" s="1">
        <v>24.6</v>
      </c>
      <c r="I196" s="1">
        <v>1.4</v>
      </c>
      <c r="J196" s="1">
        <v>100</v>
      </c>
      <c r="K196" s="1">
        <v>550</v>
      </c>
      <c r="L196" s="1">
        <v>100</v>
      </c>
      <c r="M196" s="2">
        <v>3</v>
      </c>
      <c r="N196" s="1">
        <v>10</v>
      </c>
      <c r="O196" s="1">
        <v>16</v>
      </c>
    </row>
    <row r="197" spans="1:15" ht="15.75" customHeight="1" x14ac:dyDescent="0.3">
      <c r="A197" s="1" t="s">
        <v>172</v>
      </c>
      <c r="B197" s="1" t="s">
        <v>184</v>
      </c>
      <c r="C197" s="2">
        <v>251</v>
      </c>
      <c r="F197" s="1">
        <v>78</v>
      </c>
      <c r="G197" s="46">
        <v>17.850000000000001</v>
      </c>
      <c r="H197" s="1">
        <v>26.8</v>
      </c>
      <c r="I197" s="1">
        <v>0.7</v>
      </c>
      <c r="J197" s="1">
        <v>100</v>
      </c>
      <c r="K197" s="1">
        <v>550</v>
      </c>
      <c r="L197" s="1">
        <v>100</v>
      </c>
      <c r="M197" s="2">
        <v>2</v>
      </c>
      <c r="N197" s="1">
        <v>3</v>
      </c>
      <c r="O197" s="1">
        <v>3</v>
      </c>
    </row>
    <row r="198" spans="1:15" ht="15.75" customHeight="1" x14ac:dyDescent="0.3">
      <c r="A198" s="1" t="s">
        <v>172</v>
      </c>
      <c r="B198" s="1" t="s">
        <v>183</v>
      </c>
      <c r="C198" s="2">
        <v>252</v>
      </c>
      <c r="F198" s="1">
        <v>92</v>
      </c>
      <c r="G198" s="46">
        <v>44.68</v>
      </c>
      <c r="H198" s="1">
        <v>23.2</v>
      </c>
      <c r="I198" s="1">
        <v>0.6</v>
      </c>
      <c r="J198" s="1">
        <v>0</v>
      </c>
      <c r="L198" s="1">
        <v>100</v>
      </c>
      <c r="M198" s="2">
        <v>3</v>
      </c>
      <c r="N198" s="1">
        <v>8</v>
      </c>
      <c r="O198" s="1">
        <v>9</v>
      </c>
    </row>
    <row r="199" spans="1:15" ht="15.75" customHeight="1" x14ac:dyDescent="0.3">
      <c r="A199" s="1" t="s">
        <v>172</v>
      </c>
      <c r="B199" s="1" t="s">
        <v>183</v>
      </c>
      <c r="C199" s="2">
        <v>252</v>
      </c>
      <c r="F199" s="1">
        <v>84</v>
      </c>
      <c r="G199" s="46">
        <v>0.5</v>
      </c>
      <c r="H199" s="1">
        <v>25.9</v>
      </c>
      <c r="I199" s="1">
        <v>0</v>
      </c>
      <c r="J199" s="1">
        <v>100</v>
      </c>
      <c r="L199" s="1">
        <v>100</v>
      </c>
      <c r="M199" s="2">
        <v>3</v>
      </c>
      <c r="N199" s="1">
        <v>4</v>
      </c>
      <c r="O199" s="1">
        <v>4</v>
      </c>
    </row>
    <row r="200" spans="1:15" ht="15.75" customHeight="1" x14ac:dyDescent="0.3">
      <c r="A200" s="1" t="s">
        <v>172</v>
      </c>
      <c r="B200" s="1" t="s">
        <v>186</v>
      </c>
      <c r="C200" s="2">
        <v>252</v>
      </c>
      <c r="F200" s="1">
        <v>83</v>
      </c>
      <c r="G200" s="46">
        <v>1.1299999999999999</v>
      </c>
      <c r="H200" s="1">
        <v>25.5</v>
      </c>
      <c r="I200" s="1">
        <v>0</v>
      </c>
      <c r="J200" s="1">
        <v>100</v>
      </c>
      <c r="L200" s="1">
        <v>100</v>
      </c>
      <c r="M200" s="2">
        <v>6</v>
      </c>
      <c r="N200" s="1">
        <v>9</v>
      </c>
      <c r="O200" s="1">
        <v>19</v>
      </c>
    </row>
    <row r="201" spans="1:15" ht="15.75" customHeight="1" x14ac:dyDescent="0.3">
      <c r="G201" s="46"/>
    </row>
    <row r="202" spans="1:15" ht="15.75" customHeight="1" x14ac:dyDescent="0.3">
      <c r="G202" s="46"/>
    </row>
    <row r="203" spans="1:15" ht="15.75" customHeight="1" x14ac:dyDescent="0.3">
      <c r="G203" s="46"/>
    </row>
    <row r="204" spans="1:15" ht="15.75" customHeight="1" x14ac:dyDescent="0.3">
      <c r="G204" s="46"/>
    </row>
    <row r="205" spans="1:15" ht="15.75" customHeight="1" x14ac:dyDescent="0.3">
      <c r="G205" s="46"/>
    </row>
    <row r="206" spans="1:15" ht="15.75" customHeight="1" x14ac:dyDescent="0.3">
      <c r="G206" s="46"/>
    </row>
    <row r="207" spans="1:15" ht="15.75" customHeight="1" x14ac:dyDescent="0.3">
      <c r="G207" s="46"/>
    </row>
    <row r="208" spans="1:15" ht="15.75" customHeight="1" x14ac:dyDescent="0.3">
      <c r="G208" s="46"/>
    </row>
    <row r="209" spans="7:7" ht="15.75" customHeight="1" x14ac:dyDescent="0.3">
      <c r="G209" s="46"/>
    </row>
    <row r="210" spans="7:7" ht="15.75" customHeight="1" x14ac:dyDescent="0.3">
      <c r="G210" s="46"/>
    </row>
    <row r="211" spans="7:7" ht="15.75" customHeight="1" x14ac:dyDescent="0.3">
      <c r="G211" s="46"/>
    </row>
    <row r="212" spans="7:7" ht="15.75" customHeight="1" x14ac:dyDescent="0.3">
      <c r="G212" s="46"/>
    </row>
    <row r="213" spans="7:7" ht="15.75" customHeight="1" x14ac:dyDescent="0.3">
      <c r="G213" s="46"/>
    </row>
    <row r="214" spans="7:7" ht="15.75" customHeight="1" x14ac:dyDescent="0.3">
      <c r="G214" s="46"/>
    </row>
    <row r="215" spans="7:7" ht="15.75" customHeight="1" x14ac:dyDescent="0.3">
      <c r="G215" s="46"/>
    </row>
    <row r="216" spans="7:7" ht="15.75" customHeight="1" x14ac:dyDescent="0.3">
      <c r="G216" s="46"/>
    </row>
    <row r="217" spans="7:7" ht="15.75" customHeight="1" x14ac:dyDescent="0.3">
      <c r="G217" s="46"/>
    </row>
    <row r="218" spans="7:7" ht="15.75" customHeight="1" x14ac:dyDescent="0.3">
      <c r="G218" s="46"/>
    </row>
    <row r="219" spans="7:7" ht="15.75" customHeight="1" x14ac:dyDescent="0.3">
      <c r="G219" s="46"/>
    </row>
    <row r="220" spans="7:7" ht="15.75" customHeight="1" x14ac:dyDescent="0.3">
      <c r="G220" s="46"/>
    </row>
    <row r="221" spans="7:7" ht="15.75" customHeight="1" x14ac:dyDescent="0.3">
      <c r="G221" s="46"/>
    </row>
    <row r="222" spans="7:7" ht="15.75" customHeight="1" x14ac:dyDescent="0.3">
      <c r="G222" s="46"/>
    </row>
    <row r="223" spans="7:7" ht="15.75" customHeight="1" x14ac:dyDescent="0.3">
      <c r="G223" s="46"/>
    </row>
    <row r="224" spans="7:7" ht="15.75" customHeight="1" x14ac:dyDescent="0.3">
      <c r="G224" s="46"/>
    </row>
    <row r="225" spans="7:7" ht="15.75" customHeight="1" x14ac:dyDescent="0.3">
      <c r="G225" s="46"/>
    </row>
    <row r="226" spans="7:7" ht="15.75" customHeight="1" x14ac:dyDescent="0.3">
      <c r="G226" s="46"/>
    </row>
    <row r="227" spans="7:7" ht="15.75" customHeight="1" x14ac:dyDescent="0.3">
      <c r="G227" s="46"/>
    </row>
    <row r="228" spans="7:7" ht="15.75" customHeight="1" x14ac:dyDescent="0.3">
      <c r="G228" s="46"/>
    </row>
    <row r="229" spans="7:7" ht="15.75" customHeight="1" x14ac:dyDescent="0.3">
      <c r="G229" s="46"/>
    </row>
    <row r="230" spans="7:7" ht="15.75" customHeight="1" x14ac:dyDescent="0.3">
      <c r="G230" s="46"/>
    </row>
    <row r="231" spans="7:7" ht="15.75" customHeight="1" x14ac:dyDescent="0.3">
      <c r="G231" s="46"/>
    </row>
    <row r="232" spans="7:7" ht="15.75" customHeight="1" x14ac:dyDescent="0.3">
      <c r="G232" s="46"/>
    </row>
    <row r="233" spans="7:7" ht="15.75" customHeight="1" x14ac:dyDescent="0.3">
      <c r="G233" s="46"/>
    </row>
    <row r="234" spans="7:7" ht="15.75" customHeight="1" x14ac:dyDescent="0.3">
      <c r="G234" s="46"/>
    </row>
    <row r="235" spans="7:7" ht="15.75" customHeight="1" x14ac:dyDescent="0.3">
      <c r="G235" s="46"/>
    </row>
    <row r="236" spans="7:7" ht="15.75" customHeight="1" x14ac:dyDescent="0.3">
      <c r="G236" s="46"/>
    </row>
    <row r="237" spans="7:7" ht="15.75" customHeight="1" x14ac:dyDescent="0.3">
      <c r="G237" s="46"/>
    </row>
    <row r="238" spans="7:7" ht="15.75" customHeight="1" x14ac:dyDescent="0.3">
      <c r="G238" s="46"/>
    </row>
    <row r="239" spans="7:7" ht="15.75" customHeight="1" x14ac:dyDescent="0.3">
      <c r="G239" s="46"/>
    </row>
    <row r="240" spans="7:7" ht="15.75" customHeight="1" x14ac:dyDescent="0.3">
      <c r="G240" s="46"/>
    </row>
    <row r="241" spans="7:7" ht="15.75" customHeight="1" x14ac:dyDescent="0.3">
      <c r="G241" s="46"/>
    </row>
    <row r="242" spans="7:7" ht="15.75" customHeight="1" x14ac:dyDescent="0.3">
      <c r="G242" s="46"/>
    </row>
    <row r="243" spans="7:7" ht="15.75" customHeight="1" x14ac:dyDescent="0.3">
      <c r="G243" s="46"/>
    </row>
    <row r="244" spans="7:7" ht="15.75" customHeight="1" x14ac:dyDescent="0.3">
      <c r="G244" s="46"/>
    </row>
    <row r="245" spans="7:7" ht="15.75" customHeight="1" x14ac:dyDescent="0.3">
      <c r="G245" s="46"/>
    </row>
    <row r="246" spans="7:7" ht="15.75" customHeight="1" x14ac:dyDescent="0.3">
      <c r="G246" s="46"/>
    </row>
    <row r="247" spans="7:7" ht="15.75" customHeight="1" x14ac:dyDescent="0.3">
      <c r="G247" s="46"/>
    </row>
    <row r="248" spans="7:7" ht="15.75" customHeight="1" x14ac:dyDescent="0.3">
      <c r="G248" s="46"/>
    </row>
    <row r="249" spans="7:7" ht="15.75" customHeight="1" x14ac:dyDescent="0.3">
      <c r="G249" s="46"/>
    </row>
    <row r="250" spans="7:7" ht="15.75" customHeight="1" x14ac:dyDescent="0.3">
      <c r="G250" s="46"/>
    </row>
    <row r="251" spans="7:7" ht="15.75" customHeight="1" x14ac:dyDescent="0.3">
      <c r="G251" s="46"/>
    </row>
    <row r="252" spans="7:7" ht="15.75" customHeight="1" x14ac:dyDescent="0.3">
      <c r="G252" s="46"/>
    </row>
    <row r="253" spans="7:7" ht="15.75" customHeight="1" x14ac:dyDescent="0.3">
      <c r="G253" s="46"/>
    </row>
    <row r="254" spans="7:7" ht="15.75" customHeight="1" x14ac:dyDescent="0.3">
      <c r="G254" s="46"/>
    </row>
    <row r="255" spans="7:7" ht="15.75" customHeight="1" x14ac:dyDescent="0.3">
      <c r="G255" s="46"/>
    </row>
    <row r="256" spans="7:7" ht="15.75" customHeight="1" x14ac:dyDescent="0.3">
      <c r="G256" s="46"/>
    </row>
    <row r="257" spans="7:7" ht="15.75" customHeight="1" x14ac:dyDescent="0.3">
      <c r="G257" s="46"/>
    </row>
    <row r="258" spans="7:7" ht="15.75" customHeight="1" x14ac:dyDescent="0.3">
      <c r="G258" s="46"/>
    </row>
    <row r="259" spans="7:7" ht="15.75" customHeight="1" x14ac:dyDescent="0.3">
      <c r="G259" s="46"/>
    </row>
    <row r="260" spans="7:7" ht="15.75" customHeight="1" x14ac:dyDescent="0.3">
      <c r="G260" s="46"/>
    </row>
    <row r="261" spans="7:7" ht="15.75" customHeight="1" x14ac:dyDescent="0.3">
      <c r="G261" s="46"/>
    </row>
    <row r="262" spans="7:7" ht="15.75" customHeight="1" x14ac:dyDescent="0.3">
      <c r="G262" s="46"/>
    </row>
    <row r="263" spans="7:7" ht="15.75" customHeight="1" x14ac:dyDescent="0.3">
      <c r="G263" s="46"/>
    </row>
    <row r="264" spans="7:7" ht="15.75" customHeight="1" x14ac:dyDescent="0.3">
      <c r="G264" s="46"/>
    </row>
    <row r="265" spans="7:7" ht="15.75" customHeight="1" x14ac:dyDescent="0.3">
      <c r="G265" s="46"/>
    </row>
    <row r="266" spans="7:7" ht="15.75" customHeight="1" x14ac:dyDescent="0.3">
      <c r="G266" s="46"/>
    </row>
    <row r="267" spans="7:7" ht="15.75" customHeight="1" x14ac:dyDescent="0.3">
      <c r="G267" s="46"/>
    </row>
    <row r="268" spans="7:7" ht="15.75" customHeight="1" x14ac:dyDescent="0.3">
      <c r="G268" s="46"/>
    </row>
    <row r="269" spans="7:7" ht="15.75" customHeight="1" x14ac:dyDescent="0.3">
      <c r="G269" s="46"/>
    </row>
    <row r="270" spans="7:7" ht="15.75" customHeight="1" x14ac:dyDescent="0.3">
      <c r="G270" s="46"/>
    </row>
    <row r="271" spans="7:7" ht="15.75" customHeight="1" x14ac:dyDescent="0.3">
      <c r="G271" s="46"/>
    </row>
    <row r="272" spans="7:7" ht="15.75" customHeight="1" x14ac:dyDescent="0.3">
      <c r="G272" s="46"/>
    </row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  <row r="1009" ht="15.75" customHeight="1" x14ac:dyDescent="0.3"/>
    <row r="1010" ht="15.75" customHeight="1" x14ac:dyDescent="0.3"/>
    <row r="1011" ht="15.75" customHeight="1" x14ac:dyDescent="0.3"/>
    <row r="1012" ht="15.75" customHeight="1" x14ac:dyDescent="0.3"/>
    <row r="1013" ht="15.75" customHeight="1" x14ac:dyDescent="0.3"/>
    <row r="1014" ht="15.75" customHeight="1" x14ac:dyDescent="0.3"/>
    <row r="1015" ht="15.75" customHeight="1" x14ac:dyDescent="0.3"/>
    <row r="1016" ht="15.75" customHeight="1" x14ac:dyDescent="0.3"/>
    <row r="1017" ht="15.75" customHeight="1" x14ac:dyDescent="0.3"/>
    <row r="1018" ht="15.75" customHeight="1" x14ac:dyDescent="0.3"/>
    <row r="1019" ht="15.75" customHeight="1" x14ac:dyDescent="0.3"/>
    <row r="1020" ht="15.75" customHeight="1" x14ac:dyDescent="0.3"/>
    <row r="1021" ht="15.75" customHeight="1" x14ac:dyDescent="0.3"/>
    <row r="1022" ht="15.75" customHeight="1" x14ac:dyDescent="0.3"/>
    <row r="1023" ht="15.75" customHeight="1" x14ac:dyDescent="0.3"/>
    <row r="1024" ht="15.75" customHeight="1" x14ac:dyDescent="0.3"/>
    <row r="1025" ht="15.75" customHeight="1" x14ac:dyDescent="0.3"/>
    <row r="1026" ht="15.75" customHeight="1" x14ac:dyDescent="0.3"/>
    <row r="1027" ht="15.75" customHeight="1" x14ac:dyDescent="0.3"/>
    <row r="1028" ht="15.75" customHeight="1" x14ac:dyDescent="0.3"/>
    <row r="1029" ht="15.75" customHeight="1" x14ac:dyDescent="0.3"/>
    <row r="1030" ht="15.75" customHeight="1" x14ac:dyDescent="0.3"/>
    <row r="1031" ht="15.75" customHeight="1" x14ac:dyDescent="0.3"/>
    <row r="1032" ht="15.75" customHeight="1" x14ac:dyDescent="0.3"/>
    <row r="1033" ht="15.75" customHeight="1" x14ac:dyDescent="0.3"/>
    <row r="1034" ht="15.75" customHeight="1" x14ac:dyDescent="0.3"/>
    <row r="1035" ht="15.75" customHeight="1" x14ac:dyDescent="0.3"/>
    <row r="1036" ht="15.75" customHeight="1" x14ac:dyDescent="0.3"/>
    <row r="1037" ht="15.75" customHeight="1" x14ac:dyDescent="0.3"/>
    <row r="1038" ht="15.75" customHeight="1" x14ac:dyDescent="0.3"/>
    <row r="1039" ht="15.75" customHeight="1" x14ac:dyDescent="0.3"/>
    <row r="1040" ht="15.75" customHeight="1" x14ac:dyDescent="0.3"/>
    <row r="1041" ht="15.75" customHeight="1" x14ac:dyDescent="0.3"/>
    <row r="1042" ht="15.75" customHeight="1" x14ac:dyDescent="0.3"/>
    <row r="1043" ht="15.75" customHeight="1" x14ac:dyDescent="0.3"/>
    <row r="1044" ht="15.75" customHeight="1" x14ac:dyDescent="0.3"/>
    <row r="1045" ht="15.75" customHeight="1" x14ac:dyDescent="0.3"/>
    <row r="1046" ht="15.75" customHeight="1" x14ac:dyDescent="0.3"/>
    <row r="1047" ht="15.75" customHeight="1" x14ac:dyDescent="0.3"/>
    <row r="1048" ht="15.75" customHeight="1" x14ac:dyDescent="0.3"/>
    <row r="1049" ht="15.75" customHeight="1" x14ac:dyDescent="0.3"/>
    <row r="1050" ht="15.75" customHeight="1" x14ac:dyDescent="0.3"/>
    <row r="1051" ht="15.75" customHeight="1" x14ac:dyDescent="0.3"/>
    <row r="1052" ht="15.75" customHeight="1" x14ac:dyDescent="0.3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34"/>
  <sheetViews>
    <sheetView zoomScaleNormal="100" workbookViewId="0">
      <selection sqref="A1:K1"/>
    </sheetView>
  </sheetViews>
  <sheetFormatPr defaultRowHeight="14.4" x14ac:dyDescent="0.3"/>
  <sheetData>
    <row r="1" spans="1:11" ht="120.6" x14ac:dyDescent="0.3">
      <c r="A1" s="6" t="s">
        <v>196</v>
      </c>
      <c r="B1" s="6" t="s">
        <v>187</v>
      </c>
      <c r="C1" s="7" t="s">
        <v>188</v>
      </c>
      <c r="D1" s="9" t="s">
        <v>189</v>
      </c>
      <c r="E1" s="7" t="s">
        <v>190</v>
      </c>
      <c r="F1" s="7" t="s">
        <v>191</v>
      </c>
      <c r="G1" s="7" t="s">
        <v>192</v>
      </c>
      <c r="H1" s="7" t="s">
        <v>193</v>
      </c>
      <c r="I1" s="8" t="s">
        <v>194</v>
      </c>
      <c r="J1" s="1" t="s">
        <v>195</v>
      </c>
      <c r="K1" s="1" t="s">
        <v>175</v>
      </c>
    </row>
    <row r="2" spans="1:11" x14ac:dyDescent="0.3">
      <c r="A2" s="15" t="s">
        <v>146</v>
      </c>
      <c r="B2" s="23" t="s">
        <v>176</v>
      </c>
      <c r="C2" s="15">
        <v>99</v>
      </c>
      <c r="D2" s="36">
        <v>0.27700000000000002</v>
      </c>
      <c r="E2" s="15">
        <v>26.4</v>
      </c>
      <c r="F2" s="15">
        <v>0</v>
      </c>
      <c r="G2" s="15">
        <v>100</v>
      </c>
      <c r="H2" s="15">
        <v>23.81</v>
      </c>
      <c r="I2" s="17">
        <v>4</v>
      </c>
      <c r="J2" s="1">
        <v>6</v>
      </c>
      <c r="K2" s="1">
        <v>22</v>
      </c>
    </row>
    <row r="3" spans="1:11" x14ac:dyDescent="0.3">
      <c r="A3" s="15" t="s">
        <v>146</v>
      </c>
      <c r="B3" s="23" t="s">
        <v>177</v>
      </c>
      <c r="C3" s="15">
        <v>92</v>
      </c>
      <c r="D3" s="18">
        <v>0.78</v>
      </c>
      <c r="E3" s="15">
        <v>24.6</v>
      </c>
      <c r="F3" s="15">
        <v>0</v>
      </c>
      <c r="G3" s="15">
        <v>5</v>
      </c>
      <c r="H3" s="15">
        <v>100</v>
      </c>
      <c r="I3" s="17">
        <v>3</v>
      </c>
      <c r="J3" s="1">
        <v>9</v>
      </c>
      <c r="K3" s="1">
        <v>14</v>
      </c>
    </row>
    <row r="4" spans="1:11" x14ac:dyDescent="0.3">
      <c r="A4" s="15" t="s">
        <v>146</v>
      </c>
      <c r="B4" s="23" t="s">
        <v>179</v>
      </c>
      <c r="C4" s="15">
        <v>94</v>
      </c>
      <c r="D4" s="36">
        <v>0.50800000000000001</v>
      </c>
      <c r="E4" s="15">
        <v>24.8</v>
      </c>
      <c r="F4" s="15">
        <v>0</v>
      </c>
      <c r="G4" s="15">
        <v>5</v>
      </c>
      <c r="H4" s="15">
        <v>100</v>
      </c>
      <c r="I4" s="17">
        <v>5</v>
      </c>
      <c r="J4" s="1">
        <v>8</v>
      </c>
      <c r="K4" s="1">
        <v>8</v>
      </c>
    </row>
    <row r="5" spans="1:11" x14ac:dyDescent="0.3">
      <c r="A5" s="15" t="s">
        <v>146</v>
      </c>
      <c r="B5" s="23" t="s">
        <v>179</v>
      </c>
      <c r="C5" s="15">
        <v>94</v>
      </c>
      <c r="D5" s="36">
        <v>0.5</v>
      </c>
      <c r="E5" s="15">
        <v>24.8</v>
      </c>
      <c r="F5" s="15">
        <v>0</v>
      </c>
      <c r="G5" s="15">
        <v>100</v>
      </c>
      <c r="H5" s="15">
        <v>66.67</v>
      </c>
      <c r="I5" s="17">
        <v>5</v>
      </c>
      <c r="J5" s="1">
        <v>2</v>
      </c>
      <c r="K5" s="1">
        <v>6</v>
      </c>
    </row>
    <row r="6" spans="1:11" x14ac:dyDescent="0.3">
      <c r="A6" s="15" t="s">
        <v>146</v>
      </c>
      <c r="B6" s="23" t="s">
        <v>179</v>
      </c>
      <c r="C6" s="20">
        <v>94</v>
      </c>
      <c r="D6" s="36">
        <v>0.5</v>
      </c>
      <c r="E6" s="15">
        <v>23</v>
      </c>
      <c r="F6" s="15">
        <v>0</v>
      </c>
      <c r="G6" s="15">
        <v>100</v>
      </c>
      <c r="H6" s="15">
        <v>66.67</v>
      </c>
      <c r="I6" s="17">
        <v>5</v>
      </c>
      <c r="J6" s="1">
        <v>5</v>
      </c>
      <c r="K6" s="1">
        <v>5</v>
      </c>
    </row>
    <row r="7" spans="1:11" x14ac:dyDescent="0.3">
      <c r="A7" s="15" t="s">
        <v>146</v>
      </c>
      <c r="B7" s="23" t="s">
        <v>179</v>
      </c>
      <c r="C7" s="20">
        <v>94</v>
      </c>
      <c r="D7" s="36">
        <v>0.5</v>
      </c>
      <c r="E7" s="15">
        <v>22</v>
      </c>
      <c r="F7" s="15">
        <v>0</v>
      </c>
      <c r="G7" s="15">
        <v>100</v>
      </c>
      <c r="H7" s="15">
        <v>66.67</v>
      </c>
      <c r="I7" s="17">
        <v>5</v>
      </c>
      <c r="J7" s="1">
        <v>1</v>
      </c>
      <c r="K7" s="1">
        <v>1</v>
      </c>
    </row>
    <row r="8" spans="1:11" x14ac:dyDescent="0.3">
      <c r="A8" s="15" t="s">
        <v>146</v>
      </c>
      <c r="B8" s="23" t="s">
        <v>181</v>
      </c>
      <c r="C8" s="15">
        <v>99</v>
      </c>
      <c r="D8" s="18">
        <v>7.59</v>
      </c>
      <c r="E8" s="15">
        <v>23.9</v>
      </c>
      <c r="F8" s="15">
        <v>0</v>
      </c>
      <c r="G8" s="15">
        <v>100</v>
      </c>
      <c r="H8" s="15">
        <v>66.67</v>
      </c>
      <c r="I8" s="17">
        <v>3</v>
      </c>
      <c r="J8" s="1">
        <v>5</v>
      </c>
      <c r="K8" s="1">
        <v>6</v>
      </c>
    </row>
    <row r="9" spans="1:11" x14ac:dyDescent="0.3">
      <c r="A9" s="15" t="s">
        <v>146</v>
      </c>
      <c r="B9" s="23" t="s">
        <v>182</v>
      </c>
      <c r="C9" s="15">
        <v>99</v>
      </c>
      <c r="D9" s="18">
        <v>13.05</v>
      </c>
      <c r="E9" s="15">
        <v>25.9</v>
      </c>
      <c r="F9" s="15">
        <v>0.45</v>
      </c>
      <c r="G9" s="15">
        <v>100</v>
      </c>
      <c r="H9" s="15">
        <v>100</v>
      </c>
      <c r="I9" s="17">
        <v>3</v>
      </c>
      <c r="J9" s="1">
        <v>4</v>
      </c>
      <c r="K9" s="1">
        <v>4</v>
      </c>
    </row>
    <row r="10" spans="1:11" x14ac:dyDescent="0.3">
      <c r="A10" s="15" t="s">
        <v>146</v>
      </c>
      <c r="B10" s="23" t="s">
        <v>184</v>
      </c>
      <c r="C10" s="15">
        <v>93</v>
      </c>
      <c r="D10" s="18">
        <v>6.64</v>
      </c>
      <c r="E10" s="15">
        <v>26</v>
      </c>
      <c r="F10" s="15">
        <v>0</v>
      </c>
      <c r="G10" s="15">
        <v>100</v>
      </c>
      <c r="H10" s="15">
        <v>100</v>
      </c>
      <c r="I10" s="17">
        <v>2</v>
      </c>
      <c r="J10" s="1">
        <v>7</v>
      </c>
      <c r="K10" s="1">
        <v>13</v>
      </c>
    </row>
    <row r="11" spans="1:11" x14ac:dyDescent="0.3">
      <c r="A11" s="15" t="s">
        <v>146</v>
      </c>
      <c r="B11" s="23" t="s">
        <v>184</v>
      </c>
      <c r="C11" s="15">
        <v>59</v>
      </c>
      <c r="D11" s="18">
        <v>39.5</v>
      </c>
      <c r="E11" s="15">
        <v>31.13</v>
      </c>
      <c r="F11" s="15">
        <v>2.1</v>
      </c>
      <c r="G11" s="15">
        <v>100</v>
      </c>
      <c r="H11" s="15">
        <v>100</v>
      </c>
      <c r="I11" s="17">
        <v>2</v>
      </c>
      <c r="J11" s="1">
        <v>4</v>
      </c>
      <c r="K11" s="1">
        <v>9</v>
      </c>
    </row>
    <row r="12" spans="1:11" x14ac:dyDescent="0.3">
      <c r="A12" s="15" t="s">
        <v>146</v>
      </c>
      <c r="B12" s="23" t="s">
        <v>184</v>
      </c>
      <c r="C12" s="15">
        <v>80</v>
      </c>
      <c r="D12" s="18">
        <v>6.56</v>
      </c>
      <c r="E12" s="15">
        <v>23.9</v>
      </c>
      <c r="F12" s="15">
        <v>0</v>
      </c>
      <c r="G12" s="15">
        <v>100</v>
      </c>
      <c r="H12" s="15">
        <v>95.24</v>
      </c>
      <c r="I12" s="17">
        <v>2</v>
      </c>
      <c r="J12" s="1">
        <v>0</v>
      </c>
      <c r="K12" s="1">
        <v>0</v>
      </c>
    </row>
    <row r="13" spans="1:11" x14ac:dyDescent="0.3">
      <c r="A13" s="15" t="s">
        <v>146</v>
      </c>
      <c r="B13" s="23" t="s">
        <v>183</v>
      </c>
      <c r="C13" s="15">
        <v>79</v>
      </c>
      <c r="D13" s="18">
        <v>15.5</v>
      </c>
      <c r="E13" s="15">
        <v>28.3</v>
      </c>
      <c r="F13" s="15">
        <v>0</v>
      </c>
      <c r="G13" s="15">
        <v>100</v>
      </c>
      <c r="H13" s="15">
        <v>100</v>
      </c>
      <c r="I13" s="17">
        <v>3</v>
      </c>
      <c r="J13" s="1">
        <v>3</v>
      </c>
      <c r="K13" s="1">
        <v>3</v>
      </c>
    </row>
    <row r="14" spans="1:11" x14ac:dyDescent="0.3">
      <c r="A14" s="15" t="s">
        <v>146</v>
      </c>
      <c r="B14" s="23" t="s">
        <v>183</v>
      </c>
      <c r="C14" s="15">
        <v>79</v>
      </c>
      <c r="D14" s="18">
        <v>4.87</v>
      </c>
      <c r="E14" s="15">
        <v>25.2</v>
      </c>
      <c r="F14" s="15">
        <v>0</v>
      </c>
      <c r="G14" s="15">
        <v>100</v>
      </c>
      <c r="H14" s="15">
        <v>71.430000000000007</v>
      </c>
      <c r="I14" s="17">
        <v>3</v>
      </c>
      <c r="J14" s="1">
        <v>0</v>
      </c>
      <c r="K14" s="1">
        <v>0</v>
      </c>
    </row>
    <row r="15" spans="1:11" x14ac:dyDescent="0.3">
      <c r="A15" s="15" t="s">
        <v>146</v>
      </c>
      <c r="B15" s="23" t="s">
        <v>185</v>
      </c>
      <c r="C15" s="15">
        <v>86</v>
      </c>
      <c r="D15" s="18">
        <v>19.5</v>
      </c>
      <c r="E15" s="15">
        <v>27.4</v>
      </c>
      <c r="F15" s="15">
        <v>2.9</v>
      </c>
      <c r="G15" s="15">
        <v>100</v>
      </c>
      <c r="H15" s="15">
        <v>71.430000000000007</v>
      </c>
      <c r="I15" s="17">
        <v>1</v>
      </c>
      <c r="J15" s="1">
        <v>3</v>
      </c>
      <c r="K15" s="1">
        <v>5</v>
      </c>
    </row>
    <row r="16" spans="1:11" x14ac:dyDescent="0.3">
      <c r="A16" s="15" t="s">
        <v>146</v>
      </c>
      <c r="B16" s="23" t="s">
        <v>186</v>
      </c>
      <c r="C16" s="15">
        <v>79</v>
      </c>
      <c r="D16" s="18">
        <v>0.56999999999999995</v>
      </c>
      <c r="E16" s="15">
        <v>24.8</v>
      </c>
      <c r="F16" s="15">
        <v>0</v>
      </c>
      <c r="G16" s="15">
        <v>100</v>
      </c>
      <c r="H16" s="15">
        <v>100</v>
      </c>
      <c r="I16" s="17">
        <v>6</v>
      </c>
      <c r="J16" s="1">
        <v>3</v>
      </c>
      <c r="K16" s="1">
        <v>4</v>
      </c>
    </row>
    <row r="17" spans="1:11" x14ac:dyDescent="0.3">
      <c r="A17" s="15" t="s">
        <v>146</v>
      </c>
      <c r="B17" s="23" t="s">
        <v>186</v>
      </c>
      <c r="C17" s="15">
        <v>96</v>
      </c>
      <c r="D17" s="18">
        <v>15.05</v>
      </c>
      <c r="E17" s="15">
        <v>30.2</v>
      </c>
      <c r="F17" s="15">
        <v>0</v>
      </c>
      <c r="G17" s="15">
        <v>100</v>
      </c>
      <c r="H17" s="15">
        <v>66.67</v>
      </c>
      <c r="I17" s="17">
        <v>6</v>
      </c>
      <c r="J17" s="1">
        <v>2</v>
      </c>
      <c r="K17" s="1">
        <v>6</v>
      </c>
    </row>
    <row r="18" spans="1:11" x14ac:dyDescent="0.3">
      <c r="A18" s="15" t="s">
        <v>146</v>
      </c>
      <c r="B18" s="15" t="s">
        <v>186</v>
      </c>
      <c r="C18" s="15">
        <v>57</v>
      </c>
      <c r="D18" s="18">
        <v>153.19999999999999</v>
      </c>
      <c r="E18" s="15">
        <v>30.2</v>
      </c>
      <c r="F18" s="15">
        <v>0.4</v>
      </c>
      <c r="G18" s="15">
        <v>100</v>
      </c>
      <c r="H18" s="15">
        <v>71.430000000000007</v>
      </c>
      <c r="I18" s="17">
        <v>6</v>
      </c>
      <c r="J18" s="1">
        <v>2</v>
      </c>
      <c r="K18" s="1">
        <v>3</v>
      </c>
    </row>
    <row r="19" spans="1:11" x14ac:dyDescent="0.3">
      <c r="A19" s="15" t="s">
        <v>153</v>
      </c>
      <c r="B19" s="23" t="s">
        <v>176</v>
      </c>
      <c r="C19" s="15">
        <v>98</v>
      </c>
      <c r="D19" s="18">
        <v>7.54</v>
      </c>
      <c r="E19" s="15">
        <v>25.8</v>
      </c>
      <c r="F19" s="15">
        <v>0</v>
      </c>
      <c r="G19" s="15">
        <v>100</v>
      </c>
      <c r="H19" s="15">
        <v>55.4</v>
      </c>
      <c r="I19" s="17">
        <v>4</v>
      </c>
      <c r="J19" s="1">
        <v>5</v>
      </c>
      <c r="K19" s="1">
        <v>7</v>
      </c>
    </row>
    <row r="20" spans="1:11" x14ac:dyDescent="0.3">
      <c r="A20" s="15" t="s">
        <v>153</v>
      </c>
      <c r="B20" s="23" t="s">
        <v>176</v>
      </c>
      <c r="C20" s="15">
        <v>99</v>
      </c>
      <c r="D20" s="18">
        <v>6.06</v>
      </c>
      <c r="E20" s="15">
        <v>25.35</v>
      </c>
      <c r="F20" s="15">
        <v>0</v>
      </c>
      <c r="G20" s="15">
        <v>100</v>
      </c>
      <c r="H20" s="15">
        <v>95.24</v>
      </c>
      <c r="I20" s="17">
        <v>4</v>
      </c>
      <c r="J20" s="1">
        <v>9</v>
      </c>
      <c r="K20" s="1">
        <v>9</v>
      </c>
    </row>
    <row r="21" spans="1:11" x14ac:dyDescent="0.3">
      <c r="A21" s="15" t="s">
        <v>153</v>
      </c>
      <c r="B21" s="23" t="s">
        <v>177</v>
      </c>
      <c r="C21" s="15">
        <v>98</v>
      </c>
      <c r="D21" s="18">
        <v>0.77</v>
      </c>
      <c r="E21" s="15">
        <v>22.6</v>
      </c>
      <c r="F21" s="15">
        <v>0</v>
      </c>
      <c r="G21" s="15">
        <v>100</v>
      </c>
      <c r="H21" s="15">
        <v>71.430000000000007</v>
      </c>
      <c r="I21" s="17">
        <v>3</v>
      </c>
      <c r="J21" s="1">
        <v>8</v>
      </c>
      <c r="K21" s="1">
        <v>14</v>
      </c>
    </row>
    <row r="22" spans="1:11" x14ac:dyDescent="0.3">
      <c r="A22" s="15" t="s">
        <v>153</v>
      </c>
      <c r="B22" s="23" t="s">
        <v>177</v>
      </c>
      <c r="C22" s="15">
        <v>82</v>
      </c>
      <c r="D22" s="36">
        <v>0.19800000000000001</v>
      </c>
      <c r="E22" s="15">
        <v>24.3</v>
      </c>
      <c r="F22" s="15">
        <v>0</v>
      </c>
      <c r="G22" s="15">
        <v>20</v>
      </c>
      <c r="H22" s="15">
        <v>47.62</v>
      </c>
      <c r="I22" s="17">
        <v>3</v>
      </c>
      <c r="J22" s="1">
        <v>9</v>
      </c>
      <c r="K22" s="1">
        <v>12</v>
      </c>
    </row>
    <row r="23" spans="1:11" x14ac:dyDescent="0.3">
      <c r="A23" s="15" t="s">
        <v>153</v>
      </c>
      <c r="B23" s="23" t="s">
        <v>179</v>
      </c>
      <c r="C23" s="15">
        <v>98</v>
      </c>
      <c r="D23" s="18">
        <v>3.69</v>
      </c>
      <c r="E23" s="15">
        <v>22.35</v>
      </c>
      <c r="F23" s="15">
        <v>0</v>
      </c>
      <c r="G23" s="15">
        <v>0</v>
      </c>
      <c r="H23" s="15">
        <v>100</v>
      </c>
      <c r="I23" s="17">
        <v>5</v>
      </c>
      <c r="J23" s="1">
        <v>3</v>
      </c>
      <c r="K23" s="1">
        <v>7</v>
      </c>
    </row>
    <row r="24" spans="1:11" x14ac:dyDescent="0.3">
      <c r="A24" s="15" t="s">
        <v>153</v>
      </c>
      <c r="B24" s="23" t="s">
        <v>179</v>
      </c>
      <c r="C24" s="15">
        <v>98</v>
      </c>
      <c r="D24" s="18">
        <v>3.69</v>
      </c>
      <c r="E24" s="15">
        <v>22.35</v>
      </c>
      <c r="F24" s="15">
        <v>0</v>
      </c>
      <c r="G24" s="15">
        <v>0</v>
      </c>
      <c r="H24" s="15">
        <v>100</v>
      </c>
      <c r="I24" s="17">
        <v>5</v>
      </c>
      <c r="J24" s="1">
        <v>13</v>
      </c>
      <c r="K24" s="1">
        <v>14</v>
      </c>
    </row>
    <row r="25" spans="1:11" x14ac:dyDescent="0.3">
      <c r="A25" s="15" t="s">
        <v>153</v>
      </c>
      <c r="B25" s="23" t="s">
        <v>179</v>
      </c>
      <c r="C25" s="15">
        <v>90</v>
      </c>
      <c r="D25" s="36">
        <v>3.5000000000000003E-2</v>
      </c>
      <c r="E25" s="15">
        <v>24.2</v>
      </c>
      <c r="F25" s="15">
        <v>0</v>
      </c>
      <c r="G25" s="15">
        <v>20</v>
      </c>
      <c r="H25" s="15">
        <v>100</v>
      </c>
      <c r="I25" s="17">
        <v>5</v>
      </c>
      <c r="J25" s="1">
        <v>1</v>
      </c>
      <c r="K25" s="1">
        <v>1</v>
      </c>
    </row>
    <row r="26" spans="1:11" x14ac:dyDescent="0.3">
      <c r="A26" s="15" t="s">
        <v>153</v>
      </c>
      <c r="B26" s="23" t="s">
        <v>179</v>
      </c>
      <c r="C26" s="15">
        <v>61</v>
      </c>
      <c r="D26" s="36">
        <v>9.4E-2</v>
      </c>
      <c r="E26" s="15">
        <v>25.5</v>
      </c>
      <c r="F26" s="15">
        <v>0</v>
      </c>
      <c r="G26" s="15">
        <v>15</v>
      </c>
      <c r="H26" s="15">
        <v>71.430000000000007</v>
      </c>
      <c r="I26" s="17">
        <v>5</v>
      </c>
      <c r="J26" s="1">
        <v>6</v>
      </c>
      <c r="K26" s="1">
        <v>8</v>
      </c>
    </row>
    <row r="27" spans="1:11" x14ac:dyDescent="0.3">
      <c r="A27" s="15" t="s">
        <v>153</v>
      </c>
      <c r="B27" s="23" t="s">
        <v>179</v>
      </c>
      <c r="C27" s="15">
        <v>65</v>
      </c>
      <c r="D27" s="36">
        <v>3.5000000000000003E-2</v>
      </c>
      <c r="E27" s="15">
        <v>25.7</v>
      </c>
      <c r="F27" s="15">
        <v>0</v>
      </c>
      <c r="G27" s="15">
        <v>100</v>
      </c>
      <c r="H27" s="15">
        <v>100</v>
      </c>
      <c r="I27" s="17">
        <v>5</v>
      </c>
      <c r="J27" s="1">
        <v>3</v>
      </c>
      <c r="K27" s="1">
        <v>3</v>
      </c>
    </row>
    <row r="28" spans="1:11" x14ac:dyDescent="0.3">
      <c r="A28" s="15" t="s">
        <v>153</v>
      </c>
      <c r="B28" s="23" t="s">
        <v>180</v>
      </c>
      <c r="C28" s="15">
        <v>85</v>
      </c>
      <c r="D28" s="18">
        <v>3.81</v>
      </c>
      <c r="E28" s="15">
        <v>25</v>
      </c>
      <c r="F28" s="15">
        <v>0</v>
      </c>
      <c r="G28" s="15">
        <v>78.33</v>
      </c>
      <c r="H28" s="15">
        <v>100</v>
      </c>
      <c r="I28" s="17">
        <v>5</v>
      </c>
      <c r="J28" s="1">
        <v>3</v>
      </c>
      <c r="K28" s="1">
        <v>3</v>
      </c>
    </row>
    <row r="29" spans="1:11" x14ac:dyDescent="0.3">
      <c r="A29" s="15" t="s">
        <v>153</v>
      </c>
      <c r="B29" s="23" t="s">
        <v>180</v>
      </c>
      <c r="C29" s="15">
        <v>61</v>
      </c>
      <c r="D29" s="18">
        <v>4.78</v>
      </c>
      <c r="E29" s="15">
        <v>28.7</v>
      </c>
      <c r="F29" s="15">
        <v>0</v>
      </c>
      <c r="G29" s="15">
        <v>100</v>
      </c>
      <c r="H29" s="15">
        <v>66.67</v>
      </c>
      <c r="I29" s="17">
        <v>5</v>
      </c>
      <c r="J29" s="1">
        <v>0</v>
      </c>
      <c r="K29" s="1">
        <v>0</v>
      </c>
    </row>
    <row r="30" spans="1:11" x14ac:dyDescent="0.3">
      <c r="A30" s="15" t="s">
        <v>153</v>
      </c>
      <c r="B30" s="23" t="s">
        <v>180</v>
      </c>
      <c r="C30" s="15">
        <v>47</v>
      </c>
      <c r="D30" s="36">
        <v>0.74399999999999999</v>
      </c>
      <c r="E30" s="15">
        <v>29.9</v>
      </c>
      <c r="F30" s="15">
        <v>0</v>
      </c>
      <c r="G30" s="15">
        <v>2</v>
      </c>
      <c r="H30" s="15">
        <v>95.24</v>
      </c>
      <c r="I30" s="17">
        <v>5</v>
      </c>
      <c r="J30" s="1">
        <v>2</v>
      </c>
      <c r="K30" s="1">
        <v>2</v>
      </c>
    </row>
    <row r="31" spans="1:11" x14ac:dyDescent="0.3">
      <c r="A31" s="15" t="s">
        <v>153</v>
      </c>
      <c r="B31" s="23" t="s">
        <v>180</v>
      </c>
      <c r="C31" s="15">
        <v>50</v>
      </c>
      <c r="D31" s="36">
        <v>0.7</v>
      </c>
      <c r="E31" s="15">
        <v>26.3</v>
      </c>
      <c r="F31" s="15">
        <v>0</v>
      </c>
      <c r="G31" s="15">
        <v>100</v>
      </c>
      <c r="H31" s="15">
        <v>47.62</v>
      </c>
      <c r="I31" s="17">
        <v>5</v>
      </c>
      <c r="J31" s="1">
        <v>2</v>
      </c>
      <c r="K31" s="1">
        <v>5</v>
      </c>
    </row>
    <row r="32" spans="1:11" x14ac:dyDescent="0.3">
      <c r="A32" s="15" t="s">
        <v>153</v>
      </c>
      <c r="B32" s="23" t="s">
        <v>181</v>
      </c>
      <c r="C32" s="15">
        <v>85</v>
      </c>
      <c r="D32" s="18">
        <v>13.84</v>
      </c>
      <c r="E32" s="15">
        <v>26.7</v>
      </c>
      <c r="F32" s="15">
        <v>0</v>
      </c>
      <c r="G32" s="15">
        <v>100</v>
      </c>
      <c r="H32" s="15">
        <v>95.24</v>
      </c>
      <c r="I32" s="17">
        <v>3</v>
      </c>
      <c r="J32" s="1">
        <v>4</v>
      </c>
      <c r="K32" s="1">
        <v>6</v>
      </c>
    </row>
    <row r="33" spans="1:11" x14ac:dyDescent="0.3">
      <c r="A33" s="15" t="s">
        <v>153</v>
      </c>
      <c r="B33" s="23" t="s">
        <v>181</v>
      </c>
      <c r="C33" s="15">
        <v>55</v>
      </c>
      <c r="D33" s="18">
        <v>55.3</v>
      </c>
      <c r="E33" s="15">
        <v>30.2</v>
      </c>
      <c r="F33" s="15">
        <v>0</v>
      </c>
      <c r="G33" s="15">
        <v>100</v>
      </c>
      <c r="H33" s="15">
        <v>95.24</v>
      </c>
      <c r="I33" s="17">
        <v>3</v>
      </c>
      <c r="J33" s="1">
        <v>0</v>
      </c>
      <c r="K33" s="1">
        <v>0</v>
      </c>
    </row>
    <row r="34" spans="1:11" x14ac:dyDescent="0.3">
      <c r="A34" s="15" t="s">
        <v>153</v>
      </c>
      <c r="B34" s="23" t="s">
        <v>181</v>
      </c>
      <c r="C34" s="15">
        <v>51</v>
      </c>
      <c r="D34" s="18">
        <v>26.78</v>
      </c>
      <c r="E34" s="15">
        <v>30.7</v>
      </c>
      <c r="F34" s="15">
        <v>0</v>
      </c>
      <c r="G34" s="15">
        <v>23.33</v>
      </c>
      <c r="H34" s="15">
        <v>100</v>
      </c>
      <c r="I34" s="17">
        <v>3</v>
      </c>
      <c r="J34" s="1">
        <v>2</v>
      </c>
      <c r="K34" s="1">
        <v>2</v>
      </c>
    </row>
    <row r="35" spans="1:11" x14ac:dyDescent="0.3">
      <c r="A35" s="15" t="s">
        <v>153</v>
      </c>
      <c r="B35" s="23" t="s">
        <v>182</v>
      </c>
      <c r="C35" s="15">
        <v>90</v>
      </c>
      <c r="D35" s="18">
        <v>8.44</v>
      </c>
      <c r="E35" s="15">
        <v>27.4</v>
      </c>
      <c r="F35" s="15">
        <v>0.8</v>
      </c>
      <c r="G35" s="15">
        <v>100</v>
      </c>
      <c r="H35" s="15">
        <v>100</v>
      </c>
      <c r="I35" s="17">
        <v>3</v>
      </c>
      <c r="J35" s="1">
        <v>12</v>
      </c>
      <c r="K35" s="1">
        <v>17</v>
      </c>
    </row>
    <row r="36" spans="1:11" x14ac:dyDescent="0.3">
      <c r="A36" s="15" t="s">
        <v>153</v>
      </c>
      <c r="B36" s="16" t="s">
        <v>182</v>
      </c>
      <c r="C36" s="15">
        <v>58</v>
      </c>
      <c r="D36" s="18">
        <v>30.1</v>
      </c>
      <c r="E36" s="15">
        <v>29.1</v>
      </c>
      <c r="F36" s="15">
        <v>0</v>
      </c>
      <c r="G36" s="15">
        <v>98.75</v>
      </c>
      <c r="H36" s="15">
        <v>100</v>
      </c>
      <c r="I36" s="17">
        <v>3</v>
      </c>
      <c r="J36" s="1">
        <v>2</v>
      </c>
      <c r="K36" s="1">
        <v>2</v>
      </c>
    </row>
    <row r="37" spans="1:11" x14ac:dyDescent="0.3">
      <c r="A37" s="15" t="s">
        <v>153</v>
      </c>
      <c r="B37" s="23" t="s">
        <v>184</v>
      </c>
      <c r="C37" s="15">
        <v>77</v>
      </c>
      <c r="D37" s="36">
        <v>1.79</v>
      </c>
      <c r="E37" s="15">
        <v>23.98</v>
      </c>
      <c r="F37" s="15">
        <v>0.83</v>
      </c>
      <c r="G37" s="15">
        <v>100</v>
      </c>
      <c r="H37" s="15">
        <v>76.19</v>
      </c>
      <c r="I37" s="17">
        <v>2</v>
      </c>
      <c r="J37" s="1">
        <v>3</v>
      </c>
      <c r="K37" s="1">
        <v>3</v>
      </c>
    </row>
    <row r="38" spans="1:11" x14ac:dyDescent="0.3">
      <c r="A38" s="15" t="s">
        <v>153</v>
      </c>
      <c r="B38" s="23" t="s">
        <v>184</v>
      </c>
      <c r="C38" s="15">
        <v>78</v>
      </c>
      <c r="D38" s="36">
        <v>20.350000000000001</v>
      </c>
      <c r="E38" s="15">
        <v>22.55</v>
      </c>
      <c r="F38" s="15">
        <v>0</v>
      </c>
      <c r="G38" s="15">
        <v>38.33</v>
      </c>
      <c r="H38" s="15">
        <v>100</v>
      </c>
      <c r="I38" s="17">
        <v>2</v>
      </c>
      <c r="J38" s="1">
        <v>6</v>
      </c>
      <c r="K38" s="1">
        <v>14</v>
      </c>
    </row>
    <row r="39" spans="1:11" x14ac:dyDescent="0.3">
      <c r="A39" s="15" t="s">
        <v>153</v>
      </c>
      <c r="B39" s="23" t="s">
        <v>184</v>
      </c>
      <c r="C39" s="15">
        <v>98</v>
      </c>
      <c r="D39" s="36">
        <v>3.05</v>
      </c>
      <c r="E39" s="15">
        <v>21.7</v>
      </c>
      <c r="F39" s="15">
        <v>0.9</v>
      </c>
      <c r="G39" s="15">
        <v>100</v>
      </c>
      <c r="H39" s="15">
        <v>100</v>
      </c>
      <c r="I39" s="17">
        <v>2</v>
      </c>
      <c r="J39" s="1">
        <v>1</v>
      </c>
      <c r="K39" s="1">
        <v>1</v>
      </c>
    </row>
    <row r="40" spans="1:11" x14ac:dyDescent="0.3">
      <c r="A40" s="15" t="s">
        <v>153</v>
      </c>
      <c r="B40" s="23" t="s">
        <v>184</v>
      </c>
      <c r="C40" s="15">
        <v>77</v>
      </c>
      <c r="D40" s="36">
        <v>12.54</v>
      </c>
      <c r="E40" s="15">
        <v>25.3</v>
      </c>
      <c r="F40" s="15">
        <v>1</v>
      </c>
      <c r="G40" s="15">
        <v>100</v>
      </c>
      <c r="H40" s="15">
        <v>100</v>
      </c>
      <c r="I40" s="17">
        <v>2</v>
      </c>
      <c r="J40" s="1">
        <v>1</v>
      </c>
      <c r="K40" s="1">
        <v>5</v>
      </c>
    </row>
    <row r="41" spans="1:11" x14ac:dyDescent="0.3">
      <c r="A41" s="15" t="s">
        <v>153</v>
      </c>
      <c r="B41" s="23" t="s">
        <v>183</v>
      </c>
      <c r="C41" s="15">
        <v>95</v>
      </c>
      <c r="D41" s="18">
        <v>10.69</v>
      </c>
      <c r="E41" s="15">
        <v>22.8</v>
      </c>
      <c r="F41" s="15">
        <v>1.2</v>
      </c>
      <c r="G41" s="15">
        <v>100</v>
      </c>
      <c r="H41" s="15">
        <v>100</v>
      </c>
      <c r="I41" s="17">
        <v>3</v>
      </c>
      <c r="J41" s="1">
        <v>4</v>
      </c>
      <c r="K41" s="1">
        <v>7</v>
      </c>
    </row>
    <row r="42" spans="1:11" x14ac:dyDescent="0.3">
      <c r="A42" s="15" t="s">
        <v>153</v>
      </c>
      <c r="B42" s="23" t="s">
        <v>183</v>
      </c>
      <c r="C42" s="15">
        <v>95</v>
      </c>
      <c r="D42" s="18">
        <v>5.99</v>
      </c>
      <c r="E42" s="15">
        <v>25.7</v>
      </c>
      <c r="F42" s="15">
        <v>0</v>
      </c>
      <c r="G42" s="15">
        <v>100</v>
      </c>
      <c r="H42" s="15">
        <v>100</v>
      </c>
      <c r="I42" s="17">
        <v>3</v>
      </c>
      <c r="J42" s="1">
        <v>5</v>
      </c>
      <c r="K42" s="1">
        <v>7</v>
      </c>
    </row>
    <row r="43" spans="1:11" x14ac:dyDescent="0.3">
      <c r="A43" s="15" t="s">
        <v>153</v>
      </c>
      <c r="B43" s="16" t="s">
        <v>183</v>
      </c>
      <c r="C43" s="15">
        <v>98</v>
      </c>
      <c r="D43" s="18">
        <v>3.61</v>
      </c>
      <c r="E43" s="15">
        <v>23</v>
      </c>
      <c r="F43" s="15">
        <v>0</v>
      </c>
      <c r="G43" s="15">
        <v>100</v>
      </c>
      <c r="H43" s="15">
        <v>76.19</v>
      </c>
      <c r="I43" s="17">
        <v>3</v>
      </c>
      <c r="J43" s="1">
        <v>0</v>
      </c>
      <c r="K43" s="1">
        <v>0</v>
      </c>
    </row>
    <row r="44" spans="1:11" x14ac:dyDescent="0.3">
      <c r="A44" s="15" t="s">
        <v>153</v>
      </c>
      <c r="B44" s="23" t="s">
        <v>183</v>
      </c>
      <c r="C44" s="15">
        <v>80</v>
      </c>
      <c r="D44" s="18">
        <v>6.89</v>
      </c>
      <c r="E44" s="15">
        <v>24.3</v>
      </c>
      <c r="F44" s="15">
        <v>0.87</v>
      </c>
      <c r="G44" s="15">
        <v>100</v>
      </c>
      <c r="H44" s="15">
        <v>100</v>
      </c>
      <c r="I44" s="17">
        <v>3</v>
      </c>
      <c r="J44" s="1">
        <v>2</v>
      </c>
      <c r="K44" s="1">
        <v>2</v>
      </c>
    </row>
    <row r="45" spans="1:11" x14ac:dyDescent="0.3">
      <c r="A45" s="15" t="s">
        <v>153</v>
      </c>
      <c r="B45" s="23" t="s">
        <v>185</v>
      </c>
      <c r="C45" s="15">
        <v>80</v>
      </c>
      <c r="D45" s="36">
        <v>14.7</v>
      </c>
      <c r="E45" s="15">
        <v>24.13</v>
      </c>
      <c r="F45" s="15">
        <v>2.1</v>
      </c>
      <c r="G45" s="15">
        <v>100</v>
      </c>
      <c r="H45" s="15">
        <v>100</v>
      </c>
      <c r="I45" s="17">
        <v>1</v>
      </c>
      <c r="J45" s="1">
        <v>3</v>
      </c>
      <c r="K45" s="1">
        <v>11</v>
      </c>
    </row>
    <row r="46" spans="1:11" x14ac:dyDescent="0.3">
      <c r="A46" s="15" t="s">
        <v>153</v>
      </c>
      <c r="B46" s="23" t="s">
        <v>185</v>
      </c>
      <c r="C46" s="15">
        <v>99</v>
      </c>
      <c r="D46" s="36">
        <v>12.46</v>
      </c>
      <c r="E46" s="15">
        <v>22.9</v>
      </c>
      <c r="F46" s="15">
        <v>0</v>
      </c>
      <c r="G46" s="15">
        <v>100</v>
      </c>
      <c r="H46" s="15">
        <v>95.24</v>
      </c>
      <c r="I46" s="17">
        <v>1</v>
      </c>
      <c r="J46" s="1">
        <v>4</v>
      </c>
      <c r="K46" s="1">
        <v>5</v>
      </c>
    </row>
    <row r="47" spans="1:11" x14ac:dyDescent="0.3">
      <c r="A47" s="15" t="s">
        <v>153</v>
      </c>
      <c r="B47" s="16" t="s">
        <v>185</v>
      </c>
      <c r="C47" s="15">
        <v>99</v>
      </c>
      <c r="D47" s="18">
        <v>8.2799999999999994</v>
      </c>
      <c r="E47" s="15">
        <v>24.2</v>
      </c>
      <c r="F47" s="15">
        <v>0</v>
      </c>
      <c r="G47" s="15">
        <v>100</v>
      </c>
      <c r="H47" s="15">
        <v>76.19</v>
      </c>
      <c r="I47" s="17">
        <v>1</v>
      </c>
      <c r="J47" s="1">
        <v>0</v>
      </c>
      <c r="K47" s="1">
        <v>0</v>
      </c>
    </row>
    <row r="48" spans="1:11" x14ac:dyDescent="0.3">
      <c r="A48" s="15" t="s">
        <v>153</v>
      </c>
      <c r="B48" s="16" t="s">
        <v>185</v>
      </c>
      <c r="C48" s="15">
        <v>99</v>
      </c>
      <c r="D48" s="18">
        <v>7.19</v>
      </c>
      <c r="E48" s="15">
        <v>23.4</v>
      </c>
      <c r="F48" s="15">
        <v>1.5</v>
      </c>
      <c r="G48" s="15">
        <v>100</v>
      </c>
      <c r="H48" s="15">
        <v>76.19</v>
      </c>
      <c r="I48" s="17">
        <v>1</v>
      </c>
      <c r="J48" s="1">
        <v>0</v>
      </c>
      <c r="K48" s="1">
        <v>0</v>
      </c>
    </row>
    <row r="49" spans="1:11" x14ac:dyDescent="0.3">
      <c r="A49" s="15" t="s">
        <v>153</v>
      </c>
      <c r="B49" s="23" t="s">
        <v>186</v>
      </c>
      <c r="C49" s="15">
        <v>95</v>
      </c>
      <c r="D49" s="18">
        <v>1.44</v>
      </c>
      <c r="E49" s="15">
        <v>25.1</v>
      </c>
      <c r="F49" s="15">
        <v>0</v>
      </c>
      <c r="G49" s="15">
        <v>100</v>
      </c>
      <c r="H49" s="15">
        <v>76.19</v>
      </c>
      <c r="I49" s="17">
        <v>6</v>
      </c>
      <c r="J49" s="1">
        <v>2</v>
      </c>
      <c r="K49" s="1">
        <v>7</v>
      </c>
    </row>
    <row r="50" spans="1:11" x14ac:dyDescent="0.3">
      <c r="A50" s="15" t="s">
        <v>153</v>
      </c>
      <c r="B50" s="23" t="s">
        <v>186</v>
      </c>
      <c r="C50" s="15">
        <v>99</v>
      </c>
      <c r="D50" s="18">
        <v>0.54</v>
      </c>
      <c r="E50" s="15">
        <v>21.9</v>
      </c>
      <c r="F50" s="15">
        <v>0</v>
      </c>
      <c r="G50" s="15">
        <v>100</v>
      </c>
      <c r="H50" s="15">
        <v>76.19</v>
      </c>
      <c r="I50" s="17">
        <v>6</v>
      </c>
      <c r="J50" s="1">
        <v>3</v>
      </c>
      <c r="K50" s="1">
        <v>3</v>
      </c>
    </row>
    <row r="51" spans="1:11" x14ac:dyDescent="0.3">
      <c r="A51" s="15" t="s">
        <v>153</v>
      </c>
      <c r="B51" s="23" t="s">
        <v>186</v>
      </c>
      <c r="C51" s="15">
        <v>99</v>
      </c>
      <c r="D51" s="18">
        <v>0.63</v>
      </c>
      <c r="E51" s="15">
        <v>25.1</v>
      </c>
      <c r="F51" s="15">
        <v>0</v>
      </c>
      <c r="G51" s="15">
        <v>100</v>
      </c>
      <c r="H51" s="15">
        <v>95.24</v>
      </c>
      <c r="I51" s="17">
        <v>6</v>
      </c>
      <c r="J51" s="1">
        <v>3</v>
      </c>
      <c r="K51" s="1">
        <v>8</v>
      </c>
    </row>
    <row r="52" spans="1:11" x14ac:dyDescent="0.3">
      <c r="A52" s="15" t="s">
        <v>153</v>
      </c>
      <c r="B52" s="23" t="s">
        <v>186</v>
      </c>
      <c r="C52" s="15">
        <v>99</v>
      </c>
      <c r="D52" s="18">
        <v>1.67</v>
      </c>
      <c r="E52" s="15">
        <v>25.2</v>
      </c>
      <c r="F52" s="15">
        <v>0</v>
      </c>
      <c r="G52" s="15">
        <v>100</v>
      </c>
      <c r="H52" s="15">
        <v>14.29</v>
      </c>
      <c r="I52" s="17">
        <v>6</v>
      </c>
      <c r="J52" s="1">
        <v>3</v>
      </c>
      <c r="K52" s="1">
        <v>4</v>
      </c>
    </row>
    <row r="53" spans="1:11" x14ac:dyDescent="0.3">
      <c r="A53" s="15" t="s">
        <v>158</v>
      </c>
      <c r="B53" s="23" t="s">
        <v>176</v>
      </c>
      <c r="C53" s="15">
        <v>96</v>
      </c>
      <c r="D53" s="18">
        <v>1.1399999999999999</v>
      </c>
      <c r="E53" s="15">
        <v>26.4</v>
      </c>
      <c r="F53" s="15">
        <v>0</v>
      </c>
      <c r="G53" s="15">
        <v>22</v>
      </c>
      <c r="H53" s="15">
        <v>71.42</v>
      </c>
      <c r="I53" s="17">
        <v>4</v>
      </c>
      <c r="J53" s="1">
        <v>4</v>
      </c>
      <c r="K53" s="1">
        <v>7</v>
      </c>
    </row>
    <row r="54" spans="1:11" x14ac:dyDescent="0.3">
      <c r="A54" s="15" t="s">
        <v>158</v>
      </c>
      <c r="B54" s="23" t="s">
        <v>176</v>
      </c>
      <c r="C54" s="15">
        <v>99</v>
      </c>
      <c r="D54" s="18">
        <v>8.51</v>
      </c>
      <c r="E54" s="15">
        <v>26.5</v>
      </c>
      <c r="F54" s="15">
        <v>0</v>
      </c>
      <c r="G54" s="15">
        <v>36.659999999999997</v>
      </c>
      <c r="H54" s="15">
        <v>95.24</v>
      </c>
      <c r="I54" s="17">
        <v>4</v>
      </c>
      <c r="J54" s="1">
        <v>9</v>
      </c>
      <c r="K54" s="1">
        <v>9</v>
      </c>
    </row>
    <row r="55" spans="1:11" x14ac:dyDescent="0.3">
      <c r="A55" s="15" t="s">
        <v>158</v>
      </c>
      <c r="B55" s="23" t="s">
        <v>176</v>
      </c>
      <c r="C55" s="15">
        <v>99</v>
      </c>
      <c r="D55" s="18">
        <v>8.52</v>
      </c>
      <c r="E55" s="15">
        <v>26.5</v>
      </c>
      <c r="F55" s="15">
        <v>0</v>
      </c>
      <c r="G55" s="15">
        <v>100</v>
      </c>
      <c r="H55" s="15">
        <v>95.24</v>
      </c>
      <c r="I55" s="17">
        <v>4</v>
      </c>
      <c r="J55" s="1">
        <v>5</v>
      </c>
      <c r="K55" s="1">
        <v>6</v>
      </c>
    </row>
    <row r="56" spans="1:11" x14ac:dyDescent="0.3">
      <c r="A56" s="15" t="s">
        <v>158</v>
      </c>
      <c r="B56" s="23" t="s">
        <v>178</v>
      </c>
      <c r="C56" s="15">
        <v>99</v>
      </c>
      <c r="D56" s="18">
        <v>6.93</v>
      </c>
      <c r="E56" s="15">
        <v>23.5</v>
      </c>
      <c r="F56" s="15">
        <v>0</v>
      </c>
      <c r="G56" s="15">
        <v>98</v>
      </c>
      <c r="H56" s="15">
        <v>95.24</v>
      </c>
      <c r="I56" s="17">
        <v>3</v>
      </c>
      <c r="J56" s="1">
        <v>7</v>
      </c>
      <c r="K56" s="1">
        <v>7</v>
      </c>
    </row>
    <row r="57" spans="1:11" x14ac:dyDescent="0.3">
      <c r="A57" s="15" t="s">
        <v>158</v>
      </c>
      <c r="B57" s="23" t="s">
        <v>178</v>
      </c>
      <c r="C57" s="15">
        <v>99</v>
      </c>
      <c r="D57" s="18">
        <v>6.8</v>
      </c>
      <c r="E57" s="15">
        <v>23.5</v>
      </c>
      <c r="F57" s="15">
        <v>0</v>
      </c>
      <c r="G57" s="15">
        <v>100</v>
      </c>
      <c r="H57" s="15">
        <v>95.24</v>
      </c>
      <c r="I57" s="17">
        <v>3</v>
      </c>
      <c r="J57" s="1">
        <v>1</v>
      </c>
      <c r="K57" s="1">
        <v>1</v>
      </c>
    </row>
    <row r="58" spans="1:11" x14ac:dyDescent="0.3">
      <c r="A58" s="15" t="s">
        <v>158</v>
      </c>
      <c r="B58" s="23" t="s">
        <v>179</v>
      </c>
      <c r="C58" s="15">
        <v>89</v>
      </c>
      <c r="D58" s="18">
        <v>2.74</v>
      </c>
      <c r="E58" s="15">
        <v>23.5</v>
      </c>
      <c r="F58" s="15">
        <v>0</v>
      </c>
      <c r="G58" s="15">
        <v>0</v>
      </c>
      <c r="H58" s="15">
        <v>95.24</v>
      </c>
      <c r="I58" s="17">
        <v>5</v>
      </c>
      <c r="J58" s="1">
        <v>13</v>
      </c>
      <c r="K58" s="1">
        <v>16</v>
      </c>
    </row>
    <row r="59" spans="1:11" x14ac:dyDescent="0.3">
      <c r="A59" s="15" t="s">
        <v>158</v>
      </c>
      <c r="B59" s="23" t="s">
        <v>179</v>
      </c>
      <c r="C59" s="15">
        <v>99</v>
      </c>
      <c r="D59" s="18">
        <v>0.32</v>
      </c>
      <c r="E59" s="15">
        <v>21.5</v>
      </c>
      <c r="F59" s="15">
        <v>0</v>
      </c>
      <c r="G59" s="15">
        <v>100</v>
      </c>
      <c r="H59" s="1">
        <v>100</v>
      </c>
      <c r="I59" s="17">
        <v>5</v>
      </c>
      <c r="J59" s="1">
        <v>3</v>
      </c>
      <c r="K59" s="1">
        <v>3</v>
      </c>
    </row>
    <row r="60" spans="1:11" x14ac:dyDescent="0.3">
      <c r="A60" s="15" t="s">
        <v>158</v>
      </c>
      <c r="B60" s="23" t="s">
        <v>179</v>
      </c>
      <c r="C60" s="15">
        <v>87</v>
      </c>
      <c r="D60" s="18">
        <v>0.03</v>
      </c>
      <c r="E60" s="15">
        <v>23.2</v>
      </c>
      <c r="F60" s="15">
        <v>0</v>
      </c>
      <c r="G60" s="15">
        <v>100</v>
      </c>
      <c r="H60" s="15">
        <v>71.42</v>
      </c>
      <c r="I60" s="17">
        <v>5</v>
      </c>
      <c r="J60" s="1">
        <v>3</v>
      </c>
      <c r="K60" s="1">
        <v>3</v>
      </c>
    </row>
    <row r="61" spans="1:11" x14ac:dyDescent="0.3">
      <c r="A61" s="15" t="s">
        <v>158</v>
      </c>
      <c r="B61" s="23" t="s">
        <v>179</v>
      </c>
      <c r="C61" s="15">
        <v>85</v>
      </c>
      <c r="D61" s="18">
        <v>0.04</v>
      </c>
      <c r="E61" s="15">
        <v>23.2</v>
      </c>
      <c r="F61" s="15">
        <v>0</v>
      </c>
      <c r="G61" s="15">
        <v>50</v>
      </c>
      <c r="H61" s="15">
        <v>100</v>
      </c>
      <c r="I61" s="17">
        <v>5</v>
      </c>
      <c r="J61" s="1">
        <v>1</v>
      </c>
      <c r="K61" s="1">
        <v>1</v>
      </c>
    </row>
    <row r="62" spans="1:11" x14ac:dyDescent="0.3">
      <c r="A62" s="15" t="s">
        <v>158</v>
      </c>
      <c r="B62" s="23" t="s">
        <v>180</v>
      </c>
      <c r="C62" s="15">
        <v>88</v>
      </c>
      <c r="D62" s="18">
        <v>0.69</v>
      </c>
      <c r="E62" s="15">
        <v>23.4</v>
      </c>
      <c r="F62" s="15">
        <v>6</v>
      </c>
      <c r="G62" s="15">
        <v>100</v>
      </c>
      <c r="H62" s="15">
        <v>100</v>
      </c>
      <c r="I62" s="17">
        <v>5</v>
      </c>
      <c r="J62" s="1">
        <v>8</v>
      </c>
      <c r="K62" s="1">
        <v>9</v>
      </c>
    </row>
    <row r="63" spans="1:11" x14ac:dyDescent="0.3">
      <c r="A63" s="15" t="s">
        <v>158</v>
      </c>
      <c r="B63" s="23" t="s">
        <v>180</v>
      </c>
      <c r="C63" s="15">
        <v>88</v>
      </c>
      <c r="D63" s="18">
        <v>1.86</v>
      </c>
      <c r="E63" s="15">
        <v>27.2</v>
      </c>
      <c r="F63" s="15">
        <v>0.6</v>
      </c>
      <c r="G63" s="15">
        <v>100</v>
      </c>
      <c r="H63" s="15">
        <v>100</v>
      </c>
      <c r="I63" s="17">
        <v>5</v>
      </c>
      <c r="J63" s="1">
        <v>4</v>
      </c>
      <c r="K63" s="1">
        <v>4</v>
      </c>
    </row>
    <row r="64" spans="1:11" x14ac:dyDescent="0.3">
      <c r="A64" s="15" t="s">
        <v>158</v>
      </c>
      <c r="B64" s="23" t="s">
        <v>181</v>
      </c>
      <c r="C64" s="15">
        <v>80</v>
      </c>
      <c r="D64" s="18">
        <v>51.6</v>
      </c>
      <c r="E64" s="15">
        <v>28.7</v>
      </c>
      <c r="F64" s="15">
        <v>2.5</v>
      </c>
      <c r="G64" s="15">
        <v>0</v>
      </c>
      <c r="H64" s="15">
        <v>100</v>
      </c>
      <c r="I64" s="17">
        <v>3</v>
      </c>
      <c r="J64" s="1">
        <v>5</v>
      </c>
      <c r="K64" s="1">
        <v>5</v>
      </c>
    </row>
    <row r="65" spans="1:11" x14ac:dyDescent="0.3">
      <c r="A65" s="15" t="s">
        <v>158</v>
      </c>
      <c r="B65" s="23" t="s">
        <v>182</v>
      </c>
      <c r="C65" s="15">
        <v>71</v>
      </c>
      <c r="D65" s="18">
        <v>7.17</v>
      </c>
      <c r="E65" s="15">
        <v>26.1</v>
      </c>
      <c r="F65" s="15">
        <v>1.9</v>
      </c>
      <c r="G65" s="15">
        <v>0</v>
      </c>
      <c r="H65" s="15">
        <v>100</v>
      </c>
      <c r="I65" s="17">
        <v>3</v>
      </c>
      <c r="J65" s="1">
        <v>9</v>
      </c>
      <c r="K65" s="1">
        <v>11</v>
      </c>
    </row>
    <row r="66" spans="1:11" x14ac:dyDescent="0.3">
      <c r="A66" s="15" t="s">
        <v>158</v>
      </c>
      <c r="B66" s="23" t="s">
        <v>182</v>
      </c>
      <c r="C66" s="15">
        <v>74</v>
      </c>
      <c r="D66" s="18">
        <v>7.5</v>
      </c>
      <c r="E66" s="15">
        <v>26</v>
      </c>
      <c r="F66" s="15">
        <v>0</v>
      </c>
      <c r="G66" s="15">
        <v>100</v>
      </c>
      <c r="H66" s="15">
        <v>100</v>
      </c>
      <c r="I66" s="17">
        <v>3</v>
      </c>
      <c r="J66" s="1">
        <v>1</v>
      </c>
      <c r="K66" s="1">
        <v>1</v>
      </c>
    </row>
    <row r="67" spans="1:11" x14ac:dyDescent="0.3">
      <c r="A67" s="15" t="s">
        <v>158</v>
      </c>
      <c r="B67" s="23" t="s">
        <v>182</v>
      </c>
      <c r="C67" s="15">
        <v>54</v>
      </c>
      <c r="D67" s="18">
        <v>10.85</v>
      </c>
      <c r="E67" s="15">
        <v>28.3</v>
      </c>
      <c r="F67" s="15">
        <v>1.45</v>
      </c>
      <c r="G67" s="15">
        <v>35</v>
      </c>
      <c r="H67" s="15">
        <v>100</v>
      </c>
      <c r="I67" s="17">
        <v>3</v>
      </c>
      <c r="J67" s="1">
        <v>4</v>
      </c>
      <c r="K67" s="1">
        <v>4</v>
      </c>
    </row>
    <row r="68" spans="1:11" x14ac:dyDescent="0.3">
      <c r="A68" s="15" t="s">
        <v>158</v>
      </c>
      <c r="B68" s="23" t="s">
        <v>184</v>
      </c>
      <c r="C68" s="1">
        <v>72</v>
      </c>
      <c r="D68" s="1">
        <v>17.850000000000001</v>
      </c>
      <c r="E68" s="1">
        <v>26.9</v>
      </c>
      <c r="F68" s="1">
        <v>1.6</v>
      </c>
      <c r="G68" s="1">
        <v>90</v>
      </c>
      <c r="H68" s="1">
        <v>100</v>
      </c>
      <c r="I68" s="17">
        <v>2</v>
      </c>
      <c r="J68" s="1">
        <v>2</v>
      </c>
      <c r="K68" s="1">
        <v>3</v>
      </c>
    </row>
    <row r="69" spans="1:11" x14ac:dyDescent="0.3">
      <c r="A69" s="15" t="s">
        <v>158</v>
      </c>
      <c r="B69" s="23" t="s">
        <v>184</v>
      </c>
      <c r="C69" s="15">
        <v>66</v>
      </c>
      <c r="D69" s="18">
        <v>6.27</v>
      </c>
      <c r="E69" s="15">
        <v>26.2</v>
      </c>
      <c r="F69" s="15">
        <v>0.8</v>
      </c>
      <c r="G69" s="15">
        <v>100</v>
      </c>
      <c r="H69" s="15">
        <v>71.42</v>
      </c>
      <c r="I69" s="17">
        <v>2</v>
      </c>
      <c r="J69" s="1">
        <v>1</v>
      </c>
      <c r="K69" s="1">
        <v>1</v>
      </c>
    </row>
    <row r="70" spans="1:11" x14ac:dyDescent="0.3">
      <c r="A70" s="15" t="s">
        <v>158</v>
      </c>
      <c r="B70" s="23" t="s">
        <v>183</v>
      </c>
      <c r="C70" s="15">
        <v>77</v>
      </c>
      <c r="D70" s="18">
        <v>19</v>
      </c>
      <c r="E70" s="15">
        <v>23.9</v>
      </c>
      <c r="F70" s="15">
        <v>0</v>
      </c>
      <c r="G70" s="15">
        <v>100</v>
      </c>
      <c r="H70" s="15">
        <v>76.19</v>
      </c>
      <c r="I70" s="17">
        <v>3</v>
      </c>
      <c r="J70" s="1">
        <v>4</v>
      </c>
      <c r="K70" s="1">
        <v>13</v>
      </c>
    </row>
    <row r="71" spans="1:11" x14ac:dyDescent="0.3">
      <c r="A71" s="15" t="s">
        <v>158</v>
      </c>
      <c r="B71" s="23" t="s">
        <v>183</v>
      </c>
      <c r="C71" s="15">
        <v>99</v>
      </c>
      <c r="D71" s="18">
        <v>29.59</v>
      </c>
      <c r="E71" s="15">
        <v>24.9</v>
      </c>
      <c r="F71" s="15">
        <v>0.65</v>
      </c>
      <c r="G71" s="15">
        <v>99</v>
      </c>
      <c r="H71" s="15">
        <v>95.24</v>
      </c>
      <c r="I71" s="17">
        <v>3</v>
      </c>
      <c r="J71" s="1">
        <v>4</v>
      </c>
      <c r="K71" s="1">
        <v>7</v>
      </c>
    </row>
    <row r="72" spans="1:11" x14ac:dyDescent="0.3">
      <c r="A72" s="15" t="s">
        <v>158</v>
      </c>
      <c r="B72" s="23" t="s">
        <v>183</v>
      </c>
      <c r="C72" s="15">
        <v>74</v>
      </c>
      <c r="D72" s="18">
        <v>1.52</v>
      </c>
      <c r="E72" s="15">
        <v>19.829999999999998</v>
      </c>
      <c r="F72" s="15">
        <v>0.85</v>
      </c>
      <c r="G72" s="15">
        <v>100</v>
      </c>
      <c r="H72" s="15">
        <v>95.24</v>
      </c>
      <c r="I72" s="17">
        <v>3</v>
      </c>
      <c r="J72" s="1">
        <v>2</v>
      </c>
      <c r="K72" s="1">
        <v>2</v>
      </c>
    </row>
    <row r="73" spans="1:11" x14ac:dyDescent="0.3">
      <c r="A73" s="15" t="s">
        <v>158</v>
      </c>
      <c r="B73" s="23" t="s">
        <v>185</v>
      </c>
      <c r="C73" s="15">
        <v>99</v>
      </c>
      <c r="D73" s="18">
        <v>27.94</v>
      </c>
      <c r="E73" s="15">
        <v>22.3</v>
      </c>
      <c r="F73" s="15">
        <v>1.2</v>
      </c>
      <c r="G73" s="15">
        <v>100</v>
      </c>
      <c r="H73" s="15">
        <v>95.24</v>
      </c>
      <c r="I73" s="17">
        <v>1</v>
      </c>
      <c r="J73" s="1">
        <v>5</v>
      </c>
      <c r="K73" s="1">
        <v>15</v>
      </c>
    </row>
    <row r="74" spans="1:11" x14ac:dyDescent="0.3">
      <c r="A74" s="15" t="s">
        <v>158</v>
      </c>
      <c r="B74" s="23" t="s">
        <v>185</v>
      </c>
      <c r="C74" s="15">
        <v>80</v>
      </c>
      <c r="D74" s="18">
        <v>6.81</v>
      </c>
      <c r="E74" s="15">
        <v>19.03</v>
      </c>
      <c r="F74" s="15">
        <v>1.8</v>
      </c>
      <c r="G74" s="15">
        <v>100</v>
      </c>
      <c r="H74" s="15">
        <v>100</v>
      </c>
      <c r="I74" s="17">
        <v>1</v>
      </c>
      <c r="J74" s="1">
        <v>2</v>
      </c>
      <c r="K74" s="1">
        <v>4</v>
      </c>
    </row>
    <row r="75" spans="1:11" x14ac:dyDescent="0.3">
      <c r="A75" s="15" t="s">
        <v>158</v>
      </c>
      <c r="B75" s="23" t="s">
        <v>186</v>
      </c>
      <c r="C75" s="15">
        <v>95</v>
      </c>
      <c r="D75" s="18">
        <v>0.4</v>
      </c>
      <c r="E75" s="15">
        <v>17.100000000000001</v>
      </c>
      <c r="F75" s="15">
        <v>0</v>
      </c>
      <c r="G75" s="15">
        <v>0</v>
      </c>
      <c r="H75" s="15">
        <v>100</v>
      </c>
      <c r="I75" s="17">
        <v>6</v>
      </c>
      <c r="J75" s="1">
        <v>10</v>
      </c>
      <c r="K75" s="1">
        <v>33</v>
      </c>
    </row>
    <row r="76" spans="1:11" x14ac:dyDescent="0.3">
      <c r="A76" s="15" t="s">
        <v>158</v>
      </c>
      <c r="B76" s="23" t="s">
        <v>186</v>
      </c>
      <c r="C76" s="15">
        <v>95</v>
      </c>
      <c r="D76" s="18">
        <v>0.42</v>
      </c>
      <c r="E76" s="15">
        <v>17.2</v>
      </c>
      <c r="F76" s="15">
        <v>0</v>
      </c>
      <c r="G76" s="15">
        <v>100</v>
      </c>
      <c r="H76" s="15">
        <v>100</v>
      </c>
      <c r="I76" s="17">
        <v>6</v>
      </c>
      <c r="J76" s="1">
        <v>1</v>
      </c>
      <c r="K76" s="1">
        <v>1</v>
      </c>
    </row>
    <row r="77" spans="1:11" x14ac:dyDescent="0.3">
      <c r="A77" s="15" t="s">
        <v>158</v>
      </c>
      <c r="B77" s="23" t="s">
        <v>186</v>
      </c>
      <c r="C77" s="15">
        <v>95</v>
      </c>
      <c r="D77" s="18">
        <v>0.41</v>
      </c>
      <c r="E77" s="15">
        <v>17.100000000000001</v>
      </c>
      <c r="F77" s="15">
        <v>0</v>
      </c>
      <c r="G77" s="15">
        <v>100</v>
      </c>
      <c r="H77" s="15">
        <v>95.24</v>
      </c>
      <c r="I77" s="17">
        <v>6</v>
      </c>
      <c r="J77" s="1">
        <v>8</v>
      </c>
      <c r="K77" s="1">
        <v>11</v>
      </c>
    </row>
    <row r="78" spans="1:11" x14ac:dyDescent="0.3">
      <c r="A78" s="15" t="s">
        <v>158</v>
      </c>
      <c r="B78" s="23" t="s">
        <v>186</v>
      </c>
      <c r="C78" s="15">
        <v>87</v>
      </c>
      <c r="D78" s="18">
        <v>0.16</v>
      </c>
      <c r="E78" s="15">
        <v>20.2</v>
      </c>
      <c r="F78" s="15">
        <v>0</v>
      </c>
      <c r="G78" s="15">
        <v>100</v>
      </c>
      <c r="H78" s="15">
        <v>100</v>
      </c>
      <c r="I78" s="17">
        <v>6</v>
      </c>
      <c r="J78" s="1">
        <v>6</v>
      </c>
      <c r="K78" s="1">
        <v>6</v>
      </c>
    </row>
    <row r="79" spans="1:11" x14ac:dyDescent="0.3">
      <c r="A79" s="15" t="s">
        <v>164</v>
      </c>
      <c r="B79" s="23" t="s">
        <v>176</v>
      </c>
      <c r="C79" s="15">
        <v>89</v>
      </c>
      <c r="D79" s="18">
        <v>1.36</v>
      </c>
      <c r="E79" s="15">
        <v>23.18</v>
      </c>
      <c r="F79" s="15">
        <v>0</v>
      </c>
      <c r="G79" s="15">
        <v>100</v>
      </c>
      <c r="H79" s="15">
        <v>100</v>
      </c>
      <c r="I79" s="17">
        <v>4</v>
      </c>
      <c r="J79" s="1">
        <v>8</v>
      </c>
      <c r="K79" s="1">
        <v>11</v>
      </c>
    </row>
    <row r="80" spans="1:11" x14ac:dyDescent="0.3">
      <c r="A80" s="15" t="s">
        <v>164</v>
      </c>
      <c r="B80" s="23" t="s">
        <v>177</v>
      </c>
      <c r="C80" s="15">
        <v>94</v>
      </c>
      <c r="D80" s="18">
        <v>7.68</v>
      </c>
      <c r="E80" s="15">
        <v>26.7</v>
      </c>
      <c r="F80" s="15">
        <v>0.75</v>
      </c>
      <c r="G80" s="15">
        <v>100</v>
      </c>
      <c r="H80" s="15">
        <v>100</v>
      </c>
      <c r="I80" s="17">
        <v>3</v>
      </c>
      <c r="J80" s="1">
        <v>6</v>
      </c>
      <c r="K80" s="1">
        <v>8</v>
      </c>
    </row>
    <row r="81" spans="1:11" x14ac:dyDescent="0.3">
      <c r="A81" s="15" t="s">
        <v>164</v>
      </c>
      <c r="B81" s="23" t="s">
        <v>177</v>
      </c>
      <c r="C81" s="15">
        <v>90</v>
      </c>
      <c r="D81" s="18">
        <v>1.5</v>
      </c>
      <c r="E81" s="15">
        <v>23.4</v>
      </c>
      <c r="F81" s="15">
        <v>0</v>
      </c>
      <c r="G81" s="15">
        <v>100</v>
      </c>
      <c r="H81" s="15">
        <v>100</v>
      </c>
      <c r="I81" s="17">
        <v>3</v>
      </c>
      <c r="J81" s="1">
        <v>1</v>
      </c>
      <c r="K81" s="1">
        <v>1</v>
      </c>
    </row>
    <row r="82" spans="1:11" x14ac:dyDescent="0.3">
      <c r="A82" s="15" t="s">
        <v>164</v>
      </c>
      <c r="B82" s="23" t="s">
        <v>179</v>
      </c>
      <c r="C82" s="15">
        <v>91</v>
      </c>
      <c r="D82" s="18">
        <v>1.1499999999999999</v>
      </c>
      <c r="E82" s="15">
        <v>24.4</v>
      </c>
      <c r="F82" s="15">
        <v>0</v>
      </c>
      <c r="G82" s="15">
        <v>100</v>
      </c>
      <c r="H82" s="15">
        <v>95.24</v>
      </c>
      <c r="I82" s="17">
        <v>5</v>
      </c>
      <c r="J82" s="1">
        <v>8</v>
      </c>
      <c r="K82" s="1">
        <v>8</v>
      </c>
    </row>
    <row r="83" spans="1:11" x14ac:dyDescent="0.3">
      <c r="A83" s="15" t="s">
        <v>164</v>
      </c>
      <c r="B83" s="23" t="s">
        <v>179</v>
      </c>
      <c r="C83" s="15">
        <v>94</v>
      </c>
      <c r="D83" s="18">
        <v>1.2</v>
      </c>
      <c r="E83" s="15">
        <v>24.4</v>
      </c>
      <c r="F83" s="15">
        <v>0</v>
      </c>
      <c r="G83" s="15">
        <v>100</v>
      </c>
      <c r="H83" s="15">
        <v>100</v>
      </c>
      <c r="I83" s="17">
        <v>5</v>
      </c>
      <c r="J83" s="1">
        <v>1</v>
      </c>
      <c r="K83" s="1">
        <v>1</v>
      </c>
    </row>
    <row r="84" spans="1:11" x14ac:dyDescent="0.3">
      <c r="A84" s="15" t="s">
        <v>164</v>
      </c>
      <c r="B84" s="23" t="s">
        <v>179</v>
      </c>
      <c r="C84" s="15">
        <v>85</v>
      </c>
      <c r="D84" s="18">
        <v>1.3</v>
      </c>
      <c r="E84" s="15">
        <v>24.4</v>
      </c>
      <c r="F84" s="15">
        <v>0</v>
      </c>
      <c r="G84" s="15">
        <v>100</v>
      </c>
      <c r="H84" s="15">
        <v>100</v>
      </c>
      <c r="I84" s="17">
        <v>5</v>
      </c>
      <c r="J84" s="1">
        <v>8</v>
      </c>
      <c r="K84" s="1">
        <v>8</v>
      </c>
    </row>
    <row r="85" spans="1:11" x14ac:dyDescent="0.3">
      <c r="A85" s="15" t="s">
        <v>164</v>
      </c>
      <c r="B85" s="23" t="s">
        <v>180</v>
      </c>
      <c r="C85" s="15">
        <v>91</v>
      </c>
      <c r="D85" s="18">
        <v>0.57999999999999996</v>
      </c>
      <c r="E85" s="15">
        <v>26.4</v>
      </c>
      <c r="F85" s="15">
        <v>0</v>
      </c>
      <c r="G85" s="15">
        <v>100</v>
      </c>
      <c r="H85" s="15">
        <v>76.19</v>
      </c>
      <c r="I85" s="17">
        <v>5</v>
      </c>
      <c r="J85" s="1">
        <v>10</v>
      </c>
      <c r="K85" s="1">
        <v>10</v>
      </c>
    </row>
    <row r="86" spans="1:11" x14ac:dyDescent="0.3">
      <c r="A86" s="15" t="s">
        <v>164</v>
      </c>
      <c r="B86" s="23" t="s">
        <v>180</v>
      </c>
      <c r="C86" s="15">
        <v>91</v>
      </c>
      <c r="D86" s="18">
        <v>0.81</v>
      </c>
      <c r="E86" s="15">
        <v>23.28</v>
      </c>
      <c r="F86" s="15">
        <v>0</v>
      </c>
      <c r="G86" s="15">
        <v>100</v>
      </c>
      <c r="H86" s="15">
        <v>100</v>
      </c>
      <c r="I86" s="17">
        <v>5</v>
      </c>
      <c r="J86" s="1">
        <v>5</v>
      </c>
      <c r="K86" s="1">
        <v>5</v>
      </c>
    </row>
    <row r="87" spans="1:11" x14ac:dyDescent="0.3">
      <c r="A87" s="15" t="s">
        <v>164</v>
      </c>
      <c r="B87" s="23" t="s">
        <v>181</v>
      </c>
      <c r="C87" s="15">
        <v>91</v>
      </c>
      <c r="D87" s="18">
        <v>0.81</v>
      </c>
      <c r="E87" s="15">
        <v>23.3</v>
      </c>
      <c r="F87" s="15">
        <v>0</v>
      </c>
      <c r="G87" s="15">
        <v>100</v>
      </c>
      <c r="H87" s="15">
        <v>100</v>
      </c>
      <c r="I87" s="17">
        <v>3</v>
      </c>
      <c r="J87" s="1">
        <v>1</v>
      </c>
      <c r="K87" s="1">
        <v>2</v>
      </c>
    </row>
    <row r="88" spans="1:11" x14ac:dyDescent="0.3">
      <c r="A88" s="15" t="s">
        <v>164</v>
      </c>
      <c r="B88" s="23" t="s">
        <v>181</v>
      </c>
      <c r="C88" s="15">
        <v>99</v>
      </c>
      <c r="D88" s="18">
        <v>85.6</v>
      </c>
      <c r="E88" s="15">
        <v>28.5</v>
      </c>
      <c r="F88" s="15">
        <v>1.2</v>
      </c>
      <c r="G88" s="15">
        <v>100</v>
      </c>
      <c r="H88" s="15">
        <v>95.24</v>
      </c>
      <c r="I88" s="17">
        <v>3</v>
      </c>
      <c r="J88" s="1">
        <v>1</v>
      </c>
      <c r="K88" s="1">
        <v>1</v>
      </c>
    </row>
    <row r="89" spans="1:11" x14ac:dyDescent="0.3">
      <c r="A89" s="15" t="s">
        <v>164</v>
      </c>
      <c r="B89" s="23" t="s">
        <v>181</v>
      </c>
      <c r="C89" s="15">
        <v>91</v>
      </c>
      <c r="D89" s="18">
        <v>13.15</v>
      </c>
      <c r="E89" s="15">
        <v>26.13</v>
      </c>
      <c r="F89" s="15">
        <v>0</v>
      </c>
      <c r="G89" s="15">
        <v>100</v>
      </c>
      <c r="H89" s="15">
        <v>95.24</v>
      </c>
      <c r="I89" s="17">
        <v>3</v>
      </c>
      <c r="J89" s="1">
        <v>3</v>
      </c>
      <c r="K89" s="1">
        <v>3</v>
      </c>
    </row>
    <row r="90" spans="1:11" x14ac:dyDescent="0.3">
      <c r="A90" s="15" t="s">
        <v>164</v>
      </c>
      <c r="B90" s="23" t="s">
        <v>182</v>
      </c>
      <c r="C90" s="15">
        <v>75</v>
      </c>
      <c r="D90" s="18">
        <v>17.2</v>
      </c>
      <c r="E90" s="15">
        <v>28</v>
      </c>
      <c r="F90" s="15">
        <v>0</v>
      </c>
      <c r="G90" s="15">
        <v>100</v>
      </c>
      <c r="H90" s="15">
        <v>100</v>
      </c>
      <c r="I90" s="17">
        <v>3</v>
      </c>
      <c r="J90" s="1">
        <v>2</v>
      </c>
      <c r="K90" s="1">
        <v>2</v>
      </c>
    </row>
    <row r="91" spans="1:11" x14ac:dyDescent="0.3">
      <c r="A91" s="39" t="s">
        <v>164</v>
      </c>
      <c r="B91" s="40" t="s">
        <v>182</v>
      </c>
      <c r="C91" s="39">
        <v>93</v>
      </c>
      <c r="D91" s="42">
        <v>14.5</v>
      </c>
      <c r="E91" s="39">
        <v>28.73</v>
      </c>
      <c r="F91" s="39">
        <v>0</v>
      </c>
      <c r="G91" s="39">
        <v>100</v>
      </c>
      <c r="H91" s="39">
        <v>100</v>
      </c>
      <c r="I91" s="43">
        <v>3</v>
      </c>
      <c r="J91" s="44">
        <v>6</v>
      </c>
      <c r="K91" s="44">
        <v>9</v>
      </c>
    </row>
    <row r="92" spans="1:11" x14ac:dyDescent="0.3">
      <c r="A92" s="15" t="s">
        <v>164</v>
      </c>
      <c r="B92" s="23" t="s">
        <v>182</v>
      </c>
      <c r="C92" s="15">
        <v>74</v>
      </c>
      <c r="D92" s="18">
        <v>18</v>
      </c>
      <c r="E92" s="15">
        <v>28</v>
      </c>
      <c r="F92" s="15">
        <v>0</v>
      </c>
      <c r="G92" s="15">
        <v>2</v>
      </c>
      <c r="H92" s="15">
        <v>100</v>
      </c>
      <c r="I92" s="17">
        <v>3</v>
      </c>
      <c r="J92" s="1">
        <v>2</v>
      </c>
      <c r="K92" s="1">
        <v>2</v>
      </c>
    </row>
    <row r="93" spans="1:11" x14ac:dyDescent="0.3">
      <c r="A93" s="15" t="s">
        <v>164</v>
      </c>
      <c r="B93" s="23" t="s">
        <v>184</v>
      </c>
      <c r="C93" s="15">
        <v>92</v>
      </c>
      <c r="D93" s="18">
        <v>97.97</v>
      </c>
      <c r="E93" s="15">
        <v>28.73</v>
      </c>
      <c r="F93" s="15">
        <v>0.97</v>
      </c>
      <c r="G93" s="15">
        <v>100</v>
      </c>
      <c r="H93" s="15">
        <v>100</v>
      </c>
      <c r="I93" s="17">
        <v>2</v>
      </c>
      <c r="J93" s="1">
        <v>0</v>
      </c>
      <c r="K93" s="1">
        <v>0</v>
      </c>
    </row>
    <row r="94" spans="1:11" x14ac:dyDescent="0.3">
      <c r="A94" s="15" t="s">
        <v>164</v>
      </c>
      <c r="B94" s="23" t="s">
        <v>184</v>
      </c>
      <c r="C94" s="15">
        <v>86.5</v>
      </c>
      <c r="D94" s="18">
        <v>33.18</v>
      </c>
      <c r="E94" s="15">
        <v>25.7</v>
      </c>
      <c r="F94" s="15">
        <v>1.2</v>
      </c>
      <c r="G94" s="15">
        <v>100</v>
      </c>
      <c r="H94" s="15">
        <v>100</v>
      </c>
      <c r="I94" s="17">
        <v>2</v>
      </c>
      <c r="J94" s="1">
        <v>3</v>
      </c>
      <c r="K94" s="1">
        <v>6</v>
      </c>
    </row>
    <row r="95" spans="1:11" x14ac:dyDescent="0.3">
      <c r="A95" s="15" t="s">
        <v>164</v>
      </c>
      <c r="B95" s="23" t="s">
        <v>184</v>
      </c>
      <c r="C95" s="15">
        <v>70</v>
      </c>
      <c r="D95" s="18">
        <v>5.91</v>
      </c>
      <c r="E95" s="15">
        <v>20.5</v>
      </c>
      <c r="F95" s="15">
        <v>1.5</v>
      </c>
      <c r="G95" s="15">
        <v>2</v>
      </c>
      <c r="H95" s="15">
        <v>100</v>
      </c>
      <c r="I95" s="17">
        <v>2</v>
      </c>
      <c r="J95" s="1">
        <v>3</v>
      </c>
      <c r="K95" s="1">
        <v>3</v>
      </c>
    </row>
    <row r="96" spans="1:11" x14ac:dyDescent="0.3">
      <c r="A96" s="15" t="s">
        <v>164</v>
      </c>
      <c r="B96" s="23" t="s">
        <v>183</v>
      </c>
      <c r="C96" s="15">
        <v>89</v>
      </c>
      <c r="D96" s="18">
        <v>7.61</v>
      </c>
      <c r="E96" s="15">
        <v>23.8</v>
      </c>
      <c r="F96" s="15">
        <v>0.75</v>
      </c>
      <c r="G96" s="15">
        <v>100</v>
      </c>
      <c r="H96" s="15">
        <v>100</v>
      </c>
      <c r="I96" s="17">
        <v>3</v>
      </c>
      <c r="J96" s="1">
        <v>5</v>
      </c>
      <c r="K96" s="1">
        <v>10</v>
      </c>
    </row>
    <row r="97" spans="1:11" x14ac:dyDescent="0.3">
      <c r="A97" s="15" t="s">
        <v>164</v>
      </c>
      <c r="B97" s="23" t="s">
        <v>183</v>
      </c>
      <c r="C97" s="15">
        <v>81</v>
      </c>
      <c r="D97" s="18">
        <v>5.23</v>
      </c>
      <c r="E97" s="15">
        <v>27.03</v>
      </c>
      <c r="F97" s="15">
        <v>0</v>
      </c>
      <c r="G97" s="15">
        <v>100</v>
      </c>
      <c r="H97" s="15">
        <v>100</v>
      </c>
      <c r="I97" s="17">
        <v>3</v>
      </c>
      <c r="J97" s="1">
        <v>4</v>
      </c>
      <c r="K97" s="1">
        <v>5</v>
      </c>
    </row>
    <row r="98" spans="1:11" x14ac:dyDescent="0.3">
      <c r="A98" s="15" t="s">
        <v>164</v>
      </c>
      <c r="B98" s="23" t="s">
        <v>185</v>
      </c>
      <c r="C98" s="15">
        <v>88</v>
      </c>
      <c r="D98" s="18">
        <v>24.87</v>
      </c>
      <c r="E98" s="15">
        <v>23.25</v>
      </c>
      <c r="F98" s="15">
        <v>0.45</v>
      </c>
      <c r="G98" s="15">
        <v>100</v>
      </c>
      <c r="H98" s="15">
        <v>100</v>
      </c>
      <c r="I98" s="17">
        <v>1</v>
      </c>
      <c r="J98" s="1">
        <v>1</v>
      </c>
      <c r="K98" s="1">
        <v>1</v>
      </c>
    </row>
    <row r="99" spans="1:11" x14ac:dyDescent="0.3">
      <c r="A99" s="15" t="s">
        <v>164</v>
      </c>
      <c r="B99" s="23" t="s">
        <v>185</v>
      </c>
      <c r="C99" s="15">
        <v>72</v>
      </c>
      <c r="D99" s="18">
        <v>4.6399999999999997</v>
      </c>
      <c r="E99" s="15">
        <v>24.9</v>
      </c>
      <c r="F99" s="15">
        <v>3.17</v>
      </c>
      <c r="G99" s="15">
        <v>100</v>
      </c>
      <c r="H99" s="15">
        <v>76.19</v>
      </c>
      <c r="I99" s="17">
        <v>1</v>
      </c>
      <c r="J99" s="1">
        <v>2</v>
      </c>
      <c r="K99" s="1">
        <v>4</v>
      </c>
    </row>
    <row r="100" spans="1:11" x14ac:dyDescent="0.3">
      <c r="A100" s="15" t="s">
        <v>164</v>
      </c>
      <c r="B100" s="23" t="s">
        <v>186</v>
      </c>
      <c r="C100" s="15">
        <v>86</v>
      </c>
      <c r="D100" s="18">
        <v>0.14000000000000001</v>
      </c>
      <c r="E100" s="15">
        <v>18.55</v>
      </c>
      <c r="F100" s="15">
        <v>0</v>
      </c>
      <c r="G100" s="15">
        <v>100</v>
      </c>
      <c r="H100" s="15">
        <v>100</v>
      </c>
      <c r="I100" s="17">
        <v>6</v>
      </c>
      <c r="J100" s="1">
        <v>5</v>
      </c>
      <c r="K100" s="1">
        <v>5</v>
      </c>
    </row>
    <row r="101" spans="1:11" x14ac:dyDescent="0.3">
      <c r="A101" s="15" t="s">
        <v>164</v>
      </c>
      <c r="B101" s="23" t="s">
        <v>186</v>
      </c>
      <c r="C101" s="15">
        <v>87</v>
      </c>
      <c r="D101" s="18">
        <v>0.15</v>
      </c>
      <c r="E101" s="15">
        <v>15.2</v>
      </c>
      <c r="F101" s="15">
        <v>0</v>
      </c>
      <c r="G101" s="15">
        <v>100</v>
      </c>
      <c r="H101" s="15">
        <v>100</v>
      </c>
      <c r="I101" s="17">
        <v>6</v>
      </c>
      <c r="J101" s="1">
        <v>3</v>
      </c>
      <c r="K101" s="1">
        <v>3</v>
      </c>
    </row>
    <row r="102" spans="1:11" x14ac:dyDescent="0.3">
      <c r="A102" s="15" t="s">
        <v>164</v>
      </c>
      <c r="B102" s="23" t="s">
        <v>186</v>
      </c>
      <c r="C102" s="15">
        <v>83</v>
      </c>
      <c r="D102" s="18">
        <v>0.20499999999999999</v>
      </c>
      <c r="E102" s="15">
        <v>24.8</v>
      </c>
      <c r="F102" s="15">
        <v>0</v>
      </c>
      <c r="G102" s="15">
        <v>100</v>
      </c>
      <c r="H102" s="15">
        <v>76.19</v>
      </c>
      <c r="I102" s="17">
        <v>6</v>
      </c>
      <c r="J102" s="1">
        <v>0</v>
      </c>
      <c r="K102" s="1">
        <v>0</v>
      </c>
    </row>
    <row r="103" spans="1:11" x14ac:dyDescent="0.3">
      <c r="A103" s="15" t="s">
        <v>168</v>
      </c>
      <c r="B103" s="15" t="s">
        <v>176</v>
      </c>
      <c r="C103" s="15">
        <v>92</v>
      </c>
      <c r="D103" s="18">
        <v>0.14000000000000001</v>
      </c>
      <c r="E103" s="15">
        <v>22.5</v>
      </c>
      <c r="F103" s="15">
        <v>0</v>
      </c>
      <c r="G103" s="15">
        <v>100</v>
      </c>
      <c r="H103" s="15">
        <v>95.24</v>
      </c>
      <c r="I103" s="17">
        <v>4</v>
      </c>
      <c r="J103" s="1">
        <v>6</v>
      </c>
      <c r="K103" s="1">
        <v>11</v>
      </c>
    </row>
    <row r="104" spans="1:11" x14ac:dyDescent="0.3">
      <c r="A104" s="15" t="s">
        <v>168</v>
      </c>
      <c r="B104" s="15" t="s">
        <v>176</v>
      </c>
      <c r="C104" s="15">
        <v>92</v>
      </c>
      <c r="D104" s="18">
        <v>0.14000000000000001</v>
      </c>
      <c r="E104" s="15">
        <v>22.5</v>
      </c>
      <c r="F104" s="15">
        <v>0</v>
      </c>
      <c r="G104" s="15">
        <v>60</v>
      </c>
      <c r="H104" s="15">
        <v>100</v>
      </c>
      <c r="I104" s="17">
        <v>4</v>
      </c>
      <c r="J104" s="1">
        <v>1</v>
      </c>
      <c r="K104" s="1">
        <v>2</v>
      </c>
    </row>
    <row r="105" spans="1:11" x14ac:dyDescent="0.3">
      <c r="A105" s="15" t="s">
        <v>168</v>
      </c>
      <c r="B105" s="15" t="s">
        <v>177</v>
      </c>
      <c r="C105" s="15">
        <v>97</v>
      </c>
      <c r="D105" s="18">
        <v>4.5999999999999996</v>
      </c>
      <c r="E105" s="15">
        <v>24.3</v>
      </c>
      <c r="F105" s="15">
        <v>0</v>
      </c>
      <c r="G105" s="15">
        <v>100</v>
      </c>
      <c r="H105" s="15">
        <v>95.24</v>
      </c>
      <c r="I105" s="17">
        <v>3</v>
      </c>
      <c r="J105" s="1">
        <v>17</v>
      </c>
      <c r="K105" s="1">
        <v>24</v>
      </c>
    </row>
    <row r="106" spans="1:11" x14ac:dyDescent="0.3">
      <c r="A106" s="15" t="s">
        <v>168</v>
      </c>
      <c r="B106" s="15" t="s">
        <v>179</v>
      </c>
      <c r="C106" s="15">
        <v>99</v>
      </c>
      <c r="D106" s="18">
        <v>24.2</v>
      </c>
      <c r="E106" s="15">
        <v>26.1</v>
      </c>
      <c r="F106" s="15">
        <v>0</v>
      </c>
      <c r="G106" s="15">
        <v>60</v>
      </c>
      <c r="H106" s="15">
        <v>100</v>
      </c>
      <c r="I106" s="17">
        <v>5</v>
      </c>
      <c r="J106" s="1">
        <v>1</v>
      </c>
      <c r="K106" s="1">
        <v>1</v>
      </c>
    </row>
    <row r="107" spans="1:11" x14ac:dyDescent="0.3">
      <c r="A107" s="15" t="s">
        <v>168</v>
      </c>
      <c r="B107" s="15" t="s">
        <v>179</v>
      </c>
      <c r="C107" s="15">
        <v>99</v>
      </c>
      <c r="D107" s="18">
        <v>24.2</v>
      </c>
      <c r="E107" s="15">
        <v>26.1</v>
      </c>
      <c r="F107" s="15">
        <v>0</v>
      </c>
      <c r="G107" s="15">
        <v>35</v>
      </c>
      <c r="H107" s="15">
        <v>100</v>
      </c>
      <c r="I107" s="17">
        <v>5</v>
      </c>
      <c r="J107" s="1">
        <v>11</v>
      </c>
      <c r="K107" s="1">
        <v>11</v>
      </c>
    </row>
    <row r="108" spans="1:11" x14ac:dyDescent="0.3">
      <c r="A108" s="15" t="s">
        <v>168</v>
      </c>
      <c r="B108" s="15" t="s">
        <v>179</v>
      </c>
      <c r="C108" s="15">
        <v>84</v>
      </c>
      <c r="D108" s="18">
        <v>0.17</v>
      </c>
      <c r="E108" s="15">
        <v>24</v>
      </c>
      <c r="F108" s="15">
        <v>0</v>
      </c>
      <c r="G108" s="15">
        <v>100</v>
      </c>
      <c r="H108" s="15">
        <v>52.38</v>
      </c>
      <c r="I108" s="17">
        <v>5</v>
      </c>
      <c r="J108" s="1">
        <v>2</v>
      </c>
      <c r="K108" s="1">
        <v>2</v>
      </c>
    </row>
    <row r="109" spans="1:11" x14ac:dyDescent="0.3">
      <c r="A109" s="15" t="s">
        <v>168</v>
      </c>
      <c r="B109" s="15" t="s">
        <v>180</v>
      </c>
      <c r="C109" s="15">
        <v>97</v>
      </c>
      <c r="D109" s="18">
        <v>1.08</v>
      </c>
      <c r="E109" s="15">
        <v>25.4</v>
      </c>
      <c r="F109" s="15">
        <v>0</v>
      </c>
      <c r="G109" s="15">
        <v>100</v>
      </c>
      <c r="H109" s="15">
        <v>100</v>
      </c>
      <c r="I109" s="17">
        <v>5</v>
      </c>
      <c r="J109" s="1">
        <v>6</v>
      </c>
      <c r="K109" s="1">
        <v>8</v>
      </c>
    </row>
    <row r="110" spans="1:11" x14ac:dyDescent="0.3">
      <c r="A110" s="15" t="s">
        <v>168</v>
      </c>
      <c r="B110" s="15" t="s">
        <v>180</v>
      </c>
      <c r="C110" s="15">
        <v>97</v>
      </c>
      <c r="D110" s="18">
        <v>1.08</v>
      </c>
      <c r="E110" s="15">
        <v>25.4</v>
      </c>
      <c r="F110" s="15">
        <v>0</v>
      </c>
      <c r="G110" s="15">
        <v>65</v>
      </c>
      <c r="H110" s="15">
        <v>100</v>
      </c>
      <c r="I110" s="17">
        <v>5</v>
      </c>
      <c r="J110" s="1">
        <v>9</v>
      </c>
      <c r="K110" s="1">
        <v>9</v>
      </c>
    </row>
    <row r="111" spans="1:11" x14ac:dyDescent="0.3">
      <c r="A111" s="15" t="s">
        <v>168</v>
      </c>
      <c r="B111" s="1" t="s">
        <v>180</v>
      </c>
      <c r="C111" s="1">
        <v>80</v>
      </c>
      <c r="D111" s="46">
        <v>0.04</v>
      </c>
      <c r="E111" s="1">
        <v>25.3</v>
      </c>
      <c r="F111" s="1">
        <v>0</v>
      </c>
      <c r="G111" s="1">
        <v>100</v>
      </c>
      <c r="H111" s="1">
        <v>52.38</v>
      </c>
      <c r="I111" s="2">
        <v>5</v>
      </c>
      <c r="J111" s="1">
        <v>0</v>
      </c>
      <c r="K111" s="1">
        <v>0</v>
      </c>
    </row>
    <row r="112" spans="1:11" x14ac:dyDescent="0.3">
      <c r="A112" s="15" t="s">
        <v>168</v>
      </c>
      <c r="B112" s="1" t="s">
        <v>181</v>
      </c>
      <c r="C112" s="1">
        <v>87</v>
      </c>
      <c r="D112" s="46">
        <v>9.8000000000000007</v>
      </c>
      <c r="E112" s="1">
        <v>34.5</v>
      </c>
      <c r="F112" s="1">
        <v>0</v>
      </c>
      <c r="G112" s="1">
        <v>90</v>
      </c>
      <c r="H112" s="1">
        <v>100</v>
      </c>
      <c r="I112" s="2">
        <v>3</v>
      </c>
      <c r="J112" s="1">
        <v>4</v>
      </c>
      <c r="K112" s="1">
        <v>4</v>
      </c>
    </row>
    <row r="113" spans="1:11" x14ac:dyDescent="0.3">
      <c r="A113" s="15" t="s">
        <v>168</v>
      </c>
      <c r="B113" s="1" t="s">
        <v>181</v>
      </c>
      <c r="C113" s="1">
        <v>87</v>
      </c>
      <c r="D113" s="46">
        <v>9.8000000000000007</v>
      </c>
      <c r="E113" s="1">
        <v>34.5</v>
      </c>
      <c r="F113" s="1">
        <v>0</v>
      </c>
      <c r="G113" s="1">
        <v>0</v>
      </c>
      <c r="H113" s="1">
        <v>100</v>
      </c>
      <c r="I113" s="2">
        <v>3</v>
      </c>
      <c r="J113" s="1">
        <v>3</v>
      </c>
      <c r="K113" s="1">
        <v>3</v>
      </c>
    </row>
    <row r="114" spans="1:11" x14ac:dyDescent="0.3">
      <c r="A114" s="15" t="s">
        <v>168</v>
      </c>
      <c r="B114" s="1" t="s">
        <v>181</v>
      </c>
      <c r="C114" s="1">
        <v>80</v>
      </c>
      <c r="D114" s="46">
        <v>1.5</v>
      </c>
      <c r="E114" s="1">
        <v>26.9</v>
      </c>
      <c r="F114" s="1">
        <v>0</v>
      </c>
      <c r="G114" s="1">
        <v>100</v>
      </c>
      <c r="H114" s="1">
        <v>47.62</v>
      </c>
      <c r="I114" s="2">
        <v>3</v>
      </c>
      <c r="J114" s="1">
        <v>3</v>
      </c>
      <c r="K114" s="1">
        <v>4</v>
      </c>
    </row>
    <row r="115" spans="1:11" x14ac:dyDescent="0.3">
      <c r="A115" s="15" t="s">
        <v>168</v>
      </c>
      <c r="B115" s="1" t="s">
        <v>182</v>
      </c>
      <c r="C115" s="1">
        <v>81</v>
      </c>
      <c r="D115" s="46">
        <v>36.6</v>
      </c>
      <c r="E115" s="1">
        <v>31.4</v>
      </c>
      <c r="F115" s="1">
        <v>0.8</v>
      </c>
      <c r="G115" s="1">
        <v>96</v>
      </c>
      <c r="H115" s="1">
        <v>100</v>
      </c>
      <c r="I115" s="2">
        <v>3</v>
      </c>
      <c r="J115" s="1">
        <v>7</v>
      </c>
      <c r="K115" s="1">
        <v>7</v>
      </c>
    </row>
    <row r="116" spans="1:11" x14ac:dyDescent="0.3">
      <c r="A116" s="15" t="s">
        <v>168</v>
      </c>
      <c r="B116" s="1" t="s">
        <v>182</v>
      </c>
      <c r="C116" s="1">
        <v>79</v>
      </c>
      <c r="D116" s="46">
        <v>13.35</v>
      </c>
      <c r="E116" s="1">
        <v>29.2</v>
      </c>
      <c r="F116" s="1">
        <v>0</v>
      </c>
      <c r="G116" s="1">
        <v>100</v>
      </c>
      <c r="H116" s="1">
        <v>100</v>
      </c>
      <c r="I116" s="2">
        <v>3</v>
      </c>
      <c r="J116" s="1">
        <v>2</v>
      </c>
      <c r="K116" s="1">
        <v>2</v>
      </c>
    </row>
    <row r="117" spans="1:11" x14ac:dyDescent="0.3">
      <c r="A117" s="15" t="s">
        <v>168</v>
      </c>
      <c r="B117" s="1" t="s">
        <v>184</v>
      </c>
      <c r="C117" s="1">
        <v>92</v>
      </c>
      <c r="D117" s="46">
        <v>15.6</v>
      </c>
      <c r="E117" s="1">
        <v>23.5</v>
      </c>
      <c r="F117" s="1">
        <v>0.7</v>
      </c>
      <c r="G117" s="1">
        <v>2</v>
      </c>
      <c r="H117" s="1">
        <v>100</v>
      </c>
      <c r="I117" s="2">
        <v>2</v>
      </c>
      <c r="J117" s="1">
        <v>1</v>
      </c>
      <c r="K117" s="1">
        <v>1</v>
      </c>
    </row>
    <row r="118" spans="1:11" x14ac:dyDescent="0.3">
      <c r="A118" s="15" t="s">
        <v>168</v>
      </c>
      <c r="B118" s="1" t="s">
        <v>184</v>
      </c>
      <c r="C118" s="1">
        <v>79</v>
      </c>
      <c r="D118" s="46">
        <v>7.6</v>
      </c>
      <c r="E118" s="1">
        <v>25.4</v>
      </c>
      <c r="F118" s="1">
        <v>0</v>
      </c>
      <c r="G118" s="1">
        <v>100</v>
      </c>
      <c r="H118" s="1">
        <v>100</v>
      </c>
      <c r="I118" s="2">
        <v>2</v>
      </c>
      <c r="J118" s="1">
        <v>2</v>
      </c>
      <c r="K118" s="1">
        <v>5</v>
      </c>
    </row>
    <row r="119" spans="1:11" x14ac:dyDescent="0.3">
      <c r="A119" s="15" t="s">
        <v>168</v>
      </c>
      <c r="B119" s="1" t="s">
        <v>183</v>
      </c>
      <c r="C119" s="1">
        <v>89</v>
      </c>
      <c r="D119" s="46">
        <v>1.1000000000000001</v>
      </c>
      <c r="E119" s="1">
        <v>22.3</v>
      </c>
      <c r="F119" s="1">
        <v>0</v>
      </c>
      <c r="G119" s="1">
        <v>2</v>
      </c>
      <c r="H119" s="1">
        <v>100</v>
      </c>
      <c r="I119" s="2">
        <v>3</v>
      </c>
      <c r="J119" s="1">
        <v>7</v>
      </c>
      <c r="K119" s="1">
        <v>10</v>
      </c>
    </row>
    <row r="120" spans="1:11" x14ac:dyDescent="0.3">
      <c r="A120" s="15" t="s">
        <v>168</v>
      </c>
      <c r="B120" s="1" t="s">
        <v>183</v>
      </c>
      <c r="C120" s="1">
        <v>89</v>
      </c>
      <c r="D120" s="46">
        <v>1</v>
      </c>
      <c r="E120" s="1">
        <v>22.2</v>
      </c>
      <c r="F120" s="1">
        <v>0</v>
      </c>
      <c r="G120" s="1">
        <v>100</v>
      </c>
      <c r="H120" s="1">
        <v>100</v>
      </c>
      <c r="I120" s="2">
        <v>3</v>
      </c>
      <c r="J120" s="1">
        <v>4</v>
      </c>
      <c r="K120" s="1">
        <v>4</v>
      </c>
    </row>
    <row r="121" spans="1:11" x14ac:dyDescent="0.3">
      <c r="A121" s="15" t="s">
        <v>168</v>
      </c>
      <c r="B121" s="1" t="s">
        <v>183</v>
      </c>
      <c r="C121" s="1">
        <v>72</v>
      </c>
      <c r="D121" s="1">
        <v>0.75</v>
      </c>
      <c r="E121" s="1">
        <v>25</v>
      </c>
      <c r="F121" s="1">
        <v>0.9</v>
      </c>
      <c r="G121" s="1">
        <v>100</v>
      </c>
      <c r="H121" s="1">
        <v>100</v>
      </c>
      <c r="I121" s="2">
        <v>3</v>
      </c>
      <c r="J121" s="1">
        <v>2</v>
      </c>
      <c r="K121" s="1">
        <v>3</v>
      </c>
    </row>
    <row r="122" spans="1:11" x14ac:dyDescent="0.3">
      <c r="A122" s="15" t="s">
        <v>168</v>
      </c>
      <c r="B122" s="1" t="s">
        <v>185</v>
      </c>
      <c r="C122" s="1">
        <v>60</v>
      </c>
      <c r="D122" s="46">
        <v>44</v>
      </c>
      <c r="E122" s="1">
        <v>32.6</v>
      </c>
      <c r="F122" s="1">
        <v>0</v>
      </c>
      <c r="G122" s="1">
        <v>85</v>
      </c>
      <c r="H122" s="1">
        <v>100</v>
      </c>
      <c r="I122" s="2">
        <v>1</v>
      </c>
      <c r="J122" s="1">
        <v>2</v>
      </c>
      <c r="K122" s="1">
        <v>4</v>
      </c>
    </row>
    <row r="123" spans="1:11" x14ac:dyDescent="0.3">
      <c r="A123" s="15" t="s">
        <v>168</v>
      </c>
      <c r="B123" s="1" t="s">
        <v>185</v>
      </c>
      <c r="C123" s="1">
        <v>79</v>
      </c>
      <c r="D123" s="46">
        <v>39.200000000000003</v>
      </c>
      <c r="E123" s="1">
        <v>31.4</v>
      </c>
      <c r="F123" s="1">
        <v>0</v>
      </c>
      <c r="G123" s="1">
        <v>100</v>
      </c>
      <c r="H123" s="1">
        <v>100</v>
      </c>
      <c r="I123" s="2">
        <v>1</v>
      </c>
      <c r="J123" s="1">
        <v>0</v>
      </c>
      <c r="K123" s="1">
        <v>0</v>
      </c>
    </row>
    <row r="124" spans="1:11" x14ac:dyDescent="0.3">
      <c r="A124" s="15" t="s">
        <v>168</v>
      </c>
      <c r="B124" s="1" t="s">
        <v>186</v>
      </c>
      <c r="C124" s="1">
        <v>76</v>
      </c>
      <c r="D124" s="46">
        <v>1.53</v>
      </c>
      <c r="E124" s="1">
        <v>25.4</v>
      </c>
      <c r="F124" s="1">
        <v>0</v>
      </c>
      <c r="G124" s="1">
        <v>100</v>
      </c>
      <c r="H124" s="1">
        <v>76.19</v>
      </c>
      <c r="I124" s="2">
        <v>6</v>
      </c>
      <c r="J124" s="1">
        <v>4</v>
      </c>
      <c r="K124" s="1">
        <v>5</v>
      </c>
    </row>
    <row r="125" spans="1:11" x14ac:dyDescent="0.3">
      <c r="A125" s="1" t="s">
        <v>172</v>
      </c>
      <c r="B125" s="1" t="s">
        <v>176</v>
      </c>
      <c r="C125" s="1">
        <v>81</v>
      </c>
      <c r="D125" s="46">
        <v>1.6</v>
      </c>
      <c r="E125" s="1">
        <v>26.5</v>
      </c>
      <c r="F125" s="1">
        <v>0</v>
      </c>
      <c r="G125" s="1">
        <v>30</v>
      </c>
      <c r="H125" s="1">
        <v>100</v>
      </c>
      <c r="I125" s="2">
        <v>4</v>
      </c>
      <c r="J125" s="1">
        <v>12</v>
      </c>
      <c r="K125" s="1">
        <v>18</v>
      </c>
    </row>
    <row r="126" spans="1:11" x14ac:dyDescent="0.3">
      <c r="A126" s="1" t="s">
        <v>172</v>
      </c>
      <c r="B126" s="1" t="s">
        <v>177</v>
      </c>
      <c r="C126" s="1">
        <v>96</v>
      </c>
      <c r="D126" s="46">
        <v>1.1299999999999999</v>
      </c>
      <c r="E126" s="1">
        <v>26.4</v>
      </c>
      <c r="F126" s="1">
        <v>0</v>
      </c>
      <c r="G126" s="1">
        <v>100</v>
      </c>
      <c r="H126" s="1">
        <v>100</v>
      </c>
      <c r="I126" s="2">
        <v>3</v>
      </c>
      <c r="J126" s="1">
        <v>5</v>
      </c>
      <c r="K126" s="1">
        <v>5</v>
      </c>
    </row>
    <row r="127" spans="1:11" x14ac:dyDescent="0.3">
      <c r="A127" s="1" t="s">
        <v>172</v>
      </c>
      <c r="B127" s="1" t="s">
        <v>179</v>
      </c>
      <c r="C127" s="1">
        <v>99</v>
      </c>
      <c r="D127" s="46">
        <v>0.28000000000000003</v>
      </c>
      <c r="E127" s="1">
        <v>23.5</v>
      </c>
      <c r="F127" s="1">
        <v>0</v>
      </c>
      <c r="G127" s="1">
        <v>100</v>
      </c>
      <c r="H127" s="1">
        <v>100</v>
      </c>
      <c r="I127" s="2">
        <v>5</v>
      </c>
      <c r="J127" s="1">
        <v>7</v>
      </c>
      <c r="K127" s="1">
        <v>10</v>
      </c>
    </row>
    <row r="128" spans="1:11" x14ac:dyDescent="0.3">
      <c r="A128" s="1" t="s">
        <v>172</v>
      </c>
      <c r="B128" s="1" t="s">
        <v>180</v>
      </c>
      <c r="C128" s="1">
        <v>96</v>
      </c>
      <c r="D128" s="46">
        <v>0.64</v>
      </c>
      <c r="E128" s="1">
        <v>24.9</v>
      </c>
      <c r="F128" s="1">
        <v>0</v>
      </c>
      <c r="G128" s="1">
        <v>100</v>
      </c>
      <c r="H128" s="1">
        <v>100</v>
      </c>
      <c r="I128" s="2">
        <v>5</v>
      </c>
      <c r="J128" s="1">
        <v>9</v>
      </c>
      <c r="K128" s="1">
        <v>9</v>
      </c>
    </row>
    <row r="129" spans="1:11" x14ac:dyDescent="0.3">
      <c r="A129" s="1" t="s">
        <v>172</v>
      </c>
      <c r="B129" s="1" t="s">
        <v>181</v>
      </c>
      <c r="C129" s="1">
        <v>98</v>
      </c>
      <c r="D129" s="46">
        <v>2.2799999999999998</v>
      </c>
      <c r="E129" s="1">
        <v>23.7</v>
      </c>
      <c r="F129" s="1">
        <v>0</v>
      </c>
      <c r="G129" s="1">
        <v>100</v>
      </c>
      <c r="H129" s="1">
        <v>100</v>
      </c>
      <c r="I129" s="2">
        <v>3</v>
      </c>
      <c r="J129" s="1">
        <v>4</v>
      </c>
      <c r="K129" s="1">
        <v>4</v>
      </c>
    </row>
    <row r="130" spans="1:11" x14ac:dyDescent="0.3">
      <c r="A130" s="1" t="s">
        <v>172</v>
      </c>
      <c r="B130" s="1" t="s">
        <v>182</v>
      </c>
      <c r="C130" s="1">
        <v>99</v>
      </c>
      <c r="D130" s="46">
        <v>7.2350000000000003</v>
      </c>
      <c r="E130" s="1">
        <v>24.6</v>
      </c>
      <c r="F130" s="1">
        <v>1.4</v>
      </c>
      <c r="G130" s="1">
        <v>100</v>
      </c>
      <c r="H130" s="1">
        <v>100</v>
      </c>
      <c r="I130" s="2">
        <v>3</v>
      </c>
      <c r="J130" s="1">
        <v>10</v>
      </c>
      <c r="K130" s="1">
        <v>16</v>
      </c>
    </row>
    <row r="131" spans="1:11" x14ac:dyDescent="0.3">
      <c r="A131" s="1" t="s">
        <v>172</v>
      </c>
      <c r="B131" s="1" t="s">
        <v>184</v>
      </c>
      <c r="C131" s="1">
        <v>78</v>
      </c>
      <c r="D131" s="46">
        <v>17.850000000000001</v>
      </c>
      <c r="E131" s="1">
        <v>26.8</v>
      </c>
      <c r="F131" s="1">
        <v>0.7</v>
      </c>
      <c r="G131" s="1">
        <v>100</v>
      </c>
      <c r="H131" s="1">
        <v>100</v>
      </c>
      <c r="I131" s="2">
        <v>2</v>
      </c>
      <c r="J131" s="1">
        <v>3</v>
      </c>
      <c r="K131" s="1">
        <v>3</v>
      </c>
    </row>
    <row r="132" spans="1:11" x14ac:dyDescent="0.3">
      <c r="A132" s="1" t="s">
        <v>172</v>
      </c>
      <c r="B132" s="1" t="s">
        <v>183</v>
      </c>
      <c r="C132" s="1">
        <v>92</v>
      </c>
      <c r="D132" s="46">
        <v>44.68</v>
      </c>
      <c r="E132" s="1">
        <v>23.2</v>
      </c>
      <c r="F132" s="1">
        <v>0.6</v>
      </c>
      <c r="G132" s="1">
        <v>0</v>
      </c>
      <c r="H132" s="1">
        <v>100</v>
      </c>
      <c r="I132" s="2">
        <v>3</v>
      </c>
      <c r="J132" s="1">
        <v>8</v>
      </c>
      <c r="K132" s="1">
        <v>9</v>
      </c>
    </row>
    <row r="133" spans="1:11" x14ac:dyDescent="0.3">
      <c r="A133" s="1" t="s">
        <v>172</v>
      </c>
      <c r="B133" s="1" t="s">
        <v>183</v>
      </c>
      <c r="C133" s="1">
        <v>84</v>
      </c>
      <c r="D133" s="46">
        <v>0.5</v>
      </c>
      <c r="E133" s="1">
        <v>25.9</v>
      </c>
      <c r="F133" s="1">
        <v>0</v>
      </c>
      <c r="G133" s="1">
        <v>100</v>
      </c>
      <c r="H133" s="1">
        <v>100</v>
      </c>
      <c r="I133" s="2">
        <v>3</v>
      </c>
      <c r="J133" s="1">
        <v>4</v>
      </c>
      <c r="K133" s="1">
        <v>4</v>
      </c>
    </row>
    <row r="134" spans="1:11" x14ac:dyDescent="0.3">
      <c r="A134" s="1" t="s">
        <v>172</v>
      </c>
      <c r="B134" s="1" t="s">
        <v>186</v>
      </c>
      <c r="C134" s="1">
        <v>83</v>
      </c>
      <c r="D134" s="46">
        <v>1.1299999999999999</v>
      </c>
      <c r="E134" s="1">
        <v>25.5</v>
      </c>
      <c r="F134" s="1">
        <v>0</v>
      </c>
      <c r="G134" s="1">
        <v>100</v>
      </c>
      <c r="H134" s="1">
        <v>100</v>
      </c>
      <c r="I134" s="2">
        <v>6</v>
      </c>
      <c r="J134" s="1">
        <v>9</v>
      </c>
      <c r="K134" s="1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3"/>
  <sheetViews>
    <sheetView workbookViewId="0">
      <selection sqref="A1:D1"/>
    </sheetView>
  </sheetViews>
  <sheetFormatPr defaultRowHeight="14.4" x14ac:dyDescent="0.3"/>
  <sheetData>
    <row r="1" spans="1:9" ht="120.6" x14ac:dyDescent="0.3">
      <c r="A1" s="6" t="s">
        <v>187</v>
      </c>
      <c r="B1" s="7" t="s">
        <v>188</v>
      </c>
      <c r="C1" s="9" t="s">
        <v>189</v>
      </c>
      <c r="D1" s="7" t="s">
        <v>190</v>
      </c>
      <c r="E1" s="7" t="s">
        <v>191</v>
      </c>
      <c r="F1" s="7" t="s">
        <v>193</v>
      </c>
      <c r="G1" s="8" t="s">
        <v>194</v>
      </c>
      <c r="H1" s="1" t="s">
        <v>195</v>
      </c>
      <c r="I1" s="1" t="s">
        <v>175</v>
      </c>
    </row>
    <row r="2" spans="1:9" x14ac:dyDescent="0.3">
      <c r="A2" s="16" t="s">
        <v>176</v>
      </c>
      <c r="B2" s="15">
        <v>79</v>
      </c>
      <c r="C2" s="18">
        <v>0.309</v>
      </c>
      <c r="D2" s="15">
        <v>23.3</v>
      </c>
      <c r="E2" s="15">
        <v>0.5</v>
      </c>
      <c r="F2" s="15">
        <v>76.67</v>
      </c>
      <c r="G2" s="17">
        <v>4</v>
      </c>
      <c r="H2" s="1">
        <v>10</v>
      </c>
      <c r="I2" s="1">
        <v>10</v>
      </c>
    </row>
    <row r="3" spans="1:9" x14ac:dyDescent="0.3">
      <c r="A3" s="16" t="s">
        <v>176</v>
      </c>
      <c r="B3" s="15">
        <v>80</v>
      </c>
      <c r="C3" s="18">
        <v>0.32</v>
      </c>
      <c r="D3" s="15">
        <v>24</v>
      </c>
      <c r="E3" s="15">
        <v>0</v>
      </c>
      <c r="F3" s="15">
        <v>76.67</v>
      </c>
      <c r="G3" s="17">
        <v>4</v>
      </c>
      <c r="H3" s="1">
        <v>7</v>
      </c>
      <c r="I3" s="1">
        <v>7</v>
      </c>
    </row>
    <row r="4" spans="1:9" x14ac:dyDescent="0.3">
      <c r="A4" s="16" t="s">
        <v>177</v>
      </c>
      <c r="B4" s="15">
        <v>80</v>
      </c>
      <c r="C4" s="18">
        <v>1.85</v>
      </c>
      <c r="D4" s="15">
        <v>25.3</v>
      </c>
      <c r="E4" s="15">
        <v>0.8</v>
      </c>
      <c r="F4" s="15">
        <v>93.33</v>
      </c>
      <c r="G4" s="17">
        <v>3</v>
      </c>
      <c r="H4" s="1">
        <v>14</v>
      </c>
      <c r="I4" s="1">
        <v>17</v>
      </c>
    </row>
    <row r="5" spans="1:9" x14ac:dyDescent="0.3">
      <c r="A5" s="23" t="s">
        <v>177</v>
      </c>
      <c r="B5" s="15">
        <v>58</v>
      </c>
      <c r="C5" s="18">
        <v>0.27</v>
      </c>
      <c r="D5" s="15">
        <v>26.8</v>
      </c>
      <c r="E5" s="15">
        <v>0.5</v>
      </c>
      <c r="F5" s="15">
        <v>88.87</v>
      </c>
      <c r="G5" s="17">
        <v>3</v>
      </c>
      <c r="H5" s="1">
        <v>5</v>
      </c>
      <c r="I5" s="1">
        <v>5</v>
      </c>
    </row>
    <row r="6" spans="1:9" x14ac:dyDescent="0.3">
      <c r="A6" s="23" t="s">
        <v>179</v>
      </c>
      <c r="B6" s="20">
        <v>77</v>
      </c>
      <c r="C6" s="18">
        <v>0.28999999999999998</v>
      </c>
      <c r="D6" s="15">
        <v>22</v>
      </c>
      <c r="E6" s="15">
        <v>0</v>
      </c>
      <c r="F6" s="15">
        <v>88.87</v>
      </c>
      <c r="G6" s="17">
        <v>5</v>
      </c>
      <c r="H6" s="1">
        <v>2</v>
      </c>
      <c r="I6" s="1">
        <v>2</v>
      </c>
    </row>
    <row r="7" spans="1:9" x14ac:dyDescent="0.3">
      <c r="A7" s="23" t="s">
        <v>179</v>
      </c>
      <c r="B7" s="15">
        <v>77</v>
      </c>
      <c r="C7" s="18">
        <v>0.28999999999999998</v>
      </c>
      <c r="D7" s="15">
        <v>25.9</v>
      </c>
      <c r="E7" s="15">
        <v>0</v>
      </c>
      <c r="F7" s="15">
        <v>98.33</v>
      </c>
      <c r="G7" s="17">
        <v>5</v>
      </c>
      <c r="H7" s="1">
        <v>12</v>
      </c>
      <c r="I7" s="1">
        <v>12</v>
      </c>
    </row>
    <row r="8" spans="1:9" x14ac:dyDescent="0.3">
      <c r="A8" s="23" t="s">
        <v>179</v>
      </c>
      <c r="B8" s="15">
        <v>55</v>
      </c>
      <c r="C8" s="18">
        <v>4.9000000000000002E-2</v>
      </c>
      <c r="D8" s="15">
        <v>27.2</v>
      </c>
      <c r="E8" s="15">
        <v>0</v>
      </c>
      <c r="F8" s="15">
        <v>84.47</v>
      </c>
      <c r="G8" s="17">
        <v>5</v>
      </c>
      <c r="H8" s="1">
        <v>3</v>
      </c>
      <c r="I8" s="1">
        <v>3</v>
      </c>
    </row>
    <row r="9" spans="1:9" x14ac:dyDescent="0.3">
      <c r="A9" s="23" t="s">
        <v>180</v>
      </c>
      <c r="B9" s="15">
        <v>76</v>
      </c>
      <c r="C9" s="18">
        <v>0.30399999999999999</v>
      </c>
      <c r="D9" s="15">
        <v>24.9</v>
      </c>
      <c r="E9" s="15">
        <v>2</v>
      </c>
      <c r="F9" s="15">
        <v>100</v>
      </c>
      <c r="G9" s="17">
        <v>5</v>
      </c>
      <c r="H9" s="1">
        <v>0</v>
      </c>
      <c r="I9" s="1">
        <v>0</v>
      </c>
    </row>
    <row r="10" spans="1:9" x14ac:dyDescent="0.3">
      <c r="A10" s="23" t="s">
        <v>180</v>
      </c>
      <c r="B10" s="15">
        <v>47</v>
      </c>
      <c r="C10" s="18">
        <v>0.13600000000000001</v>
      </c>
      <c r="D10" s="15">
        <v>29.3</v>
      </c>
      <c r="E10" s="15">
        <v>0.7</v>
      </c>
      <c r="F10" s="15">
        <v>100</v>
      </c>
      <c r="G10" s="17">
        <v>5</v>
      </c>
      <c r="H10" s="1">
        <v>2</v>
      </c>
      <c r="I10" s="1">
        <v>3</v>
      </c>
    </row>
    <row r="11" spans="1:9" x14ac:dyDescent="0.3">
      <c r="A11" s="23" t="s">
        <v>181</v>
      </c>
      <c r="B11" s="20">
        <v>63</v>
      </c>
      <c r="C11" s="18">
        <v>0.08</v>
      </c>
      <c r="D11" s="15">
        <v>21</v>
      </c>
      <c r="E11" s="15">
        <v>0</v>
      </c>
      <c r="F11" s="15">
        <v>100</v>
      </c>
      <c r="G11" s="17">
        <v>3</v>
      </c>
      <c r="H11" s="1">
        <v>1</v>
      </c>
      <c r="I11" s="1">
        <v>1</v>
      </c>
    </row>
    <row r="12" spans="1:9" x14ac:dyDescent="0.3">
      <c r="A12" s="23" t="s">
        <v>181</v>
      </c>
      <c r="B12" s="15">
        <v>63</v>
      </c>
      <c r="C12" s="18">
        <v>6.6900000000000001E-2</v>
      </c>
      <c r="D12" s="15">
        <v>33.700000000000003</v>
      </c>
      <c r="E12" s="15">
        <v>2.4</v>
      </c>
      <c r="F12" s="15">
        <v>100</v>
      </c>
      <c r="G12" s="17">
        <v>3</v>
      </c>
      <c r="H12" s="1">
        <v>4</v>
      </c>
      <c r="I12" s="1">
        <v>4</v>
      </c>
    </row>
    <row r="13" spans="1:9" x14ac:dyDescent="0.3">
      <c r="A13" s="23" t="s">
        <v>181</v>
      </c>
      <c r="B13" s="15">
        <v>44</v>
      </c>
      <c r="C13" s="18">
        <v>21.4</v>
      </c>
      <c r="D13" s="15">
        <v>34.4</v>
      </c>
      <c r="E13" s="15">
        <v>2</v>
      </c>
      <c r="F13" s="15">
        <v>100</v>
      </c>
      <c r="G13" s="17">
        <v>3</v>
      </c>
      <c r="H13" s="1">
        <v>4</v>
      </c>
      <c r="I13" s="1">
        <v>4</v>
      </c>
    </row>
    <row r="14" spans="1:9" x14ac:dyDescent="0.3">
      <c r="A14" s="23" t="s">
        <v>182</v>
      </c>
      <c r="B14" s="15">
        <v>57</v>
      </c>
      <c r="C14" s="18">
        <v>32.799999999999997</v>
      </c>
      <c r="D14" s="15">
        <v>30.4</v>
      </c>
      <c r="E14" s="15">
        <v>3.9</v>
      </c>
      <c r="F14" s="15">
        <v>100</v>
      </c>
      <c r="G14" s="17">
        <v>3</v>
      </c>
      <c r="H14" s="1">
        <v>1</v>
      </c>
      <c r="I14" s="1">
        <v>1</v>
      </c>
    </row>
    <row r="15" spans="1:9" x14ac:dyDescent="0.3">
      <c r="A15" s="15" t="s">
        <v>182</v>
      </c>
      <c r="B15" s="15">
        <v>28</v>
      </c>
      <c r="C15" s="18">
        <v>31.5</v>
      </c>
      <c r="D15" s="15">
        <v>43.8</v>
      </c>
      <c r="E15" s="15">
        <v>1.1000000000000001</v>
      </c>
      <c r="F15" s="15">
        <v>100</v>
      </c>
      <c r="G15" s="17">
        <v>3</v>
      </c>
      <c r="H15" s="1">
        <v>2</v>
      </c>
      <c r="I15" s="1">
        <v>2</v>
      </c>
    </row>
    <row r="16" spans="1:9" x14ac:dyDescent="0.3">
      <c r="A16" s="26" t="s">
        <v>176</v>
      </c>
      <c r="B16" s="30">
        <v>95</v>
      </c>
      <c r="C16" s="29">
        <v>0.59</v>
      </c>
      <c r="D16" s="30">
        <v>23.4</v>
      </c>
      <c r="E16" s="30">
        <v>0</v>
      </c>
      <c r="F16" s="15">
        <v>70</v>
      </c>
      <c r="G16" s="21">
        <v>4</v>
      </c>
      <c r="H16" s="1">
        <v>9</v>
      </c>
      <c r="I16" s="1">
        <v>18</v>
      </c>
    </row>
    <row r="17" spans="1:9" x14ac:dyDescent="0.3">
      <c r="A17" s="26" t="s">
        <v>177</v>
      </c>
      <c r="B17" s="30">
        <v>99</v>
      </c>
      <c r="C17" s="29">
        <v>34.6</v>
      </c>
      <c r="D17" s="30">
        <v>25.4</v>
      </c>
      <c r="E17" s="30">
        <v>2.2999999999999998</v>
      </c>
      <c r="F17" s="15">
        <v>93.33</v>
      </c>
      <c r="G17" s="21">
        <v>3</v>
      </c>
      <c r="H17" s="1">
        <v>11</v>
      </c>
      <c r="I17" s="1">
        <v>11</v>
      </c>
    </row>
    <row r="18" spans="1:9" x14ac:dyDescent="0.3">
      <c r="A18" s="26" t="s">
        <v>179</v>
      </c>
      <c r="B18" s="33">
        <v>99</v>
      </c>
      <c r="C18" s="29">
        <v>0.42</v>
      </c>
      <c r="D18" s="30">
        <v>22</v>
      </c>
      <c r="E18" s="30">
        <v>0</v>
      </c>
      <c r="F18" s="15">
        <v>52.38</v>
      </c>
      <c r="G18" s="21">
        <v>5</v>
      </c>
      <c r="H18" s="1">
        <v>7</v>
      </c>
      <c r="I18" s="1">
        <v>10</v>
      </c>
    </row>
    <row r="19" spans="1:9" x14ac:dyDescent="0.3">
      <c r="A19" s="26" t="s">
        <v>179</v>
      </c>
      <c r="B19" s="30">
        <v>99</v>
      </c>
      <c r="C19" s="34">
        <v>0.47249999999999998</v>
      </c>
      <c r="D19" s="30">
        <v>25.7</v>
      </c>
      <c r="E19" s="26">
        <v>0</v>
      </c>
      <c r="F19" s="15">
        <v>90</v>
      </c>
      <c r="G19" s="21">
        <v>5</v>
      </c>
      <c r="H19" s="1">
        <v>8</v>
      </c>
      <c r="I19" s="1">
        <v>9</v>
      </c>
    </row>
    <row r="20" spans="1:9" x14ac:dyDescent="0.3">
      <c r="A20" s="26" t="s">
        <v>179</v>
      </c>
      <c r="B20" s="30">
        <v>99</v>
      </c>
      <c r="C20" s="29">
        <v>32.6</v>
      </c>
      <c r="D20" s="30">
        <v>23.7</v>
      </c>
      <c r="E20" s="26">
        <v>0</v>
      </c>
      <c r="F20" s="15">
        <v>73.33</v>
      </c>
      <c r="G20" s="21">
        <v>5</v>
      </c>
      <c r="H20" s="1">
        <v>3</v>
      </c>
      <c r="I20" s="1">
        <v>3</v>
      </c>
    </row>
    <row r="21" spans="1:9" x14ac:dyDescent="0.3">
      <c r="A21" s="26" t="s">
        <v>180</v>
      </c>
      <c r="B21" s="30">
        <v>97</v>
      </c>
      <c r="C21" s="35">
        <v>0.53600000000000003</v>
      </c>
      <c r="D21" s="30">
        <v>24.9</v>
      </c>
      <c r="E21" s="30">
        <v>0</v>
      </c>
      <c r="F21" s="15">
        <v>90</v>
      </c>
      <c r="G21" s="21">
        <v>5</v>
      </c>
      <c r="H21" s="1">
        <v>5</v>
      </c>
      <c r="I21" s="1">
        <v>9</v>
      </c>
    </row>
    <row r="22" spans="1:9" x14ac:dyDescent="0.3">
      <c r="A22" s="26" t="s">
        <v>180</v>
      </c>
      <c r="B22" s="30">
        <v>99</v>
      </c>
      <c r="C22" s="29">
        <v>47.9</v>
      </c>
      <c r="D22" s="30">
        <v>24.1</v>
      </c>
      <c r="E22" s="30">
        <v>0.5</v>
      </c>
      <c r="F22" s="15">
        <v>80</v>
      </c>
      <c r="G22" s="21">
        <v>5</v>
      </c>
      <c r="H22" s="1">
        <v>1</v>
      </c>
      <c r="I22" s="1">
        <v>1</v>
      </c>
    </row>
    <row r="23" spans="1:9" x14ac:dyDescent="0.3">
      <c r="A23" s="26" t="s">
        <v>181</v>
      </c>
      <c r="B23" s="30">
        <v>99</v>
      </c>
      <c r="C23" s="29">
        <v>53.2</v>
      </c>
      <c r="D23" s="30">
        <v>27.5</v>
      </c>
      <c r="E23" s="30">
        <v>0</v>
      </c>
      <c r="F23" s="15">
        <v>93.33</v>
      </c>
      <c r="G23" s="21">
        <v>3</v>
      </c>
      <c r="H23" s="1">
        <v>4</v>
      </c>
      <c r="I23" s="1">
        <v>7</v>
      </c>
    </row>
    <row r="24" spans="1:9" x14ac:dyDescent="0.3">
      <c r="A24" s="26" t="s">
        <v>181</v>
      </c>
      <c r="B24" s="30">
        <v>99</v>
      </c>
      <c r="C24" s="29">
        <v>8.23</v>
      </c>
      <c r="D24" s="30">
        <v>23.7</v>
      </c>
      <c r="E24" s="30">
        <v>0</v>
      </c>
      <c r="F24" s="15">
        <v>93.33</v>
      </c>
      <c r="G24" s="21">
        <v>3</v>
      </c>
      <c r="H24" s="1">
        <v>2</v>
      </c>
      <c r="I24" s="1">
        <v>4</v>
      </c>
    </row>
    <row r="25" spans="1:9" x14ac:dyDescent="0.3">
      <c r="A25" s="26" t="s">
        <v>182</v>
      </c>
      <c r="B25" s="30">
        <v>77</v>
      </c>
      <c r="C25" s="29">
        <v>8.5399999999999991</v>
      </c>
      <c r="D25" s="30">
        <v>28</v>
      </c>
      <c r="E25" s="30">
        <v>1.75</v>
      </c>
      <c r="F25" s="15">
        <v>93.33</v>
      </c>
      <c r="G25" s="21">
        <v>3</v>
      </c>
      <c r="H25" s="1">
        <v>6</v>
      </c>
      <c r="I25" s="1">
        <v>12</v>
      </c>
    </row>
    <row r="26" spans="1:9" x14ac:dyDescent="0.3">
      <c r="A26" s="26" t="s">
        <v>182</v>
      </c>
      <c r="B26" s="30">
        <v>99</v>
      </c>
      <c r="C26" s="29">
        <v>7.51</v>
      </c>
      <c r="D26" s="30">
        <v>23.7</v>
      </c>
      <c r="E26" s="30">
        <v>0</v>
      </c>
      <c r="F26" s="15">
        <v>93.33</v>
      </c>
      <c r="G26" s="21">
        <v>3</v>
      </c>
      <c r="H26" s="1">
        <v>4</v>
      </c>
      <c r="I26" s="1">
        <v>15</v>
      </c>
    </row>
    <row r="27" spans="1:9" x14ac:dyDescent="0.3">
      <c r="A27" s="27" t="s">
        <v>183</v>
      </c>
      <c r="B27" s="30">
        <v>79</v>
      </c>
      <c r="C27" s="29">
        <v>73.7</v>
      </c>
      <c r="D27" s="30">
        <v>29.1</v>
      </c>
      <c r="E27" s="30">
        <v>1</v>
      </c>
      <c r="F27" s="15">
        <v>80</v>
      </c>
      <c r="G27" s="21">
        <v>3</v>
      </c>
      <c r="H27" s="1">
        <v>0</v>
      </c>
      <c r="I27" s="1">
        <v>0</v>
      </c>
    </row>
    <row r="28" spans="1:9" x14ac:dyDescent="0.3">
      <c r="A28" s="27" t="s">
        <v>185</v>
      </c>
      <c r="B28" s="33">
        <v>73</v>
      </c>
      <c r="C28" s="29">
        <v>50.3</v>
      </c>
      <c r="D28" s="30">
        <v>17</v>
      </c>
      <c r="E28" s="30">
        <v>0</v>
      </c>
      <c r="F28" s="15">
        <v>80</v>
      </c>
      <c r="G28" s="21">
        <v>1</v>
      </c>
      <c r="H28" s="1">
        <v>2</v>
      </c>
      <c r="I28" s="1">
        <v>2</v>
      </c>
    </row>
    <row r="29" spans="1:9" x14ac:dyDescent="0.3">
      <c r="A29" s="27" t="s">
        <v>185</v>
      </c>
      <c r="B29" s="30">
        <v>72</v>
      </c>
      <c r="C29" s="29">
        <v>50.4</v>
      </c>
      <c r="D29" s="30">
        <v>30.4</v>
      </c>
      <c r="E29" s="30">
        <v>0</v>
      </c>
      <c r="F29" s="15">
        <v>80</v>
      </c>
      <c r="G29" s="21">
        <v>1</v>
      </c>
      <c r="H29" s="1">
        <v>3</v>
      </c>
      <c r="I29" s="1">
        <v>7</v>
      </c>
    </row>
    <row r="30" spans="1:9" x14ac:dyDescent="0.3">
      <c r="A30" s="27" t="s">
        <v>186</v>
      </c>
      <c r="B30" s="30">
        <v>75</v>
      </c>
      <c r="C30" s="35">
        <v>0.71899999999999997</v>
      </c>
      <c r="D30" s="30">
        <v>25.8</v>
      </c>
      <c r="E30" s="30">
        <v>0</v>
      </c>
      <c r="F30" s="15">
        <v>80</v>
      </c>
      <c r="G30" s="21">
        <v>6</v>
      </c>
      <c r="H30" s="1">
        <v>0</v>
      </c>
      <c r="I30" s="1">
        <v>0</v>
      </c>
    </row>
    <row r="31" spans="1:9" x14ac:dyDescent="0.3">
      <c r="A31" s="23" t="s">
        <v>176</v>
      </c>
      <c r="B31" s="15">
        <v>99</v>
      </c>
      <c r="C31" s="36">
        <v>0.27700000000000002</v>
      </c>
      <c r="D31" s="15">
        <v>26.4</v>
      </c>
      <c r="E31" s="15">
        <v>0</v>
      </c>
      <c r="F31" s="15">
        <v>23.81</v>
      </c>
      <c r="G31" s="17">
        <v>4</v>
      </c>
      <c r="H31" s="1">
        <v>6</v>
      </c>
      <c r="I31" s="1">
        <v>22</v>
      </c>
    </row>
    <row r="32" spans="1:9" x14ac:dyDescent="0.3">
      <c r="A32" s="23" t="s">
        <v>177</v>
      </c>
      <c r="B32" s="15">
        <v>92</v>
      </c>
      <c r="C32" s="18">
        <v>0.78</v>
      </c>
      <c r="D32" s="15">
        <v>24.6</v>
      </c>
      <c r="E32" s="15">
        <v>0</v>
      </c>
      <c r="F32" s="15">
        <v>100</v>
      </c>
      <c r="G32" s="17">
        <v>3</v>
      </c>
      <c r="H32" s="1">
        <v>9</v>
      </c>
      <c r="I32" s="1">
        <v>14</v>
      </c>
    </row>
    <row r="33" spans="1:9" x14ac:dyDescent="0.3">
      <c r="A33" s="23" t="s">
        <v>179</v>
      </c>
      <c r="B33" s="15">
        <v>94</v>
      </c>
      <c r="C33" s="36">
        <v>0.50800000000000001</v>
      </c>
      <c r="D33" s="15">
        <v>24.8</v>
      </c>
      <c r="E33" s="15">
        <v>0</v>
      </c>
      <c r="F33" s="15">
        <v>100</v>
      </c>
      <c r="G33" s="17">
        <v>5</v>
      </c>
      <c r="H33" s="1">
        <v>8</v>
      </c>
      <c r="I33" s="1">
        <v>8</v>
      </c>
    </row>
    <row r="34" spans="1:9" x14ac:dyDescent="0.3">
      <c r="A34" s="23" t="s">
        <v>179</v>
      </c>
      <c r="B34" s="15">
        <v>94</v>
      </c>
      <c r="C34" s="36">
        <v>0.5</v>
      </c>
      <c r="D34" s="15">
        <v>24.8</v>
      </c>
      <c r="E34" s="15">
        <v>0</v>
      </c>
      <c r="F34" s="15">
        <v>66.67</v>
      </c>
      <c r="G34" s="17">
        <v>5</v>
      </c>
      <c r="H34" s="1">
        <v>2</v>
      </c>
      <c r="I34" s="1">
        <v>6</v>
      </c>
    </row>
    <row r="35" spans="1:9" x14ac:dyDescent="0.3">
      <c r="A35" s="23" t="s">
        <v>179</v>
      </c>
      <c r="B35" s="20">
        <v>94</v>
      </c>
      <c r="C35" s="36">
        <v>0.5</v>
      </c>
      <c r="D35" s="15">
        <v>23</v>
      </c>
      <c r="E35" s="15">
        <v>0</v>
      </c>
      <c r="F35" s="15">
        <v>66.67</v>
      </c>
      <c r="G35" s="17">
        <v>5</v>
      </c>
      <c r="H35" s="1">
        <v>5</v>
      </c>
      <c r="I35" s="1">
        <v>5</v>
      </c>
    </row>
    <row r="36" spans="1:9" x14ac:dyDescent="0.3">
      <c r="A36" s="23" t="s">
        <v>179</v>
      </c>
      <c r="B36" s="20">
        <v>94</v>
      </c>
      <c r="C36" s="36">
        <v>0.5</v>
      </c>
      <c r="D36" s="15">
        <v>22</v>
      </c>
      <c r="E36" s="15">
        <v>0</v>
      </c>
      <c r="F36" s="15">
        <v>66.67</v>
      </c>
      <c r="G36" s="17">
        <v>5</v>
      </c>
      <c r="H36" s="1">
        <v>1</v>
      </c>
      <c r="I36" s="1">
        <v>1</v>
      </c>
    </row>
    <row r="37" spans="1:9" x14ac:dyDescent="0.3">
      <c r="A37" s="23" t="s">
        <v>181</v>
      </c>
      <c r="B37" s="15">
        <v>99</v>
      </c>
      <c r="C37" s="18">
        <v>7.59</v>
      </c>
      <c r="D37" s="15">
        <v>23.9</v>
      </c>
      <c r="E37" s="15">
        <v>0</v>
      </c>
      <c r="F37" s="15">
        <v>66.67</v>
      </c>
      <c r="G37" s="17">
        <v>3</v>
      </c>
      <c r="H37" s="1">
        <v>5</v>
      </c>
      <c r="I37" s="1">
        <v>6</v>
      </c>
    </row>
    <row r="38" spans="1:9" x14ac:dyDescent="0.3">
      <c r="A38" s="23" t="s">
        <v>182</v>
      </c>
      <c r="B38" s="15">
        <v>99</v>
      </c>
      <c r="C38" s="18">
        <v>13.05</v>
      </c>
      <c r="D38" s="15">
        <v>25.9</v>
      </c>
      <c r="E38" s="15">
        <v>0.45</v>
      </c>
      <c r="F38" s="15">
        <v>100</v>
      </c>
      <c r="G38" s="17">
        <v>3</v>
      </c>
      <c r="H38" s="1">
        <v>4</v>
      </c>
      <c r="I38" s="1">
        <v>4</v>
      </c>
    </row>
    <row r="39" spans="1:9" x14ac:dyDescent="0.3">
      <c r="A39" s="23" t="s">
        <v>184</v>
      </c>
      <c r="B39" s="15">
        <v>93</v>
      </c>
      <c r="C39" s="18">
        <v>6.64</v>
      </c>
      <c r="D39" s="15">
        <v>26</v>
      </c>
      <c r="E39" s="15">
        <v>0</v>
      </c>
      <c r="F39" s="15">
        <v>100</v>
      </c>
      <c r="G39" s="17">
        <v>2</v>
      </c>
      <c r="H39" s="1">
        <v>7</v>
      </c>
      <c r="I39" s="1">
        <v>13</v>
      </c>
    </row>
    <row r="40" spans="1:9" x14ac:dyDescent="0.3">
      <c r="A40" s="23" t="s">
        <v>184</v>
      </c>
      <c r="B40" s="15">
        <v>59</v>
      </c>
      <c r="C40" s="18">
        <v>39.5</v>
      </c>
      <c r="D40" s="15">
        <v>31.13</v>
      </c>
      <c r="E40" s="15">
        <v>2.1</v>
      </c>
      <c r="F40" s="15">
        <v>100</v>
      </c>
      <c r="G40" s="17">
        <v>2</v>
      </c>
      <c r="H40" s="1">
        <v>4</v>
      </c>
      <c r="I40" s="1">
        <v>9</v>
      </c>
    </row>
    <row r="41" spans="1:9" x14ac:dyDescent="0.3">
      <c r="A41" s="23" t="s">
        <v>184</v>
      </c>
      <c r="B41" s="15">
        <v>80</v>
      </c>
      <c r="C41" s="18">
        <v>6.56</v>
      </c>
      <c r="D41" s="15">
        <v>23.9</v>
      </c>
      <c r="E41" s="15">
        <v>0</v>
      </c>
      <c r="F41" s="15">
        <v>95.24</v>
      </c>
      <c r="G41" s="17">
        <v>2</v>
      </c>
      <c r="H41" s="1">
        <v>0</v>
      </c>
      <c r="I41" s="1">
        <v>0</v>
      </c>
    </row>
    <row r="42" spans="1:9" x14ac:dyDescent="0.3">
      <c r="A42" s="23" t="s">
        <v>183</v>
      </c>
      <c r="B42" s="15">
        <v>79</v>
      </c>
      <c r="C42" s="18">
        <v>15.5</v>
      </c>
      <c r="D42" s="15">
        <v>28.3</v>
      </c>
      <c r="E42" s="15">
        <v>0</v>
      </c>
      <c r="F42" s="15">
        <v>100</v>
      </c>
      <c r="G42" s="17">
        <v>3</v>
      </c>
      <c r="H42" s="1">
        <v>3</v>
      </c>
      <c r="I42" s="1">
        <v>3</v>
      </c>
    </row>
    <row r="43" spans="1:9" x14ac:dyDescent="0.3">
      <c r="A43" s="23" t="s">
        <v>183</v>
      </c>
      <c r="B43" s="15">
        <v>79</v>
      </c>
      <c r="C43" s="18">
        <v>4.87</v>
      </c>
      <c r="D43" s="15">
        <v>25.2</v>
      </c>
      <c r="E43" s="15">
        <v>0</v>
      </c>
      <c r="F43" s="15">
        <v>71.430000000000007</v>
      </c>
      <c r="G43" s="17">
        <v>3</v>
      </c>
      <c r="H43" s="1">
        <v>0</v>
      </c>
      <c r="I43" s="1">
        <v>0</v>
      </c>
    </row>
    <row r="44" spans="1:9" x14ac:dyDescent="0.3">
      <c r="A44" s="23" t="s">
        <v>185</v>
      </c>
      <c r="B44" s="15">
        <v>86</v>
      </c>
      <c r="C44" s="18">
        <v>19.5</v>
      </c>
      <c r="D44" s="15">
        <v>27.4</v>
      </c>
      <c r="E44" s="15">
        <v>2.9</v>
      </c>
      <c r="F44" s="15">
        <v>71.430000000000007</v>
      </c>
      <c r="G44" s="17">
        <v>1</v>
      </c>
      <c r="H44" s="1">
        <v>3</v>
      </c>
      <c r="I44" s="1">
        <v>5</v>
      </c>
    </row>
    <row r="45" spans="1:9" x14ac:dyDescent="0.3">
      <c r="A45" s="23" t="s">
        <v>186</v>
      </c>
      <c r="B45" s="15">
        <v>79</v>
      </c>
      <c r="C45" s="18">
        <v>0.56999999999999995</v>
      </c>
      <c r="D45" s="15">
        <v>24.8</v>
      </c>
      <c r="E45" s="15">
        <v>0</v>
      </c>
      <c r="F45" s="15">
        <v>100</v>
      </c>
      <c r="G45" s="17">
        <v>6</v>
      </c>
      <c r="H45" s="1">
        <v>3</v>
      </c>
      <c r="I45" s="1">
        <v>4</v>
      </c>
    </row>
    <row r="46" spans="1:9" x14ac:dyDescent="0.3">
      <c r="A46" s="23" t="s">
        <v>186</v>
      </c>
      <c r="B46" s="15">
        <v>96</v>
      </c>
      <c r="C46" s="18">
        <v>15.05</v>
      </c>
      <c r="D46" s="15">
        <v>30.2</v>
      </c>
      <c r="E46" s="15">
        <v>0</v>
      </c>
      <c r="F46" s="15">
        <v>66.67</v>
      </c>
      <c r="G46" s="17">
        <v>6</v>
      </c>
      <c r="H46" s="1">
        <v>2</v>
      </c>
      <c r="I46" s="1">
        <v>6</v>
      </c>
    </row>
    <row r="47" spans="1:9" x14ac:dyDescent="0.3">
      <c r="A47" s="15" t="s">
        <v>186</v>
      </c>
      <c r="B47" s="15">
        <v>57</v>
      </c>
      <c r="C47" s="18">
        <v>153.19999999999999</v>
      </c>
      <c r="D47" s="15">
        <v>30.2</v>
      </c>
      <c r="E47" s="15">
        <v>0.4</v>
      </c>
      <c r="F47" s="15">
        <v>71.430000000000007</v>
      </c>
      <c r="G47" s="17">
        <v>6</v>
      </c>
      <c r="H47" s="1">
        <v>2</v>
      </c>
      <c r="I47" s="1">
        <v>3</v>
      </c>
    </row>
    <row r="48" spans="1:9" x14ac:dyDescent="0.3">
      <c r="A48" s="23" t="s">
        <v>176</v>
      </c>
      <c r="B48" s="15">
        <v>98</v>
      </c>
      <c r="C48" s="18">
        <v>7.54</v>
      </c>
      <c r="D48" s="15">
        <v>25.8</v>
      </c>
      <c r="E48" s="15">
        <v>0</v>
      </c>
      <c r="F48" s="15">
        <v>55.4</v>
      </c>
      <c r="G48" s="17">
        <v>4</v>
      </c>
      <c r="H48" s="1">
        <v>5</v>
      </c>
      <c r="I48" s="1">
        <v>7</v>
      </c>
    </row>
    <row r="49" spans="1:9" x14ac:dyDescent="0.3">
      <c r="A49" s="23" t="s">
        <v>176</v>
      </c>
      <c r="B49" s="15">
        <v>99</v>
      </c>
      <c r="C49" s="18">
        <v>6.06</v>
      </c>
      <c r="D49" s="15">
        <v>25.35</v>
      </c>
      <c r="E49" s="15">
        <v>0</v>
      </c>
      <c r="F49" s="15">
        <v>95.24</v>
      </c>
      <c r="G49" s="17">
        <v>4</v>
      </c>
      <c r="H49" s="1">
        <v>9</v>
      </c>
      <c r="I49" s="1">
        <v>9</v>
      </c>
    </row>
    <row r="50" spans="1:9" x14ac:dyDescent="0.3">
      <c r="A50" s="23" t="s">
        <v>177</v>
      </c>
      <c r="B50" s="15">
        <v>98</v>
      </c>
      <c r="C50" s="18">
        <v>0.77</v>
      </c>
      <c r="D50" s="15">
        <v>22.6</v>
      </c>
      <c r="E50" s="15">
        <v>0</v>
      </c>
      <c r="F50" s="15">
        <v>71.430000000000007</v>
      </c>
      <c r="G50" s="17">
        <v>3</v>
      </c>
      <c r="H50" s="1">
        <v>8</v>
      </c>
      <c r="I50" s="1">
        <v>14</v>
      </c>
    </row>
    <row r="51" spans="1:9" x14ac:dyDescent="0.3">
      <c r="A51" s="23" t="s">
        <v>177</v>
      </c>
      <c r="B51" s="15">
        <v>82</v>
      </c>
      <c r="C51" s="36">
        <v>0.19800000000000001</v>
      </c>
      <c r="D51" s="15">
        <v>24.3</v>
      </c>
      <c r="E51" s="15">
        <v>0</v>
      </c>
      <c r="F51" s="15">
        <v>47.62</v>
      </c>
      <c r="G51" s="17">
        <v>3</v>
      </c>
      <c r="H51" s="1">
        <v>9</v>
      </c>
      <c r="I51" s="1">
        <v>12</v>
      </c>
    </row>
    <row r="52" spans="1:9" x14ac:dyDescent="0.3">
      <c r="A52" s="23" t="s">
        <v>179</v>
      </c>
      <c r="B52" s="15">
        <v>98</v>
      </c>
      <c r="C52" s="18">
        <v>3.69</v>
      </c>
      <c r="D52" s="15">
        <v>22.35</v>
      </c>
      <c r="E52" s="15">
        <v>0</v>
      </c>
      <c r="F52" s="15">
        <v>100</v>
      </c>
      <c r="G52" s="17">
        <v>5</v>
      </c>
      <c r="H52" s="1">
        <v>3</v>
      </c>
      <c r="I52" s="1">
        <v>7</v>
      </c>
    </row>
    <row r="53" spans="1:9" x14ac:dyDescent="0.3">
      <c r="A53" s="23" t="s">
        <v>179</v>
      </c>
      <c r="B53" s="15">
        <v>98</v>
      </c>
      <c r="C53" s="18">
        <v>3.69</v>
      </c>
      <c r="D53" s="15">
        <v>22.35</v>
      </c>
      <c r="E53" s="15">
        <v>0</v>
      </c>
      <c r="F53" s="15">
        <v>100</v>
      </c>
      <c r="G53" s="17">
        <v>5</v>
      </c>
      <c r="H53" s="1">
        <v>13</v>
      </c>
      <c r="I53" s="1">
        <v>14</v>
      </c>
    </row>
    <row r="54" spans="1:9" x14ac:dyDescent="0.3">
      <c r="A54" s="23" t="s">
        <v>179</v>
      </c>
      <c r="B54" s="15">
        <v>90</v>
      </c>
      <c r="C54" s="36">
        <v>3.5000000000000003E-2</v>
      </c>
      <c r="D54" s="15">
        <v>24.2</v>
      </c>
      <c r="E54" s="15">
        <v>0</v>
      </c>
      <c r="F54" s="15">
        <v>100</v>
      </c>
      <c r="G54" s="17">
        <v>5</v>
      </c>
      <c r="H54" s="1">
        <v>1</v>
      </c>
      <c r="I54" s="1">
        <v>1</v>
      </c>
    </row>
    <row r="55" spans="1:9" x14ac:dyDescent="0.3">
      <c r="A55" s="23" t="s">
        <v>179</v>
      </c>
      <c r="B55" s="15">
        <v>61</v>
      </c>
      <c r="C55" s="36">
        <v>9.4E-2</v>
      </c>
      <c r="D55" s="15">
        <v>25.5</v>
      </c>
      <c r="E55" s="15">
        <v>0</v>
      </c>
      <c r="F55" s="15">
        <v>71.430000000000007</v>
      </c>
      <c r="G55" s="17">
        <v>5</v>
      </c>
      <c r="H55" s="1">
        <v>6</v>
      </c>
      <c r="I55" s="1">
        <v>8</v>
      </c>
    </row>
    <row r="56" spans="1:9" x14ac:dyDescent="0.3">
      <c r="A56" s="23" t="s">
        <v>179</v>
      </c>
      <c r="B56" s="15">
        <v>65</v>
      </c>
      <c r="C56" s="36">
        <v>3.5000000000000003E-2</v>
      </c>
      <c r="D56" s="15">
        <v>25.7</v>
      </c>
      <c r="E56" s="15">
        <v>0</v>
      </c>
      <c r="F56" s="15">
        <v>100</v>
      </c>
      <c r="G56" s="17">
        <v>5</v>
      </c>
      <c r="H56" s="1">
        <v>3</v>
      </c>
      <c r="I56" s="1">
        <v>3</v>
      </c>
    </row>
    <row r="57" spans="1:9" x14ac:dyDescent="0.3">
      <c r="A57" s="23" t="s">
        <v>180</v>
      </c>
      <c r="B57" s="15">
        <v>85</v>
      </c>
      <c r="C57" s="18">
        <v>3.81</v>
      </c>
      <c r="D57" s="15">
        <v>25</v>
      </c>
      <c r="E57" s="15">
        <v>0</v>
      </c>
      <c r="F57" s="15">
        <v>100</v>
      </c>
      <c r="G57" s="17">
        <v>5</v>
      </c>
      <c r="H57" s="1">
        <v>3</v>
      </c>
      <c r="I57" s="1">
        <v>3</v>
      </c>
    </row>
    <row r="58" spans="1:9" x14ac:dyDescent="0.3">
      <c r="A58" s="23" t="s">
        <v>180</v>
      </c>
      <c r="B58" s="15">
        <v>61</v>
      </c>
      <c r="C58" s="18">
        <v>4.78</v>
      </c>
      <c r="D58" s="15">
        <v>28.7</v>
      </c>
      <c r="E58" s="15">
        <v>0</v>
      </c>
      <c r="F58" s="15">
        <v>66.67</v>
      </c>
      <c r="G58" s="17">
        <v>5</v>
      </c>
      <c r="H58" s="1">
        <v>0</v>
      </c>
      <c r="I58" s="1">
        <v>0</v>
      </c>
    </row>
    <row r="59" spans="1:9" x14ac:dyDescent="0.3">
      <c r="A59" s="23" t="s">
        <v>180</v>
      </c>
      <c r="B59" s="15">
        <v>47</v>
      </c>
      <c r="C59" s="36">
        <v>0.74399999999999999</v>
      </c>
      <c r="D59" s="15">
        <v>29.9</v>
      </c>
      <c r="E59" s="15">
        <v>0</v>
      </c>
      <c r="F59" s="15">
        <v>95.24</v>
      </c>
      <c r="G59" s="17">
        <v>5</v>
      </c>
      <c r="H59" s="1">
        <v>2</v>
      </c>
      <c r="I59" s="1">
        <v>2</v>
      </c>
    </row>
    <row r="60" spans="1:9" x14ac:dyDescent="0.3">
      <c r="A60" s="23" t="s">
        <v>180</v>
      </c>
      <c r="B60" s="15">
        <v>50</v>
      </c>
      <c r="C60" s="36">
        <v>0.7</v>
      </c>
      <c r="D60" s="15">
        <v>26.3</v>
      </c>
      <c r="E60" s="15">
        <v>0</v>
      </c>
      <c r="F60" s="15">
        <v>47.62</v>
      </c>
      <c r="G60" s="17">
        <v>5</v>
      </c>
      <c r="H60" s="1">
        <v>2</v>
      </c>
      <c r="I60" s="1">
        <v>5</v>
      </c>
    </row>
    <row r="61" spans="1:9" x14ac:dyDescent="0.3">
      <c r="A61" s="23" t="s">
        <v>181</v>
      </c>
      <c r="B61" s="15">
        <v>85</v>
      </c>
      <c r="C61" s="18">
        <v>13.84</v>
      </c>
      <c r="D61" s="15">
        <v>26.7</v>
      </c>
      <c r="E61" s="15">
        <v>0</v>
      </c>
      <c r="F61" s="15">
        <v>95.24</v>
      </c>
      <c r="G61" s="17">
        <v>3</v>
      </c>
      <c r="H61" s="1">
        <v>4</v>
      </c>
      <c r="I61" s="1">
        <v>6</v>
      </c>
    </row>
    <row r="62" spans="1:9" x14ac:dyDescent="0.3">
      <c r="A62" s="23" t="s">
        <v>181</v>
      </c>
      <c r="B62" s="15">
        <v>55</v>
      </c>
      <c r="C62" s="18">
        <v>55.3</v>
      </c>
      <c r="D62" s="15">
        <v>30.2</v>
      </c>
      <c r="E62" s="15">
        <v>0</v>
      </c>
      <c r="F62" s="15">
        <v>95.24</v>
      </c>
      <c r="G62" s="17">
        <v>3</v>
      </c>
      <c r="H62" s="1">
        <v>0</v>
      </c>
      <c r="I62" s="1">
        <v>0</v>
      </c>
    </row>
    <row r="63" spans="1:9" x14ac:dyDescent="0.3">
      <c r="A63" s="23" t="s">
        <v>181</v>
      </c>
      <c r="B63" s="15">
        <v>51</v>
      </c>
      <c r="C63" s="18">
        <v>26.78</v>
      </c>
      <c r="D63" s="15">
        <v>30.7</v>
      </c>
      <c r="E63" s="15">
        <v>0</v>
      </c>
      <c r="F63" s="15">
        <v>100</v>
      </c>
      <c r="G63" s="17">
        <v>3</v>
      </c>
      <c r="H63" s="1">
        <v>2</v>
      </c>
      <c r="I63" s="1">
        <v>2</v>
      </c>
    </row>
    <row r="64" spans="1:9" x14ac:dyDescent="0.3">
      <c r="A64" s="23" t="s">
        <v>182</v>
      </c>
      <c r="B64" s="15">
        <v>90</v>
      </c>
      <c r="C64" s="18">
        <v>8.44</v>
      </c>
      <c r="D64" s="15">
        <v>27.4</v>
      </c>
      <c r="E64" s="15">
        <v>0.8</v>
      </c>
      <c r="F64" s="15">
        <v>100</v>
      </c>
      <c r="G64" s="17">
        <v>3</v>
      </c>
      <c r="H64" s="1">
        <v>12</v>
      </c>
      <c r="I64" s="1">
        <v>17</v>
      </c>
    </row>
    <row r="65" spans="1:9" x14ac:dyDescent="0.3">
      <c r="A65" s="16" t="s">
        <v>182</v>
      </c>
      <c r="B65" s="15">
        <v>58</v>
      </c>
      <c r="C65" s="18">
        <v>30.1</v>
      </c>
      <c r="D65" s="15">
        <v>29.1</v>
      </c>
      <c r="E65" s="15">
        <v>0</v>
      </c>
      <c r="F65" s="15">
        <v>100</v>
      </c>
      <c r="G65" s="17">
        <v>3</v>
      </c>
      <c r="H65" s="1">
        <v>2</v>
      </c>
      <c r="I65" s="1">
        <v>2</v>
      </c>
    </row>
    <row r="66" spans="1:9" x14ac:dyDescent="0.3">
      <c r="A66" s="23" t="s">
        <v>184</v>
      </c>
      <c r="B66" s="15">
        <v>77</v>
      </c>
      <c r="C66" s="36">
        <v>1.79</v>
      </c>
      <c r="D66" s="15">
        <v>23.98</v>
      </c>
      <c r="E66" s="15">
        <v>0.83</v>
      </c>
      <c r="F66" s="15">
        <v>76.19</v>
      </c>
      <c r="G66" s="17">
        <v>2</v>
      </c>
      <c r="H66" s="1">
        <v>3</v>
      </c>
      <c r="I66" s="1">
        <v>3</v>
      </c>
    </row>
    <row r="67" spans="1:9" x14ac:dyDescent="0.3">
      <c r="A67" s="23" t="s">
        <v>184</v>
      </c>
      <c r="B67" s="15">
        <v>78</v>
      </c>
      <c r="C67" s="36">
        <v>20.350000000000001</v>
      </c>
      <c r="D67" s="15">
        <v>22.55</v>
      </c>
      <c r="E67" s="15">
        <v>0</v>
      </c>
      <c r="F67" s="15">
        <v>100</v>
      </c>
      <c r="G67" s="17">
        <v>2</v>
      </c>
      <c r="H67" s="1">
        <v>6</v>
      </c>
      <c r="I67" s="1">
        <v>14</v>
      </c>
    </row>
    <row r="68" spans="1:9" x14ac:dyDescent="0.3">
      <c r="A68" s="23" t="s">
        <v>184</v>
      </c>
      <c r="B68" s="15">
        <v>98</v>
      </c>
      <c r="C68" s="36">
        <v>3.05</v>
      </c>
      <c r="D68" s="15">
        <v>21.7</v>
      </c>
      <c r="E68" s="15">
        <v>0.9</v>
      </c>
      <c r="F68" s="15">
        <v>100</v>
      </c>
      <c r="G68" s="17">
        <v>2</v>
      </c>
      <c r="H68" s="1">
        <v>1</v>
      </c>
      <c r="I68" s="1">
        <v>1</v>
      </c>
    </row>
    <row r="69" spans="1:9" x14ac:dyDescent="0.3">
      <c r="A69" s="23" t="s">
        <v>184</v>
      </c>
      <c r="B69" s="15">
        <v>77</v>
      </c>
      <c r="C69" s="36">
        <v>12.54</v>
      </c>
      <c r="D69" s="15">
        <v>25.3</v>
      </c>
      <c r="E69" s="15">
        <v>1</v>
      </c>
      <c r="F69" s="15">
        <v>100</v>
      </c>
      <c r="G69" s="17">
        <v>2</v>
      </c>
      <c r="H69" s="1">
        <v>1</v>
      </c>
      <c r="I69" s="1">
        <v>5</v>
      </c>
    </row>
    <row r="70" spans="1:9" x14ac:dyDescent="0.3">
      <c r="A70" s="23" t="s">
        <v>183</v>
      </c>
      <c r="B70" s="15">
        <v>95</v>
      </c>
      <c r="C70" s="18">
        <v>10.69</v>
      </c>
      <c r="D70" s="15">
        <v>22.8</v>
      </c>
      <c r="E70" s="15">
        <v>1.2</v>
      </c>
      <c r="F70" s="15">
        <v>100</v>
      </c>
      <c r="G70" s="17">
        <v>3</v>
      </c>
      <c r="H70" s="1">
        <v>4</v>
      </c>
      <c r="I70" s="1">
        <v>7</v>
      </c>
    </row>
    <row r="71" spans="1:9" x14ac:dyDescent="0.3">
      <c r="A71" s="23" t="s">
        <v>183</v>
      </c>
      <c r="B71" s="15">
        <v>95</v>
      </c>
      <c r="C71" s="18">
        <v>5.99</v>
      </c>
      <c r="D71" s="15">
        <v>25.7</v>
      </c>
      <c r="E71" s="15">
        <v>0</v>
      </c>
      <c r="F71" s="15">
        <v>100</v>
      </c>
      <c r="G71" s="17">
        <v>3</v>
      </c>
      <c r="H71" s="1">
        <v>5</v>
      </c>
      <c r="I71" s="1">
        <v>7</v>
      </c>
    </row>
    <row r="72" spans="1:9" x14ac:dyDescent="0.3">
      <c r="A72" s="16" t="s">
        <v>183</v>
      </c>
      <c r="B72" s="15">
        <v>98</v>
      </c>
      <c r="C72" s="18">
        <v>3.61</v>
      </c>
      <c r="D72" s="15">
        <v>23</v>
      </c>
      <c r="E72" s="15">
        <v>0</v>
      </c>
      <c r="F72" s="15">
        <v>76.19</v>
      </c>
      <c r="G72" s="17">
        <v>3</v>
      </c>
      <c r="H72" s="1">
        <v>0</v>
      </c>
      <c r="I72" s="1">
        <v>0</v>
      </c>
    </row>
    <row r="73" spans="1:9" x14ac:dyDescent="0.3">
      <c r="A73" s="23" t="s">
        <v>183</v>
      </c>
      <c r="B73" s="15">
        <v>80</v>
      </c>
      <c r="C73" s="18">
        <v>6.89</v>
      </c>
      <c r="D73" s="15">
        <v>24.3</v>
      </c>
      <c r="E73" s="15">
        <v>0.87</v>
      </c>
      <c r="F73" s="15">
        <v>100</v>
      </c>
      <c r="G73" s="17">
        <v>3</v>
      </c>
      <c r="H73" s="1">
        <v>2</v>
      </c>
      <c r="I73" s="1">
        <v>2</v>
      </c>
    </row>
    <row r="74" spans="1:9" x14ac:dyDescent="0.3">
      <c r="A74" s="23" t="s">
        <v>185</v>
      </c>
      <c r="B74" s="15">
        <v>80</v>
      </c>
      <c r="C74" s="36">
        <v>14.7</v>
      </c>
      <c r="D74" s="15">
        <v>24.13</v>
      </c>
      <c r="E74" s="15">
        <v>2.1</v>
      </c>
      <c r="F74" s="15">
        <v>100</v>
      </c>
      <c r="G74" s="17">
        <v>1</v>
      </c>
      <c r="H74" s="1">
        <v>3</v>
      </c>
      <c r="I74" s="1">
        <v>11</v>
      </c>
    </row>
    <row r="75" spans="1:9" x14ac:dyDescent="0.3">
      <c r="A75" s="23" t="s">
        <v>185</v>
      </c>
      <c r="B75" s="15">
        <v>99</v>
      </c>
      <c r="C75" s="36">
        <v>12.46</v>
      </c>
      <c r="D75" s="15">
        <v>22.9</v>
      </c>
      <c r="E75" s="15">
        <v>0</v>
      </c>
      <c r="F75" s="15">
        <v>95.24</v>
      </c>
      <c r="G75" s="17">
        <v>1</v>
      </c>
      <c r="H75" s="1">
        <v>4</v>
      </c>
      <c r="I75" s="1">
        <v>5</v>
      </c>
    </row>
    <row r="76" spans="1:9" x14ac:dyDescent="0.3">
      <c r="A76" s="16" t="s">
        <v>185</v>
      </c>
      <c r="B76" s="15">
        <v>99</v>
      </c>
      <c r="C76" s="18">
        <v>8.2799999999999994</v>
      </c>
      <c r="D76" s="15">
        <v>24.2</v>
      </c>
      <c r="E76" s="15">
        <v>0</v>
      </c>
      <c r="F76" s="15">
        <v>76.19</v>
      </c>
      <c r="G76" s="17">
        <v>1</v>
      </c>
      <c r="H76" s="1">
        <v>0</v>
      </c>
      <c r="I76" s="1">
        <v>0</v>
      </c>
    </row>
    <row r="77" spans="1:9" x14ac:dyDescent="0.3">
      <c r="A77" s="16" t="s">
        <v>185</v>
      </c>
      <c r="B77" s="15">
        <v>99</v>
      </c>
      <c r="C77" s="18">
        <v>7.19</v>
      </c>
      <c r="D77" s="15">
        <v>23.4</v>
      </c>
      <c r="E77" s="15">
        <v>1.5</v>
      </c>
      <c r="F77" s="15">
        <v>76.19</v>
      </c>
      <c r="G77" s="17">
        <v>1</v>
      </c>
      <c r="H77" s="1">
        <v>0</v>
      </c>
      <c r="I77" s="1">
        <v>0</v>
      </c>
    </row>
    <row r="78" spans="1:9" x14ac:dyDescent="0.3">
      <c r="A78" s="23" t="s">
        <v>186</v>
      </c>
      <c r="B78" s="15">
        <v>95</v>
      </c>
      <c r="C78" s="18">
        <v>1.44</v>
      </c>
      <c r="D78" s="15">
        <v>25.1</v>
      </c>
      <c r="E78" s="15">
        <v>0</v>
      </c>
      <c r="F78" s="15">
        <v>76.19</v>
      </c>
      <c r="G78" s="17">
        <v>6</v>
      </c>
      <c r="H78" s="1">
        <v>2</v>
      </c>
      <c r="I78" s="1">
        <v>7</v>
      </c>
    </row>
    <row r="79" spans="1:9" x14ac:dyDescent="0.3">
      <c r="A79" s="23" t="s">
        <v>186</v>
      </c>
      <c r="B79" s="15">
        <v>99</v>
      </c>
      <c r="C79" s="18">
        <v>0.54</v>
      </c>
      <c r="D79" s="15">
        <v>21.9</v>
      </c>
      <c r="E79" s="15">
        <v>0</v>
      </c>
      <c r="F79" s="15">
        <v>76.19</v>
      </c>
      <c r="G79" s="17">
        <v>6</v>
      </c>
      <c r="H79" s="1">
        <v>3</v>
      </c>
      <c r="I79" s="1">
        <v>3</v>
      </c>
    </row>
    <row r="80" spans="1:9" x14ac:dyDescent="0.3">
      <c r="A80" s="23" t="s">
        <v>186</v>
      </c>
      <c r="B80" s="15">
        <v>99</v>
      </c>
      <c r="C80" s="18">
        <v>0.63</v>
      </c>
      <c r="D80" s="15">
        <v>25.1</v>
      </c>
      <c r="E80" s="15">
        <v>0</v>
      </c>
      <c r="F80" s="15">
        <v>95.24</v>
      </c>
      <c r="G80" s="17">
        <v>6</v>
      </c>
      <c r="H80" s="1">
        <v>3</v>
      </c>
      <c r="I80" s="1">
        <v>8</v>
      </c>
    </row>
    <row r="81" spans="1:9" x14ac:dyDescent="0.3">
      <c r="A81" s="23" t="s">
        <v>186</v>
      </c>
      <c r="B81" s="15">
        <v>99</v>
      </c>
      <c r="C81" s="18">
        <v>1.67</v>
      </c>
      <c r="D81" s="15">
        <v>25.2</v>
      </c>
      <c r="E81" s="15">
        <v>0</v>
      </c>
      <c r="F81" s="15">
        <v>14.29</v>
      </c>
      <c r="G81" s="17">
        <v>6</v>
      </c>
      <c r="H81" s="1">
        <v>3</v>
      </c>
      <c r="I81" s="1">
        <v>4</v>
      </c>
    </row>
    <row r="82" spans="1:9" x14ac:dyDescent="0.3">
      <c r="A82" s="23" t="s">
        <v>176</v>
      </c>
      <c r="B82" s="15">
        <v>96</v>
      </c>
      <c r="C82" s="18">
        <v>1.1399999999999999</v>
      </c>
      <c r="D82" s="15">
        <v>26.4</v>
      </c>
      <c r="E82" s="15">
        <v>0</v>
      </c>
      <c r="F82" s="15">
        <v>71.42</v>
      </c>
      <c r="G82" s="17">
        <v>4</v>
      </c>
      <c r="H82" s="1">
        <v>4</v>
      </c>
      <c r="I82" s="1">
        <v>7</v>
      </c>
    </row>
    <row r="83" spans="1:9" x14ac:dyDescent="0.3">
      <c r="A83" s="23" t="s">
        <v>176</v>
      </c>
      <c r="B83" s="15">
        <v>99</v>
      </c>
      <c r="C83" s="18">
        <v>8.51</v>
      </c>
      <c r="D83" s="15">
        <v>26.5</v>
      </c>
      <c r="E83" s="15">
        <v>0</v>
      </c>
      <c r="F83" s="15">
        <v>95.24</v>
      </c>
      <c r="G83" s="17">
        <v>4</v>
      </c>
      <c r="H83" s="1">
        <v>9</v>
      </c>
      <c r="I83" s="1">
        <v>9</v>
      </c>
    </row>
    <row r="84" spans="1:9" x14ac:dyDescent="0.3">
      <c r="A84" s="23" t="s">
        <v>176</v>
      </c>
      <c r="B84" s="15">
        <v>99</v>
      </c>
      <c r="C84" s="18">
        <v>8.52</v>
      </c>
      <c r="D84" s="15">
        <v>26.5</v>
      </c>
      <c r="E84" s="15">
        <v>0</v>
      </c>
      <c r="F84" s="15">
        <v>95.24</v>
      </c>
      <c r="G84" s="17">
        <v>4</v>
      </c>
      <c r="H84" s="1">
        <v>5</v>
      </c>
      <c r="I84" s="1">
        <v>6</v>
      </c>
    </row>
    <row r="85" spans="1:9" x14ac:dyDescent="0.3">
      <c r="A85" s="23" t="s">
        <v>178</v>
      </c>
      <c r="B85" s="15">
        <v>99</v>
      </c>
      <c r="C85" s="18">
        <v>6.93</v>
      </c>
      <c r="D85" s="15">
        <v>23.5</v>
      </c>
      <c r="E85" s="15">
        <v>0</v>
      </c>
      <c r="F85" s="15">
        <v>95.24</v>
      </c>
      <c r="G85" s="17">
        <v>3</v>
      </c>
      <c r="H85" s="1">
        <v>7</v>
      </c>
      <c r="I85" s="1">
        <v>7</v>
      </c>
    </row>
    <row r="86" spans="1:9" x14ac:dyDescent="0.3">
      <c r="A86" s="23" t="s">
        <v>178</v>
      </c>
      <c r="B86" s="15">
        <v>99</v>
      </c>
      <c r="C86" s="18">
        <v>6.8</v>
      </c>
      <c r="D86" s="15">
        <v>23.5</v>
      </c>
      <c r="E86" s="15">
        <v>0</v>
      </c>
      <c r="F86" s="15">
        <v>95.24</v>
      </c>
      <c r="G86" s="17">
        <v>3</v>
      </c>
      <c r="H86" s="1">
        <v>1</v>
      </c>
      <c r="I86" s="1">
        <v>1</v>
      </c>
    </row>
    <row r="87" spans="1:9" x14ac:dyDescent="0.3">
      <c r="A87" s="23" t="s">
        <v>179</v>
      </c>
      <c r="B87" s="15">
        <v>89</v>
      </c>
      <c r="C87" s="18">
        <v>2.74</v>
      </c>
      <c r="D87" s="15">
        <v>23.5</v>
      </c>
      <c r="E87" s="15">
        <v>0</v>
      </c>
      <c r="F87" s="15">
        <v>95.24</v>
      </c>
      <c r="G87" s="17">
        <v>5</v>
      </c>
      <c r="H87" s="1">
        <v>13</v>
      </c>
      <c r="I87" s="1">
        <v>16</v>
      </c>
    </row>
    <row r="88" spans="1:9" x14ac:dyDescent="0.3">
      <c r="A88" s="23" t="s">
        <v>179</v>
      </c>
      <c r="B88" s="15">
        <v>99</v>
      </c>
      <c r="C88" s="18">
        <v>0.32</v>
      </c>
      <c r="D88" s="15">
        <v>21.5</v>
      </c>
      <c r="E88" s="15">
        <v>0</v>
      </c>
      <c r="F88" s="1">
        <v>100</v>
      </c>
      <c r="G88" s="17">
        <v>5</v>
      </c>
      <c r="H88" s="1">
        <v>3</v>
      </c>
      <c r="I88" s="1">
        <v>3</v>
      </c>
    </row>
    <row r="89" spans="1:9" x14ac:dyDescent="0.3">
      <c r="A89" s="23" t="s">
        <v>179</v>
      </c>
      <c r="B89" s="15">
        <v>87</v>
      </c>
      <c r="C89" s="18">
        <v>0.03</v>
      </c>
      <c r="D89" s="15">
        <v>23.2</v>
      </c>
      <c r="E89" s="15">
        <v>0</v>
      </c>
      <c r="F89" s="15">
        <v>71.42</v>
      </c>
      <c r="G89" s="17">
        <v>5</v>
      </c>
      <c r="H89" s="1">
        <v>3</v>
      </c>
      <c r="I89" s="1">
        <v>3</v>
      </c>
    </row>
    <row r="90" spans="1:9" x14ac:dyDescent="0.3">
      <c r="A90" s="23" t="s">
        <v>179</v>
      </c>
      <c r="B90" s="15">
        <v>85</v>
      </c>
      <c r="C90" s="18">
        <v>0.04</v>
      </c>
      <c r="D90" s="15">
        <v>23.2</v>
      </c>
      <c r="E90" s="15">
        <v>0</v>
      </c>
      <c r="F90" s="15">
        <v>100</v>
      </c>
      <c r="G90" s="17">
        <v>5</v>
      </c>
      <c r="H90" s="1">
        <v>1</v>
      </c>
      <c r="I90" s="1">
        <v>1</v>
      </c>
    </row>
    <row r="91" spans="1:9" x14ac:dyDescent="0.3">
      <c r="A91" s="23" t="s">
        <v>180</v>
      </c>
      <c r="B91" s="15">
        <v>88</v>
      </c>
      <c r="C91" s="18">
        <v>0.69</v>
      </c>
      <c r="D91" s="15">
        <v>23.4</v>
      </c>
      <c r="E91" s="15">
        <v>6</v>
      </c>
      <c r="F91" s="15">
        <v>100</v>
      </c>
      <c r="G91" s="17">
        <v>5</v>
      </c>
      <c r="H91" s="1">
        <v>8</v>
      </c>
      <c r="I91" s="1">
        <v>9</v>
      </c>
    </row>
    <row r="92" spans="1:9" x14ac:dyDescent="0.3">
      <c r="A92" s="23" t="s">
        <v>180</v>
      </c>
      <c r="B92" s="15">
        <v>88</v>
      </c>
      <c r="C92" s="18">
        <v>1.86</v>
      </c>
      <c r="D92" s="15">
        <v>27.2</v>
      </c>
      <c r="E92" s="15">
        <v>0.6</v>
      </c>
      <c r="F92" s="15">
        <v>100</v>
      </c>
      <c r="G92" s="17">
        <v>5</v>
      </c>
      <c r="H92" s="1">
        <v>4</v>
      </c>
      <c r="I92" s="1">
        <v>4</v>
      </c>
    </row>
    <row r="93" spans="1:9" x14ac:dyDescent="0.3">
      <c r="A93" s="23" t="s">
        <v>181</v>
      </c>
      <c r="B93" s="15">
        <v>80</v>
      </c>
      <c r="C93" s="18">
        <v>51.6</v>
      </c>
      <c r="D93" s="15">
        <v>28.7</v>
      </c>
      <c r="E93" s="15">
        <v>2.5</v>
      </c>
      <c r="F93" s="15">
        <v>100</v>
      </c>
      <c r="G93" s="17">
        <v>3</v>
      </c>
      <c r="H93" s="1">
        <v>5</v>
      </c>
      <c r="I93" s="1">
        <v>5</v>
      </c>
    </row>
    <row r="94" spans="1:9" x14ac:dyDescent="0.3">
      <c r="A94" s="23" t="s">
        <v>182</v>
      </c>
      <c r="B94" s="15">
        <v>71</v>
      </c>
      <c r="C94" s="18">
        <v>7.17</v>
      </c>
      <c r="D94" s="15">
        <v>26.1</v>
      </c>
      <c r="E94" s="15">
        <v>1.9</v>
      </c>
      <c r="F94" s="15">
        <v>100</v>
      </c>
      <c r="G94" s="17">
        <v>3</v>
      </c>
      <c r="H94" s="1">
        <v>9</v>
      </c>
      <c r="I94" s="1">
        <v>11</v>
      </c>
    </row>
    <row r="95" spans="1:9" x14ac:dyDescent="0.3">
      <c r="A95" s="23" t="s">
        <v>182</v>
      </c>
      <c r="B95" s="15">
        <v>74</v>
      </c>
      <c r="C95" s="18">
        <v>7.5</v>
      </c>
      <c r="D95" s="15">
        <v>26</v>
      </c>
      <c r="E95" s="15">
        <v>0</v>
      </c>
      <c r="F95" s="15">
        <v>100</v>
      </c>
      <c r="G95" s="17">
        <v>3</v>
      </c>
      <c r="H95" s="1">
        <v>1</v>
      </c>
      <c r="I95" s="1">
        <v>1</v>
      </c>
    </row>
    <row r="96" spans="1:9" x14ac:dyDescent="0.3">
      <c r="A96" s="23" t="s">
        <v>182</v>
      </c>
      <c r="B96" s="15">
        <v>54</v>
      </c>
      <c r="C96" s="18">
        <v>10.85</v>
      </c>
      <c r="D96" s="15">
        <v>28.3</v>
      </c>
      <c r="E96" s="15">
        <v>1.45</v>
      </c>
      <c r="F96" s="15">
        <v>100</v>
      </c>
      <c r="G96" s="17">
        <v>3</v>
      </c>
      <c r="H96" s="1">
        <v>4</v>
      </c>
      <c r="I96" s="1">
        <v>4</v>
      </c>
    </row>
    <row r="97" spans="1:9" x14ac:dyDescent="0.3">
      <c r="A97" s="23" t="s">
        <v>184</v>
      </c>
      <c r="B97" s="1">
        <v>72</v>
      </c>
      <c r="C97" s="1">
        <v>17.850000000000001</v>
      </c>
      <c r="D97" s="1">
        <v>26.9</v>
      </c>
      <c r="E97" s="1">
        <v>1.6</v>
      </c>
      <c r="F97" s="1">
        <v>100</v>
      </c>
      <c r="G97" s="17">
        <v>2</v>
      </c>
      <c r="H97" s="1">
        <v>2</v>
      </c>
      <c r="I97" s="1">
        <v>3</v>
      </c>
    </row>
    <row r="98" spans="1:9" x14ac:dyDescent="0.3">
      <c r="A98" s="23" t="s">
        <v>184</v>
      </c>
      <c r="B98" s="15">
        <v>66</v>
      </c>
      <c r="C98" s="18">
        <v>6.27</v>
      </c>
      <c r="D98" s="15">
        <v>26.2</v>
      </c>
      <c r="E98" s="15">
        <v>0.8</v>
      </c>
      <c r="F98" s="15">
        <v>71.42</v>
      </c>
      <c r="G98" s="17">
        <v>2</v>
      </c>
      <c r="H98" s="1">
        <v>1</v>
      </c>
      <c r="I98" s="1">
        <v>1</v>
      </c>
    </row>
    <row r="99" spans="1:9" x14ac:dyDescent="0.3">
      <c r="A99" s="23" t="s">
        <v>183</v>
      </c>
      <c r="B99" s="15">
        <v>77</v>
      </c>
      <c r="C99" s="18">
        <v>19</v>
      </c>
      <c r="D99" s="15">
        <v>23.9</v>
      </c>
      <c r="E99" s="15">
        <v>0</v>
      </c>
      <c r="F99" s="15">
        <v>76.19</v>
      </c>
      <c r="G99" s="17">
        <v>3</v>
      </c>
      <c r="H99" s="1">
        <v>4</v>
      </c>
      <c r="I99" s="1">
        <v>13</v>
      </c>
    </row>
    <row r="100" spans="1:9" x14ac:dyDescent="0.3">
      <c r="A100" s="23" t="s">
        <v>183</v>
      </c>
      <c r="B100" s="15">
        <v>99</v>
      </c>
      <c r="C100" s="18">
        <v>29.59</v>
      </c>
      <c r="D100" s="15">
        <v>24.9</v>
      </c>
      <c r="E100" s="15">
        <v>0.65</v>
      </c>
      <c r="F100" s="15">
        <v>95.24</v>
      </c>
      <c r="G100" s="17">
        <v>3</v>
      </c>
      <c r="H100" s="1">
        <v>4</v>
      </c>
      <c r="I100" s="1">
        <v>7</v>
      </c>
    </row>
    <row r="101" spans="1:9" x14ac:dyDescent="0.3">
      <c r="A101" s="23" t="s">
        <v>183</v>
      </c>
      <c r="B101" s="15">
        <v>74</v>
      </c>
      <c r="C101" s="18">
        <v>1.52</v>
      </c>
      <c r="D101" s="15">
        <v>19.829999999999998</v>
      </c>
      <c r="E101" s="15">
        <v>0.85</v>
      </c>
      <c r="F101" s="15">
        <v>95.24</v>
      </c>
      <c r="G101" s="17">
        <v>3</v>
      </c>
      <c r="H101" s="1">
        <v>2</v>
      </c>
      <c r="I101" s="1">
        <v>2</v>
      </c>
    </row>
    <row r="102" spans="1:9" x14ac:dyDescent="0.3">
      <c r="A102" s="23" t="s">
        <v>185</v>
      </c>
      <c r="B102" s="15">
        <v>99</v>
      </c>
      <c r="C102" s="18">
        <v>27.94</v>
      </c>
      <c r="D102" s="15">
        <v>22.3</v>
      </c>
      <c r="E102" s="15">
        <v>1.2</v>
      </c>
      <c r="F102" s="15">
        <v>95.24</v>
      </c>
      <c r="G102" s="17">
        <v>1</v>
      </c>
      <c r="H102" s="1">
        <v>5</v>
      </c>
      <c r="I102" s="1">
        <v>15</v>
      </c>
    </row>
    <row r="103" spans="1:9" x14ac:dyDescent="0.3">
      <c r="A103" s="23" t="s">
        <v>185</v>
      </c>
      <c r="B103" s="15">
        <v>80</v>
      </c>
      <c r="C103" s="18">
        <v>6.81</v>
      </c>
      <c r="D103" s="15">
        <v>19.03</v>
      </c>
      <c r="E103" s="15">
        <v>1.8</v>
      </c>
      <c r="F103" s="15">
        <v>100</v>
      </c>
      <c r="G103" s="17">
        <v>1</v>
      </c>
      <c r="H103" s="1">
        <v>2</v>
      </c>
      <c r="I103" s="1">
        <v>4</v>
      </c>
    </row>
    <row r="104" spans="1:9" x14ac:dyDescent="0.3">
      <c r="A104" s="23" t="s">
        <v>186</v>
      </c>
      <c r="B104" s="15">
        <v>95</v>
      </c>
      <c r="C104" s="18">
        <v>0.4</v>
      </c>
      <c r="D104" s="15">
        <v>17.100000000000001</v>
      </c>
      <c r="E104" s="15">
        <v>0</v>
      </c>
      <c r="F104" s="15">
        <v>100</v>
      </c>
      <c r="G104" s="17">
        <v>6</v>
      </c>
      <c r="H104" s="1">
        <v>10</v>
      </c>
      <c r="I104" s="1">
        <v>33</v>
      </c>
    </row>
    <row r="105" spans="1:9" x14ac:dyDescent="0.3">
      <c r="A105" s="23" t="s">
        <v>186</v>
      </c>
      <c r="B105" s="15">
        <v>95</v>
      </c>
      <c r="C105" s="18">
        <v>0.42</v>
      </c>
      <c r="D105" s="15">
        <v>17.2</v>
      </c>
      <c r="E105" s="15">
        <v>0</v>
      </c>
      <c r="F105" s="15">
        <v>100</v>
      </c>
      <c r="G105" s="17">
        <v>6</v>
      </c>
      <c r="H105" s="1">
        <v>1</v>
      </c>
      <c r="I105" s="1">
        <v>1</v>
      </c>
    </row>
    <row r="106" spans="1:9" x14ac:dyDescent="0.3">
      <c r="A106" s="23" t="s">
        <v>186</v>
      </c>
      <c r="B106" s="15">
        <v>95</v>
      </c>
      <c r="C106" s="18">
        <v>0.41</v>
      </c>
      <c r="D106" s="15">
        <v>17.100000000000001</v>
      </c>
      <c r="E106" s="15">
        <v>0</v>
      </c>
      <c r="F106" s="15">
        <v>95.24</v>
      </c>
      <c r="G106" s="17">
        <v>6</v>
      </c>
      <c r="H106" s="1">
        <v>8</v>
      </c>
      <c r="I106" s="1">
        <v>11</v>
      </c>
    </row>
    <row r="107" spans="1:9" x14ac:dyDescent="0.3">
      <c r="A107" s="23" t="s">
        <v>186</v>
      </c>
      <c r="B107" s="15">
        <v>87</v>
      </c>
      <c r="C107" s="18">
        <v>0.16</v>
      </c>
      <c r="D107" s="15">
        <v>20.2</v>
      </c>
      <c r="E107" s="15">
        <v>0</v>
      </c>
      <c r="F107" s="15">
        <v>100</v>
      </c>
      <c r="G107" s="17">
        <v>6</v>
      </c>
      <c r="H107" s="1">
        <v>6</v>
      </c>
      <c r="I107" s="1">
        <v>6</v>
      </c>
    </row>
    <row r="108" spans="1:9" x14ac:dyDescent="0.3">
      <c r="A108" s="23" t="s">
        <v>176</v>
      </c>
      <c r="B108" s="15">
        <v>89</v>
      </c>
      <c r="C108" s="18">
        <v>1.36</v>
      </c>
      <c r="D108" s="15">
        <v>23.18</v>
      </c>
      <c r="E108" s="15">
        <v>0</v>
      </c>
      <c r="F108" s="15">
        <v>100</v>
      </c>
      <c r="G108" s="17">
        <v>4</v>
      </c>
      <c r="H108" s="1">
        <v>8</v>
      </c>
      <c r="I108" s="1">
        <v>11</v>
      </c>
    </row>
    <row r="109" spans="1:9" x14ac:dyDescent="0.3">
      <c r="A109" s="23" t="s">
        <v>177</v>
      </c>
      <c r="B109" s="15">
        <v>94</v>
      </c>
      <c r="C109" s="18">
        <v>7.68</v>
      </c>
      <c r="D109" s="15">
        <v>26.7</v>
      </c>
      <c r="E109" s="15">
        <v>0.75</v>
      </c>
      <c r="F109" s="15">
        <v>100</v>
      </c>
      <c r="G109" s="17">
        <v>3</v>
      </c>
      <c r="H109" s="1">
        <v>6</v>
      </c>
      <c r="I109" s="1">
        <v>8</v>
      </c>
    </row>
    <row r="110" spans="1:9" x14ac:dyDescent="0.3">
      <c r="A110" s="23" t="s">
        <v>177</v>
      </c>
      <c r="B110" s="15">
        <v>90</v>
      </c>
      <c r="C110" s="18">
        <v>1.5</v>
      </c>
      <c r="D110" s="15">
        <v>23.4</v>
      </c>
      <c r="E110" s="15">
        <v>0</v>
      </c>
      <c r="F110" s="15">
        <v>100</v>
      </c>
      <c r="G110" s="17">
        <v>3</v>
      </c>
      <c r="H110" s="1">
        <v>1</v>
      </c>
      <c r="I110" s="1">
        <v>1</v>
      </c>
    </row>
    <row r="111" spans="1:9" x14ac:dyDescent="0.3">
      <c r="A111" s="23" t="s">
        <v>179</v>
      </c>
      <c r="B111" s="15">
        <v>91</v>
      </c>
      <c r="C111" s="18">
        <v>1.1499999999999999</v>
      </c>
      <c r="D111" s="15">
        <v>24.4</v>
      </c>
      <c r="E111" s="15">
        <v>0</v>
      </c>
      <c r="F111" s="15">
        <v>95.24</v>
      </c>
      <c r="G111" s="17">
        <v>5</v>
      </c>
      <c r="H111" s="1">
        <v>8</v>
      </c>
      <c r="I111" s="1">
        <v>8</v>
      </c>
    </row>
    <row r="112" spans="1:9" x14ac:dyDescent="0.3">
      <c r="A112" s="23" t="s">
        <v>179</v>
      </c>
      <c r="B112" s="15">
        <v>94</v>
      </c>
      <c r="C112" s="18">
        <v>1.2</v>
      </c>
      <c r="D112" s="15">
        <v>24.4</v>
      </c>
      <c r="E112" s="15">
        <v>0</v>
      </c>
      <c r="F112" s="15">
        <v>100</v>
      </c>
      <c r="G112" s="17">
        <v>5</v>
      </c>
      <c r="H112" s="1">
        <v>1</v>
      </c>
      <c r="I112" s="1">
        <v>1</v>
      </c>
    </row>
    <row r="113" spans="1:9" x14ac:dyDescent="0.3">
      <c r="A113" s="23" t="s">
        <v>179</v>
      </c>
      <c r="B113" s="15">
        <v>85</v>
      </c>
      <c r="C113" s="18">
        <v>1.3</v>
      </c>
      <c r="D113" s="15">
        <v>24.4</v>
      </c>
      <c r="E113" s="15">
        <v>0</v>
      </c>
      <c r="F113" s="15">
        <v>100</v>
      </c>
      <c r="G113" s="17">
        <v>5</v>
      </c>
      <c r="H113" s="1">
        <v>8</v>
      </c>
      <c r="I113" s="1">
        <v>8</v>
      </c>
    </row>
    <row r="114" spans="1:9" x14ac:dyDescent="0.3">
      <c r="A114" s="23" t="s">
        <v>180</v>
      </c>
      <c r="B114" s="15">
        <v>91</v>
      </c>
      <c r="C114" s="18">
        <v>0.57999999999999996</v>
      </c>
      <c r="D114" s="15">
        <v>26.4</v>
      </c>
      <c r="E114" s="15">
        <v>0</v>
      </c>
      <c r="F114" s="15">
        <v>76.19</v>
      </c>
      <c r="G114" s="17">
        <v>5</v>
      </c>
      <c r="H114" s="1">
        <v>10</v>
      </c>
      <c r="I114" s="1">
        <v>10</v>
      </c>
    </row>
    <row r="115" spans="1:9" x14ac:dyDescent="0.3">
      <c r="A115" s="23" t="s">
        <v>180</v>
      </c>
      <c r="B115" s="15">
        <v>91</v>
      </c>
      <c r="C115" s="18">
        <v>0.81</v>
      </c>
      <c r="D115" s="15">
        <v>23.28</v>
      </c>
      <c r="E115" s="15">
        <v>0</v>
      </c>
      <c r="F115" s="15">
        <v>100</v>
      </c>
      <c r="G115" s="17">
        <v>5</v>
      </c>
      <c r="H115" s="1">
        <v>5</v>
      </c>
      <c r="I115" s="1">
        <v>5</v>
      </c>
    </row>
    <row r="116" spans="1:9" x14ac:dyDescent="0.3">
      <c r="A116" s="23" t="s">
        <v>181</v>
      </c>
      <c r="B116" s="15">
        <v>91</v>
      </c>
      <c r="C116" s="18">
        <v>0.81</v>
      </c>
      <c r="D116" s="15">
        <v>23.3</v>
      </c>
      <c r="E116" s="15">
        <v>0</v>
      </c>
      <c r="F116" s="15">
        <v>100</v>
      </c>
      <c r="G116" s="17">
        <v>3</v>
      </c>
      <c r="H116" s="1">
        <v>1</v>
      </c>
      <c r="I116" s="1">
        <v>2</v>
      </c>
    </row>
    <row r="117" spans="1:9" x14ac:dyDescent="0.3">
      <c r="A117" s="23" t="s">
        <v>181</v>
      </c>
      <c r="B117" s="15">
        <v>99</v>
      </c>
      <c r="C117" s="18">
        <v>85.6</v>
      </c>
      <c r="D117" s="15">
        <v>28.5</v>
      </c>
      <c r="E117" s="15">
        <v>1.2</v>
      </c>
      <c r="F117" s="15">
        <v>95.24</v>
      </c>
      <c r="G117" s="17">
        <v>3</v>
      </c>
      <c r="H117" s="1">
        <v>1</v>
      </c>
      <c r="I117" s="1">
        <v>1</v>
      </c>
    </row>
    <row r="118" spans="1:9" x14ac:dyDescent="0.3">
      <c r="A118" s="23" t="s">
        <v>181</v>
      </c>
      <c r="B118" s="15">
        <v>91</v>
      </c>
      <c r="C118" s="18">
        <v>13.15</v>
      </c>
      <c r="D118" s="15">
        <v>26.13</v>
      </c>
      <c r="E118" s="15">
        <v>0</v>
      </c>
      <c r="F118" s="15">
        <v>95.24</v>
      </c>
      <c r="G118" s="17">
        <v>3</v>
      </c>
      <c r="H118" s="1">
        <v>3</v>
      </c>
      <c r="I118" s="1">
        <v>3</v>
      </c>
    </row>
    <row r="119" spans="1:9" x14ac:dyDescent="0.3">
      <c r="A119" s="23" t="s">
        <v>182</v>
      </c>
      <c r="B119" s="15">
        <v>75</v>
      </c>
      <c r="C119" s="18">
        <v>17.2</v>
      </c>
      <c r="D119" s="15">
        <v>28</v>
      </c>
      <c r="E119" s="15">
        <v>0</v>
      </c>
      <c r="F119" s="15">
        <v>100</v>
      </c>
      <c r="G119" s="17">
        <v>3</v>
      </c>
      <c r="H119" s="1">
        <v>2</v>
      </c>
      <c r="I119" s="1">
        <v>2</v>
      </c>
    </row>
    <row r="120" spans="1:9" x14ac:dyDescent="0.3">
      <c r="A120" s="40" t="s">
        <v>182</v>
      </c>
      <c r="B120" s="39">
        <v>93</v>
      </c>
      <c r="C120" s="42">
        <v>14.5</v>
      </c>
      <c r="D120" s="39">
        <v>28.73</v>
      </c>
      <c r="E120" s="39">
        <v>0</v>
      </c>
      <c r="F120" s="39">
        <v>100</v>
      </c>
      <c r="G120" s="43">
        <v>3</v>
      </c>
      <c r="H120" s="44">
        <v>6</v>
      </c>
      <c r="I120" s="44">
        <v>9</v>
      </c>
    </row>
    <row r="121" spans="1:9" x14ac:dyDescent="0.3">
      <c r="A121" s="23" t="s">
        <v>182</v>
      </c>
      <c r="B121" s="15">
        <v>74</v>
      </c>
      <c r="C121" s="18">
        <v>18</v>
      </c>
      <c r="D121" s="15">
        <v>28</v>
      </c>
      <c r="E121" s="15">
        <v>0</v>
      </c>
      <c r="F121" s="15">
        <v>100</v>
      </c>
      <c r="G121" s="17">
        <v>3</v>
      </c>
      <c r="H121" s="1">
        <v>2</v>
      </c>
      <c r="I121" s="1">
        <v>2</v>
      </c>
    </row>
    <row r="122" spans="1:9" x14ac:dyDescent="0.3">
      <c r="A122" s="23" t="s">
        <v>184</v>
      </c>
      <c r="B122" s="15">
        <v>92</v>
      </c>
      <c r="C122" s="18">
        <v>97.97</v>
      </c>
      <c r="D122" s="15">
        <v>28.73</v>
      </c>
      <c r="E122" s="15">
        <v>0.97</v>
      </c>
      <c r="F122" s="15">
        <v>100</v>
      </c>
      <c r="G122" s="17">
        <v>2</v>
      </c>
      <c r="H122" s="1">
        <v>0</v>
      </c>
      <c r="I122" s="1">
        <v>0</v>
      </c>
    </row>
    <row r="123" spans="1:9" x14ac:dyDescent="0.3">
      <c r="A123" s="23" t="s">
        <v>184</v>
      </c>
      <c r="B123" s="15">
        <v>86.5</v>
      </c>
      <c r="C123" s="18">
        <v>33.18</v>
      </c>
      <c r="D123" s="15">
        <v>25.7</v>
      </c>
      <c r="E123" s="15">
        <v>1.2</v>
      </c>
      <c r="F123" s="15">
        <v>100</v>
      </c>
      <c r="G123" s="17">
        <v>2</v>
      </c>
      <c r="H123" s="1">
        <v>3</v>
      </c>
      <c r="I123" s="1">
        <v>6</v>
      </c>
    </row>
    <row r="124" spans="1:9" x14ac:dyDescent="0.3">
      <c r="A124" s="23" t="s">
        <v>184</v>
      </c>
      <c r="B124" s="15">
        <v>70</v>
      </c>
      <c r="C124" s="18">
        <v>5.91</v>
      </c>
      <c r="D124" s="15">
        <v>20.5</v>
      </c>
      <c r="E124" s="15">
        <v>1.5</v>
      </c>
      <c r="F124" s="15">
        <v>100</v>
      </c>
      <c r="G124" s="17">
        <v>2</v>
      </c>
      <c r="H124" s="1">
        <v>3</v>
      </c>
      <c r="I124" s="1">
        <v>3</v>
      </c>
    </row>
    <row r="125" spans="1:9" x14ac:dyDescent="0.3">
      <c r="A125" s="23" t="s">
        <v>183</v>
      </c>
      <c r="B125" s="15">
        <v>89</v>
      </c>
      <c r="C125" s="18">
        <v>7.61</v>
      </c>
      <c r="D125" s="15">
        <v>23.8</v>
      </c>
      <c r="E125" s="15">
        <v>0.75</v>
      </c>
      <c r="F125" s="15">
        <v>100</v>
      </c>
      <c r="G125" s="17">
        <v>3</v>
      </c>
      <c r="H125" s="1">
        <v>5</v>
      </c>
      <c r="I125" s="1">
        <v>10</v>
      </c>
    </row>
    <row r="126" spans="1:9" x14ac:dyDescent="0.3">
      <c r="A126" s="23" t="s">
        <v>183</v>
      </c>
      <c r="B126" s="15">
        <v>81</v>
      </c>
      <c r="C126" s="18">
        <v>5.23</v>
      </c>
      <c r="D126" s="15">
        <v>27.03</v>
      </c>
      <c r="E126" s="15">
        <v>0</v>
      </c>
      <c r="F126" s="15">
        <v>100</v>
      </c>
      <c r="G126" s="17">
        <v>3</v>
      </c>
      <c r="H126" s="1">
        <v>4</v>
      </c>
      <c r="I126" s="1">
        <v>5</v>
      </c>
    </row>
    <row r="127" spans="1:9" x14ac:dyDescent="0.3">
      <c r="A127" s="23" t="s">
        <v>185</v>
      </c>
      <c r="B127" s="15">
        <v>88</v>
      </c>
      <c r="C127" s="18">
        <v>24.87</v>
      </c>
      <c r="D127" s="15">
        <v>23.25</v>
      </c>
      <c r="E127" s="15">
        <v>0.45</v>
      </c>
      <c r="F127" s="15">
        <v>100</v>
      </c>
      <c r="G127" s="17">
        <v>1</v>
      </c>
      <c r="H127" s="1">
        <v>1</v>
      </c>
      <c r="I127" s="1">
        <v>1</v>
      </c>
    </row>
    <row r="128" spans="1:9" x14ac:dyDescent="0.3">
      <c r="A128" s="23" t="s">
        <v>185</v>
      </c>
      <c r="B128" s="15">
        <v>72</v>
      </c>
      <c r="C128" s="18">
        <v>4.6399999999999997</v>
      </c>
      <c r="D128" s="15">
        <v>24.9</v>
      </c>
      <c r="E128" s="15">
        <v>3.17</v>
      </c>
      <c r="F128" s="15">
        <v>76.19</v>
      </c>
      <c r="G128" s="17">
        <v>1</v>
      </c>
      <c r="H128" s="1">
        <v>2</v>
      </c>
      <c r="I128" s="1">
        <v>4</v>
      </c>
    </row>
    <row r="129" spans="1:9" x14ac:dyDescent="0.3">
      <c r="A129" s="23" t="s">
        <v>186</v>
      </c>
      <c r="B129" s="15">
        <v>86</v>
      </c>
      <c r="C129" s="18">
        <v>0.14000000000000001</v>
      </c>
      <c r="D129" s="15">
        <v>18.55</v>
      </c>
      <c r="E129" s="15">
        <v>0</v>
      </c>
      <c r="F129" s="15">
        <v>100</v>
      </c>
      <c r="G129" s="17">
        <v>6</v>
      </c>
      <c r="H129" s="1">
        <v>5</v>
      </c>
      <c r="I129" s="1">
        <v>5</v>
      </c>
    </row>
    <row r="130" spans="1:9" x14ac:dyDescent="0.3">
      <c r="A130" s="23" t="s">
        <v>186</v>
      </c>
      <c r="B130" s="15">
        <v>87</v>
      </c>
      <c r="C130" s="18">
        <v>0.15</v>
      </c>
      <c r="D130" s="15">
        <v>15.2</v>
      </c>
      <c r="E130" s="15">
        <v>0</v>
      </c>
      <c r="F130" s="15">
        <v>100</v>
      </c>
      <c r="G130" s="17">
        <v>6</v>
      </c>
      <c r="H130" s="1">
        <v>3</v>
      </c>
      <c r="I130" s="1">
        <v>3</v>
      </c>
    </row>
    <row r="131" spans="1:9" x14ac:dyDescent="0.3">
      <c r="A131" s="23" t="s">
        <v>186</v>
      </c>
      <c r="B131" s="15">
        <v>83</v>
      </c>
      <c r="C131" s="18">
        <v>0.20499999999999999</v>
      </c>
      <c r="D131" s="15">
        <v>24.8</v>
      </c>
      <c r="E131" s="15">
        <v>0</v>
      </c>
      <c r="F131" s="15">
        <v>76.19</v>
      </c>
      <c r="G131" s="17">
        <v>6</v>
      </c>
      <c r="H131" s="1">
        <v>0</v>
      </c>
      <c r="I131" s="1">
        <v>0</v>
      </c>
    </row>
    <row r="132" spans="1:9" x14ac:dyDescent="0.3">
      <c r="A132" s="15" t="s">
        <v>176</v>
      </c>
      <c r="B132" s="15">
        <v>92</v>
      </c>
      <c r="C132" s="18">
        <v>0.14000000000000001</v>
      </c>
      <c r="D132" s="15">
        <v>22.5</v>
      </c>
      <c r="E132" s="15">
        <v>0</v>
      </c>
      <c r="F132" s="15">
        <v>95.24</v>
      </c>
      <c r="G132" s="17">
        <v>4</v>
      </c>
      <c r="H132" s="1">
        <v>6</v>
      </c>
      <c r="I132" s="1">
        <v>11</v>
      </c>
    </row>
    <row r="133" spans="1:9" x14ac:dyDescent="0.3">
      <c r="A133" s="15" t="s">
        <v>176</v>
      </c>
      <c r="B133" s="15">
        <v>92</v>
      </c>
      <c r="C133" s="18">
        <v>0.14000000000000001</v>
      </c>
      <c r="D133" s="15">
        <v>22.5</v>
      </c>
      <c r="E133" s="15">
        <v>0</v>
      </c>
      <c r="F133" s="15">
        <v>100</v>
      </c>
      <c r="G133" s="17">
        <v>4</v>
      </c>
      <c r="H133" s="1">
        <v>1</v>
      </c>
      <c r="I133" s="1">
        <v>2</v>
      </c>
    </row>
    <row r="134" spans="1:9" x14ac:dyDescent="0.3">
      <c r="A134" s="15" t="s">
        <v>177</v>
      </c>
      <c r="B134" s="15">
        <v>97</v>
      </c>
      <c r="C134" s="18">
        <v>4.5999999999999996</v>
      </c>
      <c r="D134" s="15">
        <v>24.3</v>
      </c>
      <c r="E134" s="15">
        <v>0</v>
      </c>
      <c r="F134" s="15">
        <v>95.24</v>
      </c>
      <c r="G134" s="17">
        <v>3</v>
      </c>
      <c r="H134" s="1">
        <v>17</v>
      </c>
      <c r="I134" s="1">
        <v>24</v>
      </c>
    </row>
    <row r="135" spans="1:9" x14ac:dyDescent="0.3">
      <c r="A135" s="15" t="s">
        <v>179</v>
      </c>
      <c r="B135" s="15">
        <v>99</v>
      </c>
      <c r="C135" s="18">
        <v>24.2</v>
      </c>
      <c r="D135" s="15">
        <v>26.1</v>
      </c>
      <c r="E135" s="15">
        <v>0</v>
      </c>
      <c r="F135" s="15">
        <v>100</v>
      </c>
      <c r="G135" s="17">
        <v>5</v>
      </c>
      <c r="H135" s="1">
        <v>1</v>
      </c>
      <c r="I135" s="1">
        <v>1</v>
      </c>
    </row>
    <row r="136" spans="1:9" x14ac:dyDescent="0.3">
      <c r="A136" s="15" t="s">
        <v>179</v>
      </c>
      <c r="B136" s="15">
        <v>99</v>
      </c>
      <c r="C136" s="18">
        <v>24.2</v>
      </c>
      <c r="D136" s="15">
        <v>26.1</v>
      </c>
      <c r="E136" s="15">
        <v>0</v>
      </c>
      <c r="F136" s="15">
        <v>100</v>
      </c>
      <c r="G136" s="17">
        <v>5</v>
      </c>
      <c r="H136" s="1">
        <v>11</v>
      </c>
      <c r="I136" s="1">
        <v>11</v>
      </c>
    </row>
    <row r="137" spans="1:9" x14ac:dyDescent="0.3">
      <c r="A137" s="15" t="s">
        <v>179</v>
      </c>
      <c r="B137" s="15">
        <v>84</v>
      </c>
      <c r="C137" s="18">
        <v>0.17</v>
      </c>
      <c r="D137" s="15">
        <v>24</v>
      </c>
      <c r="E137" s="15">
        <v>0</v>
      </c>
      <c r="F137" s="15">
        <v>52.38</v>
      </c>
      <c r="G137" s="17">
        <v>5</v>
      </c>
      <c r="H137" s="1">
        <v>2</v>
      </c>
      <c r="I137" s="1">
        <v>2</v>
      </c>
    </row>
    <row r="138" spans="1:9" x14ac:dyDescent="0.3">
      <c r="A138" s="15" t="s">
        <v>180</v>
      </c>
      <c r="B138" s="15">
        <v>97</v>
      </c>
      <c r="C138" s="18">
        <v>1.08</v>
      </c>
      <c r="D138" s="15">
        <v>25.4</v>
      </c>
      <c r="E138" s="15">
        <v>0</v>
      </c>
      <c r="F138" s="15">
        <v>100</v>
      </c>
      <c r="G138" s="17">
        <v>5</v>
      </c>
      <c r="H138" s="1">
        <v>6</v>
      </c>
      <c r="I138" s="1">
        <v>8</v>
      </c>
    </row>
    <row r="139" spans="1:9" x14ac:dyDescent="0.3">
      <c r="A139" s="15" t="s">
        <v>180</v>
      </c>
      <c r="B139" s="15">
        <v>97</v>
      </c>
      <c r="C139" s="18">
        <v>1.08</v>
      </c>
      <c r="D139" s="15">
        <v>25.4</v>
      </c>
      <c r="E139" s="15">
        <v>0</v>
      </c>
      <c r="F139" s="15">
        <v>100</v>
      </c>
      <c r="G139" s="17">
        <v>5</v>
      </c>
      <c r="H139" s="1">
        <v>9</v>
      </c>
      <c r="I139" s="1">
        <v>9</v>
      </c>
    </row>
    <row r="140" spans="1:9" x14ac:dyDescent="0.3">
      <c r="A140" s="1" t="s">
        <v>180</v>
      </c>
      <c r="B140" s="1">
        <v>80</v>
      </c>
      <c r="C140" s="46">
        <v>0.04</v>
      </c>
      <c r="D140" s="1">
        <v>25.3</v>
      </c>
      <c r="E140" s="1">
        <v>0</v>
      </c>
      <c r="F140" s="1">
        <v>52.38</v>
      </c>
      <c r="G140" s="2">
        <v>5</v>
      </c>
      <c r="H140" s="1">
        <v>0</v>
      </c>
      <c r="I140" s="1">
        <v>0</v>
      </c>
    </row>
    <row r="141" spans="1:9" x14ac:dyDescent="0.3">
      <c r="A141" s="1" t="s">
        <v>181</v>
      </c>
      <c r="B141" s="1">
        <v>87</v>
      </c>
      <c r="C141" s="46">
        <v>9.8000000000000007</v>
      </c>
      <c r="D141" s="1">
        <v>34.5</v>
      </c>
      <c r="E141" s="1">
        <v>0</v>
      </c>
      <c r="F141" s="1">
        <v>100</v>
      </c>
      <c r="G141" s="2">
        <v>3</v>
      </c>
      <c r="H141" s="1">
        <v>4</v>
      </c>
      <c r="I141" s="1">
        <v>4</v>
      </c>
    </row>
    <row r="142" spans="1:9" x14ac:dyDescent="0.3">
      <c r="A142" s="1" t="s">
        <v>181</v>
      </c>
      <c r="B142" s="1">
        <v>87</v>
      </c>
      <c r="C142" s="46">
        <v>9.8000000000000007</v>
      </c>
      <c r="D142" s="1">
        <v>34.5</v>
      </c>
      <c r="E142" s="1">
        <v>0</v>
      </c>
      <c r="F142" s="1">
        <v>100</v>
      </c>
      <c r="G142" s="2">
        <v>3</v>
      </c>
      <c r="H142" s="1">
        <v>3</v>
      </c>
      <c r="I142" s="1">
        <v>3</v>
      </c>
    </row>
    <row r="143" spans="1:9" x14ac:dyDescent="0.3">
      <c r="A143" s="1" t="s">
        <v>181</v>
      </c>
      <c r="B143" s="1">
        <v>80</v>
      </c>
      <c r="C143" s="46">
        <v>1.5</v>
      </c>
      <c r="D143" s="1">
        <v>26.9</v>
      </c>
      <c r="E143" s="1">
        <v>0</v>
      </c>
      <c r="F143" s="1">
        <v>47.62</v>
      </c>
      <c r="G143" s="2">
        <v>3</v>
      </c>
      <c r="H143" s="1">
        <v>3</v>
      </c>
      <c r="I143" s="1">
        <v>4</v>
      </c>
    </row>
    <row r="144" spans="1:9" x14ac:dyDescent="0.3">
      <c r="A144" s="1" t="s">
        <v>182</v>
      </c>
      <c r="B144" s="1">
        <v>81</v>
      </c>
      <c r="C144" s="46">
        <v>36.6</v>
      </c>
      <c r="D144" s="1">
        <v>31.4</v>
      </c>
      <c r="E144" s="1">
        <v>0.8</v>
      </c>
      <c r="F144" s="1">
        <v>100</v>
      </c>
      <c r="G144" s="2">
        <v>3</v>
      </c>
      <c r="H144" s="1">
        <v>7</v>
      </c>
      <c r="I144" s="1">
        <v>7</v>
      </c>
    </row>
    <row r="145" spans="1:9" x14ac:dyDescent="0.3">
      <c r="A145" s="1" t="s">
        <v>182</v>
      </c>
      <c r="B145" s="1">
        <v>79</v>
      </c>
      <c r="C145" s="46">
        <v>13.35</v>
      </c>
      <c r="D145" s="1">
        <v>29.2</v>
      </c>
      <c r="E145" s="1">
        <v>0</v>
      </c>
      <c r="F145" s="1">
        <v>100</v>
      </c>
      <c r="G145" s="2">
        <v>3</v>
      </c>
      <c r="H145" s="1">
        <v>2</v>
      </c>
      <c r="I145" s="1">
        <v>2</v>
      </c>
    </row>
    <row r="146" spans="1:9" x14ac:dyDescent="0.3">
      <c r="A146" s="1" t="s">
        <v>184</v>
      </c>
      <c r="B146" s="1">
        <v>92</v>
      </c>
      <c r="C146" s="46">
        <v>15.6</v>
      </c>
      <c r="D146" s="1">
        <v>23.5</v>
      </c>
      <c r="E146" s="1">
        <v>0.7</v>
      </c>
      <c r="F146" s="1">
        <v>100</v>
      </c>
      <c r="G146" s="2">
        <v>2</v>
      </c>
      <c r="H146" s="1">
        <v>1</v>
      </c>
      <c r="I146" s="1">
        <v>1</v>
      </c>
    </row>
    <row r="147" spans="1:9" x14ac:dyDescent="0.3">
      <c r="A147" s="1" t="s">
        <v>184</v>
      </c>
      <c r="B147" s="1">
        <v>79</v>
      </c>
      <c r="C147" s="46">
        <v>7.6</v>
      </c>
      <c r="D147" s="1">
        <v>25.4</v>
      </c>
      <c r="E147" s="1">
        <v>0</v>
      </c>
      <c r="F147" s="1">
        <v>100</v>
      </c>
      <c r="G147" s="2">
        <v>2</v>
      </c>
      <c r="H147" s="1">
        <v>2</v>
      </c>
      <c r="I147" s="1">
        <v>5</v>
      </c>
    </row>
    <row r="148" spans="1:9" x14ac:dyDescent="0.3">
      <c r="A148" s="1" t="s">
        <v>183</v>
      </c>
      <c r="B148" s="1">
        <v>89</v>
      </c>
      <c r="C148" s="46">
        <v>1.1000000000000001</v>
      </c>
      <c r="D148" s="1">
        <v>22.3</v>
      </c>
      <c r="E148" s="1">
        <v>0</v>
      </c>
      <c r="F148" s="1">
        <v>100</v>
      </c>
      <c r="G148" s="2">
        <v>3</v>
      </c>
      <c r="H148" s="1">
        <v>7</v>
      </c>
      <c r="I148" s="1">
        <v>10</v>
      </c>
    </row>
    <row r="149" spans="1:9" x14ac:dyDescent="0.3">
      <c r="A149" s="1" t="s">
        <v>183</v>
      </c>
      <c r="B149" s="1">
        <v>89</v>
      </c>
      <c r="C149" s="46">
        <v>1</v>
      </c>
      <c r="D149" s="1">
        <v>22.2</v>
      </c>
      <c r="E149" s="1">
        <v>0</v>
      </c>
      <c r="F149" s="1">
        <v>100</v>
      </c>
      <c r="G149" s="2">
        <v>3</v>
      </c>
      <c r="H149" s="1">
        <v>4</v>
      </c>
      <c r="I149" s="1">
        <v>4</v>
      </c>
    </row>
    <row r="150" spans="1:9" x14ac:dyDescent="0.3">
      <c r="A150" s="1" t="s">
        <v>183</v>
      </c>
      <c r="B150" s="1">
        <v>72</v>
      </c>
      <c r="C150" s="1">
        <v>0.75</v>
      </c>
      <c r="D150" s="1">
        <v>25</v>
      </c>
      <c r="E150" s="1">
        <v>0.9</v>
      </c>
      <c r="F150" s="1">
        <v>100</v>
      </c>
      <c r="G150" s="2">
        <v>3</v>
      </c>
      <c r="H150" s="1">
        <v>2</v>
      </c>
      <c r="I150" s="1">
        <v>3</v>
      </c>
    </row>
    <row r="151" spans="1:9" x14ac:dyDescent="0.3">
      <c r="A151" s="1" t="s">
        <v>185</v>
      </c>
      <c r="B151" s="1">
        <v>60</v>
      </c>
      <c r="C151" s="46">
        <v>44</v>
      </c>
      <c r="D151" s="1">
        <v>32.6</v>
      </c>
      <c r="E151" s="1">
        <v>0</v>
      </c>
      <c r="F151" s="1">
        <v>100</v>
      </c>
      <c r="G151" s="2">
        <v>1</v>
      </c>
      <c r="H151" s="1">
        <v>2</v>
      </c>
      <c r="I151" s="1">
        <v>4</v>
      </c>
    </row>
    <row r="152" spans="1:9" x14ac:dyDescent="0.3">
      <c r="A152" s="1" t="s">
        <v>185</v>
      </c>
      <c r="B152" s="1">
        <v>79</v>
      </c>
      <c r="C152" s="46">
        <v>39.200000000000003</v>
      </c>
      <c r="D152" s="1">
        <v>31.4</v>
      </c>
      <c r="E152" s="1">
        <v>0</v>
      </c>
      <c r="F152" s="1">
        <v>100</v>
      </c>
      <c r="G152" s="2">
        <v>1</v>
      </c>
      <c r="H152" s="1">
        <v>0</v>
      </c>
      <c r="I152" s="1">
        <v>0</v>
      </c>
    </row>
    <row r="153" spans="1:9" x14ac:dyDescent="0.3">
      <c r="A153" s="1" t="s">
        <v>186</v>
      </c>
      <c r="B153" s="1">
        <v>76</v>
      </c>
      <c r="C153" s="46">
        <v>1.53</v>
      </c>
      <c r="D153" s="1">
        <v>25.4</v>
      </c>
      <c r="E153" s="1">
        <v>0</v>
      </c>
      <c r="F153" s="1">
        <v>76.19</v>
      </c>
      <c r="G153" s="2">
        <v>6</v>
      </c>
      <c r="H153" s="1">
        <v>4</v>
      </c>
      <c r="I153" s="1">
        <v>5</v>
      </c>
    </row>
    <row r="154" spans="1:9" x14ac:dyDescent="0.3">
      <c r="A154" s="1" t="s">
        <v>176</v>
      </c>
      <c r="B154" s="1">
        <v>81</v>
      </c>
      <c r="C154" s="46">
        <v>1.6</v>
      </c>
      <c r="D154" s="1">
        <v>26.5</v>
      </c>
      <c r="E154" s="1">
        <v>0</v>
      </c>
      <c r="F154" s="1">
        <v>100</v>
      </c>
      <c r="G154" s="2">
        <v>4</v>
      </c>
      <c r="H154" s="1">
        <v>12</v>
      </c>
      <c r="I154" s="1">
        <v>18</v>
      </c>
    </row>
    <row r="155" spans="1:9" x14ac:dyDescent="0.3">
      <c r="A155" s="1" t="s">
        <v>177</v>
      </c>
      <c r="B155" s="1">
        <v>96</v>
      </c>
      <c r="C155" s="46">
        <v>1.1299999999999999</v>
      </c>
      <c r="D155" s="1">
        <v>26.4</v>
      </c>
      <c r="E155" s="1">
        <v>0</v>
      </c>
      <c r="F155" s="1">
        <v>100</v>
      </c>
      <c r="G155" s="2">
        <v>3</v>
      </c>
      <c r="H155" s="1">
        <v>5</v>
      </c>
      <c r="I155" s="1">
        <v>5</v>
      </c>
    </row>
    <row r="156" spans="1:9" x14ac:dyDescent="0.3">
      <c r="A156" s="1" t="s">
        <v>179</v>
      </c>
      <c r="B156" s="1">
        <v>99</v>
      </c>
      <c r="C156" s="46">
        <v>0.28000000000000003</v>
      </c>
      <c r="D156" s="1">
        <v>23.5</v>
      </c>
      <c r="E156" s="1">
        <v>0</v>
      </c>
      <c r="F156" s="1">
        <v>100</v>
      </c>
      <c r="G156" s="2">
        <v>5</v>
      </c>
      <c r="H156" s="1">
        <v>7</v>
      </c>
      <c r="I156" s="1">
        <v>10</v>
      </c>
    </row>
    <row r="157" spans="1:9" x14ac:dyDescent="0.3">
      <c r="A157" s="1" t="s">
        <v>180</v>
      </c>
      <c r="B157" s="1">
        <v>96</v>
      </c>
      <c r="C157" s="46">
        <v>0.64</v>
      </c>
      <c r="D157" s="1">
        <v>24.9</v>
      </c>
      <c r="E157" s="1">
        <v>0</v>
      </c>
      <c r="F157" s="1">
        <v>100</v>
      </c>
      <c r="G157" s="2">
        <v>5</v>
      </c>
      <c r="H157" s="1">
        <v>9</v>
      </c>
      <c r="I157" s="1">
        <v>9</v>
      </c>
    </row>
    <row r="158" spans="1:9" x14ac:dyDescent="0.3">
      <c r="A158" s="1" t="s">
        <v>181</v>
      </c>
      <c r="B158" s="1">
        <v>98</v>
      </c>
      <c r="C158" s="46">
        <v>2.2799999999999998</v>
      </c>
      <c r="D158" s="1">
        <v>23.7</v>
      </c>
      <c r="E158" s="1">
        <v>0</v>
      </c>
      <c r="F158" s="1">
        <v>100</v>
      </c>
      <c r="G158" s="2">
        <v>3</v>
      </c>
      <c r="H158" s="1">
        <v>4</v>
      </c>
      <c r="I158" s="1">
        <v>4</v>
      </c>
    </row>
    <row r="159" spans="1:9" x14ac:dyDescent="0.3">
      <c r="A159" s="1" t="s">
        <v>182</v>
      </c>
      <c r="B159" s="1">
        <v>99</v>
      </c>
      <c r="C159" s="46">
        <v>7.2350000000000003</v>
      </c>
      <c r="D159" s="1">
        <v>24.6</v>
      </c>
      <c r="E159" s="1">
        <v>1.4</v>
      </c>
      <c r="F159" s="1">
        <v>100</v>
      </c>
      <c r="G159" s="2">
        <v>3</v>
      </c>
      <c r="H159" s="1">
        <v>10</v>
      </c>
      <c r="I159" s="1">
        <v>16</v>
      </c>
    </row>
    <row r="160" spans="1:9" x14ac:dyDescent="0.3">
      <c r="A160" s="1" t="s">
        <v>184</v>
      </c>
      <c r="B160" s="1">
        <v>78</v>
      </c>
      <c r="C160" s="46">
        <v>17.850000000000001</v>
      </c>
      <c r="D160" s="1">
        <v>26.8</v>
      </c>
      <c r="E160" s="1">
        <v>0.7</v>
      </c>
      <c r="F160" s="1">
        <v>100</v>
      </c>
      <c r="G160" s="2">
        <v>2</v>
      </c>
      <c r="H160" s="1">
        <v>3</v>
      </c>
      <c r="I160" s="1">
        <v>3</v>
      </c>
    </row>
    <row r="161" spans="1:9" x14ac:dyDescent="0.3">
      <c r="A161" s="1" t="s">
        <v>183</v>
      </c>
      <c r="B161" s="1">
        <v>92</v>
      </c>
      <c r="C161" s="46">
        <v>44.68</v>
      </c>
      <c r="D161" s="1">
        <v>23.2</v>
      </c>
      <c r="E161" s="1">
        <v>0.6</v>
      </c>
      <c r="F161" s="1">
        <v>100</v>
      </c>
      <c r="G161" s="2">
        <v>3</v>
      </c>
      <c r="H161" s="1">
        <v>8</v>
      </c>
      <c r="I161" s="1">
        <v>9</v>
      </c>
    </row>
    <row r="162" spans="1:9" x14ac:dyDescent="0.3">
      <c r="A162" s="1" t="s">
        <v>183</v>
      </c>
      <c r="B162" s="1">
        <v>84</v>
      </c>
      <c r="C162" s="46">
        <v>0.5</v>
      </c>
      <c r="D162" s="1">
        <v>25.9</v>
      </c>
      <c r="E162" s="1">
        <v>0</v>
      </c>
      <c r="F162" s="1">
        <v>100</v>
      </c>
      <c r="G162" s="2">
        <v>3</v>
      </c>
      <c r="H162" s="1">
        <v>4</v>
      </c>
      <c r="I162" s="1">
        <v>4</v>
      </c>
    </row>
    <row r="163" spans="1:9" x14ac:dyDescent="0.3">
      <c r="A163" s="1" t="s">
        <v>186</v>
      </c>
      <c r="B163" s="1">
        <v>83</v>
      </c>
      <c r="C163" s="46">
        <v>1.1299999999999999</v>
      </c>
      <c r="D163" s="1">
        <v>25.5</v>
      </c>
      <c r="E163" s="1">
        <v>0</v>
      </c>
      <c r="F163" s="1">
        <v>100</v>
      </c>
      <c r="G163" s="2">
        <v>6</v>
      </c>
      <c r="H163" s="1">
        <v>9</v>
      </c>
      <c r="I163" s="1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86"/>
  <sheetViews>
    <sheetView workbookViewId="0">
      <selection activeCell="R4" sqref="R4"/>
    </sheetView>
  </sheetViews>
  <sheetFormatPr defaultRowHeight="14.4" x14ac:dyDescent="0.3"/>
  <sheetData>
    <row r="1" spans="1:12" ht="120.6" x14ac:dyDescent="0.3">
      <c r="A1" s="6" t="s">
        <v>196</v>
      </c>
      <c r="B1" s="6" t="s">
        <v>187</v>
      </c>
      <c r="C1" s="7" t="s">
        <v>188</v>
      </c>
      <c r="D1" s="9" t="s">
        <v>189</v>
      </c>
      <c r="E1" s="7" t="s">
        <v>190</v>
      </c>
      <c r="F1" s="7" t="s">
        <v>191</v>
      </c>
      <c r="G1" s="7" t="s">
        <v>192</v>
      </c>
      <c r="H1" s="7" t="s">
        <v>197</v>
      </c>
      <c r="I1" s="7" t="s">
        <v>193</v>
      </c>
      <c r="J1" s="8" t="s">
        <v>194</v>
      </c>
      <c r="K1" s="1" t="s">
        <v>195</v>
      </c>
      <c r="L1" s="1" t="s">
        <v>175</v>
      </c>
    </row>
    <row r="2" spans="1:12" x14ac:dyDescent="0.3">
      <c r="A2" s="15" t="s">
        <v>141</v>
      </c>
      <c r="B2" s="26" t="s">
        <v>176</v>
      </c>
      <c r="C2" s="30">
        <v>95</v>
      </c>
      <c r="D2" s="29">
        <v>0.59</v>
      </c>
      <c r="E2" s="30">
        <v>23.4</v>
      </c>
      <c r="F2" s="30">
        <v>0</v>
      </c>
      <c r="G2" s="15">
        <v>100</v>
      </c>
      <c r="H2" s="31">
        <v>400</v>
      </c>
      <c r="I2" s="15">
        <v>70</v>
      </c>
      <c r="J2" s="21">
        <v>4</v>
      </c>
      <c r="K2" s="1">
        <v>9</v>
      </c>
      <c r="L2" s="1">
        <v>18</v>
      </c>
    </row>
    <row r="3" spans="1:12" x14ac:dyDescent="0.3">
      <c r="A3" s="15" t="s">
        <v>141</v>
      </c>
      <c r="B3" s="26" t="s">
        <v>179</v>
      </c>
      <c r="C3" s="30">
        <v>99</v>
      </c>
      <c r="D3" s="34">
        <v>0.47249999999999998</v>
      </c>
      <c r="E3" s="30">
        <v>25.7</v>
      </c>
      <c r="F3" s="26">
        <v>0</v>
      </c>
      <c r="G3" s="15">
        <v>100</v>
      </c>
      <c r="H3" s="30">
        <v>400</v>
      </c>
      <c r="I3" s="15">
        <v>90</v>
      </c>
      <c r="J3" s="21">
        <v>5</v>
      </c>
      <c r="K3" s="1">
        <v>8</v>
      </c>
      <c r="L3" s="1">
        <v>9</v>
      </c>
    </row>
    <row r="4" spans="1:12" x14ac:dyDescent="0.3">
      <c r="A4" s="15" t="s">
        <v>141</v>
      </c>
      <c r="B4" s="26" t="s">
        <v>179</v>
      </c>
      <c r="C4" s="30">
        <v>99</v>
      </c>
      <c r="D4" s="29">
        <v>32.6</v>
      </c>
      <c r="E4" s="30">
        <v>23.7</v>
      </c>
      <c r="F4" s="26">
        <v>0</v>
      </c>
      <c r="G4" s="15">
        <v>100</v>
      </c>
      <c r="H4" s="26">
        <v>400</v>
      </c>
      <c r="I4" s="15">
        <v>73.33</v>
      </c>
      <c r="J4" s="21">
        <v>5</v>
      </c>
      <c r="K4" s="1">
        <v>3</v>
      </c>
      <c r="L4" s="1">
        <v>3</v>
      </c>
    </row>
    <row r="5" spans="1:12" x14ac:dyDescent="0.3">
      <c r="A5" s="15" t="s">
        <v>141</v>
      </c>
      <c r="B5" s="26" t="s">
        <v>180</v>
      </c>
      <c r="C5" s="30">
        <v>97</v>
      </c>
      <c r="D5" s="35">
        <v>0.53600000000000003</v>
      </c>
      <c r="E5" s="30">
        <v>24.9</v>
      </c>
      <c r="F5" s="30">
        <v>0</v>
      </c>
      <c r="G5" s="15">
        <v>20</v>
      </c>
      <c r="H5" s="30">
        <v>400</v>
      </c>
      <c r="I5" s="15">
        <v>90</v>
      </c>
      <c r="J5" s="21">
        <v>5</v>
      </c>
      <c r="K5" s="1">
        <v>5</v>
      </c>
      <c r="L5" s="1">
        <v>9</v>
      </c>
    </row>
    <row r="6" spans="1:12" x14ac:dyDescent="0.3">
      <c r="A6" s="15" t="s">
        <v>141</v>
      </c>
      <c r="B6" s="26" t="s">
        <v>180</v>
      </c>
      <c r="C6" s="30">
        <v>99</v>
      </c>
      <c r="D6" s="29">
        <v>47.9</v>
      </c>
      <c r="E6" s="30">
        <v>24.1</v>
      </c>
      <c r="F6" s="30">
        <v>0.5</v>
      </c>
      <c r="G6" s="15">
        <v>100</v>
      </c>
      <c r="H6" s="30">
        <v>400</v>
      </c>
      <c r="I6" s="15">
        <v>80</v>
      </c>
      <c r="J6" s="21">
        <v>5</v>
      </c>
      <c r="K6" s="1">
        <v>1</v>
      </c>
      <c r="L6" s="1">
        <v>1</v>
      </c>
    </row>
    <row r="7" spans="1:12" x14ac:dyDescent="0.3">
      <c r="A7" s="15" t="s">
        <v>141</v>
      </c>
      <c r="B7" s="26" t="s">
        <v>181</v>
      </c>
      <c r="C7" s="30">
        <v>99</v>
      </c>
      <c r="D7" s="29">
        <v>53.2</v>
      </c>
      <c r="E7" s="30">
        <v>27.5</v>
      </c>
      <c r="F7" s="30">
        <v>0</v>
      </c>
      <c r="G7" s="15">
        <v>100</v>
      </c>
      <c r="H7" s="30">
        <v>400</v>
      </c>
      <c r="I7" s="15">
        <v>93.33</v>
      </c>
      <c r="J7" s="21">
        <v>3</v>
      </c>
      <c r="K7" s="1">
        <v>4</v>
      </c>
      <c r="L7" s="1">
        <v>7</v>
      </c>
    </row>
    <row r="8" spans="1:12" x14ac:dyDescent="0.3">
      <c r="A8" s="15" t="s">
        <v>141</v>
      </c>
      <c r="B8" s="26" t="s">
        <v>181</v>
      </c>
      <c r="C8" s="30">
        <v>99</v>
      </c>
      <c r="D8" s="29">
        <v>8.23</v>
      </c>
      <c r="E8" s="30">
        <v>23.7</v>
      </c>
      <c r="F8" s="30">
        <v>0</v>
      </c>
      <c r="G8" s="15">
        <v>100</v>
      </c>
      <c r="H8" s="30">
        <v>400</v>
      </c>
      <c r="I8" s="15">
        <v>93.33</v>
      </c>
      <c r="J8" s="21">
        <v>3</v>
      </c>
      <c r="K8" s="1">
        <v>2</v>
      </c>
      <c r="L8" s="1">
        <v>4</v>
      </c>
    </row>
    <row r="9" spans="1:12" x14ac:dyDescent="0.3">
      <c r="A9" s="15" t="s">
        <v>141</v>
      </c>
      <c r="B9" s="26" t="s">
        <v>182</v>
      </c>
      <c r="C9" s="30">
        <v>77</v>
      </c>
      <c r="D9" s="29">
        <v>8.5399999999999991</v>
      </c>
      <c r="E9" s="30">
        <v>28</v>
      </c>
      <c r="F9" s="30">
        <v>1.75</v>
      </c>
      <c r="G9" s="15">
        <v>100</v>
      </c>
      <c r="H9" s="30">
        <v>400</v>
      </c>
      <c r="I9" s="15">
        <v>93.33</v>
      </c>
      <c r="J9" s="21">
        <v>3</v>
      </c>
      <c r="K9" s="1">
        <v>6</v>
      </c>
      <c r="L9" s="1">
        <v>12</v>
      </c>
    </row>
    <row r="10" spans="1:12" x14ac:dyDescent="0.3">
      <c r="A10" s="15" t="s">
        <v>141</v>
      </c>
      <c r="B10" s="26" t="s">
        <v>182</v>
      </c>
      <c r="C10" s="30">
        <v>99</v>
      </c>
      <c r="D10" s="29">
        <v>7.51</v>
      </c>
      <c r="E10" s="30">
        <v>23.7</v>
      </c>
      <c r="F10" s="30">
        <v>0</v>
      </c>
      <c r="G10" s="15">
        <v>100</v>
      </c>
      <c r="H10" s="30">
        <v>400</v>
      </c>
      <c r="I10" s="15">
        <v>93.33</v>
      </c>
      <c r="J10" s="21">
        <v>3</v>
      </c>
      <c r="K10" s="1">
        <v>4</v>
      </c>
      <c r="L10" s="1">
        <v>15</v>
      </c>
    </row>
    <row r="11" spans="1:12" x14ac:dyDescent="0.3">
      <c r="A11" s="15" t="s">
        <v>146</v>
      </c>
      <c r="B11" s="23" t="s">
        <v>181</v>
      </c>
      <c r="C11" s="15">
        <v>99</v>
      </c>
      <c r="D11" s="18">
        <v>7.59</v>
      </c>
      <c r="E11" s="15">
        <v>23.9</v>
      </c>
      <c r="F11" s="15">
        <v>0</v>
      </c>
      <c r="G11" s="15">
        <v>100</v>
      </c>
      <c r="H11" s="15">
        <v>500</v>
      </c>
      <c r="I11" s="15">
        <v>66.67</v>
      </c>
      <c r="J11" s="17">
        <v>3</v>
      </c>
      <c r="K11" s="1">
        <v>5</v>
      </c>
      <c r="L11" s="1">
        <v>6</v>
      </c>
    </row>
    <row r="12" spans="1:12" x14ac:dyDescent="0.3">
      <c r="A12" s="15" t="s">
        <v>146</v>
      </c>
      <c r="B12" s="23" t="s">
        <v>182</v>
      </c>
      <c r="C12" s="15">
        <v>99</v>
      </c>
      <c r="D12" s="18">
        <v>13.05</v>
      </c>
      <c r="E12" s="15">
        <v>25.9</v>
      </c>
      <c r="F12" s="15">
        <v>0.45</v>
      </c>
      <c r="G12" s="15">
        <v>100</v>
      </c>
      <c r="H12" s="15">
        <v>500</v>
      </c>
      <c r="I12" s="15">
        <v>100</v>
      </c>
      <c r="J12" s="17">
        <v>3</v>
      </c>
      <c r="K12" s="1">
        <v>4</v>
      </c>
      <c r="L12" s="1">
        <v>4</v>
      </c>
    </row>
    <row r="13" spans="1:12" x14ac:dyDescent="0.3">
      <c r="A13" s="15" t="s">
        <v>146</v>
      </c>
      <c r="B13" s="23" t="s">
        <v>184</v>
      </c>
      <c r="C13" s="15">
        <v>93</v>
      </c>
      <c r="D13" s="18">
        <v>6.64</v>
      </c>
      <c r="E13" s="15">
        <v>26</v>
      </c>
      <c r="F13" s="15">
        <v>0</v>
      </c>
      <c r="G13" s="15">
        <v>100</v>
      </c>
      <c r="H13" s="15">
        <v>500</v>
      </c>
      <c r="I13" s="15">
        <v>100</v>
      </c>
      <c r="J13" s="17">
        <v>2</v>
      </c>
      <c r="K13" s="1">
        <v>7</v>
      </c>
      <c r="L13" s="1">
        <v>13</v>
      </c>
    </row>
    <row r="14" spans="1:12" x14ac:dyDescent="0.3">
      <c r="A14" s="15" t="s">
        <v>146</v>
      </c>
      <c r="B14" s="23" t="s">
        <v>186</v>
      </c>
      <c r="C14" s="15">
        <v>96</v>
      </c>
      <c r="D14" s="18">
        <v>15.05</v>
      </c>
      <c r="E14" s="15">
        <v>30.2</v>
      </c>
      <c r="F14" s="15">
        <v>0</v>
      </c>
      <c r="G14" s="15">
        <v>100</v>
      </c>
      <c r="H14" s="15">
        <v>500</v>
      </c>
      <c r="I14" s="15">
        <v>66.67</v>
      </c>
      <c r="J14" s="17">
        <v>6</v>
      </c>
      <c r="K14" s="1">
        <v>2</v>
      </c>
      <c r="L14" s="1">
        <v>6</v>
      </c>
    </row>
    <row r="15" spans="1:12" x14ac:dyDescent="0.3">
      <c r="A15" s="15" t="s">
        <v>153</v>
      </c>
      <c r="B15" s="23" t="s">
        <v>179</v>
      </c>
      <c r="C15" s="15">
        <v>65</v>
      </c>
      <c r="D15" s="36">
        <v>3.5000000000000003E-2</v>
      </c>
      <c r="E15" s="15">
        <v>25.7</v>
      </c>
      <c r="F15" s="15">
        <v>0</v>
      </c>
      <c r="G15" s="15">
        <v>100</v>
      </c>
      <c r="H15" s="15">
        <v>560</v>
      </c>
      <c r="I15" s="15">
        <v>100</v>
      </c>
      <c r="J15" s="17">
        <v>5</v>
      </c>
      <c r="K15" s="1">
        <v>3</v>
      </c>
      <c r="L15" s="1">
        <v>3</v>
      </c>
    </row>
    <row r="16" spans="1:12" x14ac:dyDescent="0.3">
      <c r="A16" s="15" t="s">
        <v>153</v>
      </c>
      <c r="B16" s="23" t="s">
        <v>180</v>
      </c>
      <c r="C16" s="15">
        <v>50</v>
      </c>
      <c r="D16" s="36">
        <v>0.7</v>
      </c>
      <c r="E16" s="15">
        <v>26.3</v>
      </c>
      <c r="F16" s="15">
        <v>0</v>
      </c>
      <c r="G16" s="15">
        <v>100</v>
      </c>
      <c r="H16" s="15">
        <v>560</v>
      </c>
      <c r="I16" s="15">
        <v>47.62</v>
      </c>
      <c r="J16" s="17">
        <v>5</v>
      </c>
      <c r="K16" s="1">
        <v>2</v>
      </c>
      <c r="L16" s="1">
        <v>5</v>
      </c>
    </row>
    <row r="17" spans="1:12" x14ac:dyDescent="0.3">
      <c r="A17" s="15" t="s">
        <v>153</v>
      </c>
      <c r="B17" s="23" t="s">
        <v>184</v>
      </c>
      <c r="C17" s="15">
        <v>77</v>
      </c>
      <c r="D17" s="36">
        <v>1.79</v>
      </c>
      <c r="E17" s="15">
        <v>23.98</v>
      </c>
      <c r="F17" s="15">
        <v>0.83</v>
      </c>
      <c r="G17" s="15">
        <v>100</v>
      </c>
      <c r="H17" s="15">
        <v>850</v>
      </c>
      <c r="I17" s="15">
        <v>76.19</v>
      </c>
      <c r="J17" s="17">
        <v>2</v>
      </c>
      <c r="K17" s="1">
        <v>3</v>
      </c>
      <c r="L17" s="1">
        <v>3</v>
      </c>
    </row>
    <row r="18" spans="1:12" x14ac:dyDescent="0.3">
      <c r="A18" s="15" t="s">
        <v>153</v>
      </c>
      <c r="B18" s="23" t="s">
        <v>184</v>
      </c>
      <c r="C18" s="15">
        <v>78</v>
      </c>
      <c r="D18" s="36">
        <v>20.350000000000001</v>
      </c>
      <c r="E18" s="15">
        <v>22.55</v>
      </c>
      <c r="F18" s="15">
        <v>0</v>
      </c>
      <c r="G18" s="15">
        <v>38.33</v>
      </c>
      <c r="H18" s="1">
        <v>560</v>
      </c>
      <c r="I18" s="15">
        <v>100</v>
      </c>
      <c r="J18" s="17">
        <v>2</v>
      </c>
      <c r="K18" s="1">
        <v>6</v>
      </c>
      <c r="L18" s="1">
        <v>14</v>
      </c>
    </row>
    <row r="19" spans="1:12" x14ac:dyDescent="0.3">
      <c r="A19" s="15" t="s">
        <v>153</v>
      </c>
      <c r="B19" s="23" t="s">
        <v>184</v>
      </c>
      <c r="C19" s="15">
        <v>98</v>
      </c>
      <c r="D19" s="36">
        <v>3.05</v>
      </c>
      <c r="E19" s="15">
        <v>21.7</v>
      </c>
      <c r="F19" s="15">
        <v>0.9</v>
      </c>
      <c r="G19" s="15">
        <v>100</v>
      </c>
      <c r="H19" s="15">
        <v>850</v>
      </c>
      <c r="I19" s="15">
        <v>100</v>
      </c>
      <c r="J19" s="17">
        <v>2</v>
      </c>
      <c r="K19" s="1">
        <v>1</v>
      </c>
      <c r="L19" s="1">
        <v>1</v>
      </c>
    </row>
    <row r="20" spans="1:12" x14ac:dyDescent="0.3">
      <c r="A20" s="15" t="s">
        <v>153</v>
      </c>
      <c r="B20" s="23" t="s">
        <v>184</v>
      </c>
      <c r="C20" s="15">
        <v>77</v>
      </c>
      <c r="D20" s="36">
        <v>12.54</v>
      </c>
      <c r="E20" s="15">
        <v>25.3</v>
      </c>
      <c r="F20" s="15">
        <v>1</v>
      </c>
      <c r="G20" s="15">
        <v>100</v>
      </c>
      <c r="H20" s="15">
        <v>560</v>
      </c>
      <c r="I20" s="15">
        <v>100</v>
      </c>
      <c r="J20" s="17">
        <v>2</v>
      </c>
      <c r="K20" s="1">
        <v>1</v>
      </c>
      <c r="L20" s="1">
        <v>5</v>
      </c>
    </row>
    <row r="21" spans="1:12" x14ac:dyDescent="0.3">
      <c r="A21" s="15" t="s">
        <v>153</v>
      </c>
      <c r="B21" s="23" t="s">
        <v>183</v>
      </c>
      <c r="C21" s="15">
        <v>95</v>
      </c>
      <c r="D21" s="18">
        <v>10.69</v>
      </c>
      <c r="E21" s="15">
        <v>22.8</v>
      </c>
      <c r="F21" s="15">
        <v>1.2</v>
      </c>
      <c r="G21" s="15">
        <v>100</v>
      </c>
      <c r="H21" s="15">
        <v>850</v>
      </c>
      <c r="I21" s="15">
        <v>100</v>
      </c>
      <c r="J21" s="17">
        <v>3</v>
      </c>
      <c r="K21" s="1">
        <v>4</v>
      </c>
      <c r="L21" s="1">
        <v>7</v>
      </c>
    </row>
    <row r="22" spans="1:12" x14ac:dyDescent="0.3">
      <c r="A22" s="15" t="s">
        <v>153</v>
      </c>
      <c r="B22" s="23" t="s">
        <v>183</v>
      </c>
      <c r="C22" s="15">
        <v>95</v>
      </c>
      <c r="D22" s="18">
        <v>5.99</v>
      </c>
      <c r="E22" s="15">
        <v>25.7</v>
      </c>
      <c r="F22" s="15">
        <v>0</v>
      </c>
      <c r="G22" s="15">
        <v>100</v>
      </c>
      <c r="H22" s="15">
        <v>560</v>
      </c>
      <c r="I22" s="15">
        <v>100</v>
      </c>
      <c r="J22" s="17">
        <v>3</v>
      </c>
      <c r="K22" s="1">
        <v>5</v>
      </c>
      <c r="L22" s="1">
        <v>7</v>
      </c>
    </row>
    <row r="23" spans="1:12" x14ac:dyDescent="0.3">
      <c r="A23" s="15" t="s">
        <v>153</v>
      </c>
      <c r="B23" s="16" t="s">
        <v>183</v>
      </c>
      <c r="C23" s="15">
        <v>98</v>
      </c>
      <c r="D23" s="18">
        <v>3.61</v>
      </c>
      <c r="E23" s="15">
        <v>23</v>
      </c>
      <c r="F23" s="15">
        <v>0</v>
      </c>
      <c r="G23" s="15">
        <v>100</v>
      </c>
      <c r="H23" s="15">
        <v>850</v>
      </c>
      <c r="I23" s="15">
        <v>76.19</v>
      </c>
      <c r="J23" s="17">
        <v>3</v>
      </c>
      <c r="K23" s="1">
        <v>0</v>
      </c>
      <c r="L23" s="1">
        <v>0</v>
      </c>
    </row>
    <row r="24" spans="1:12" x14ac:dyDescent="0.3">
      <c r="A24" s="15" t="s">
        <v>153</v>
      </c>
      <c r="B24" s="23" t="s">
        <v>183</v>
      </c>
      <c r="C24" s="15">
        <v>80</v>
      </c>
      <c r="D24" s="18">
        <v>6.89</v>
      </c>
      <c r="E24" s="15">
        <v>24.3</v>
      </c>
      <c r="F24" s="15">
        <v>0.87</v>
      </c>
      <c r="G24" s="15">
        <v>100</v>
      </c>
      <c r="H24" s="15">
        <v>560</v>
      </c>
      <c r="I24" s="15">
        <v>100</v>
      </c>
      <c r="J24" s="17">
        <v>3</v>
      </c>
      <c r="K24" s="1">
        <v>2</v>
      </c>
      <c r="L24" s="1">
        <v>2</v>
      </c>
    </row>
    <row r="25" spans="1:12" x14ac:dyDescent="0.3">
      <c r="A25" s="15" t="s">
        <v>153</v>
      </c>
      <c r="B25" s="23" t="s">
        <v>185</v>
      </c>
      <c r="C25" s="15">
        <v>80</v>
      </c>
      <c r="D25" s="36">
        <v>14.7</v>
      </c>
      <c r="E25" s="15">
        <v>24.13</v>
      </c>
      <c r="F25" s="15">
        <v>2.1</v>
      </c>
      <c r="G25" s="15">
        <v>100</v>
      </c>
      <c r="H25" s="15">
        <v>850</v>
      </c>
      <c r="I25" s="15">
        <v>100</v>
      </c>
      <c r="J25" s="17">
        <v>1</v>
      </c>
      <c r="K25" s="1">
        <v>3</v>
      </c>
      <c r="L25" s="1">
        <v>11</v>
      </c>
    </row>
    <row r="26" spans="1:12" x14ac:dyDescent="0.3">
      <c r="A26" s="15" t="s">
        <v>153</v>
      </c>
      <c r="B26" s="23" t="s">
        <v>185</v>
      </c>
      <c r="C26" s="15">
        <v>99</v>
      </c>
      <c r="D26" s="36">
        <v>12.46</v>
      </c>
      <c r="E26" s="15">
        <v>22.9</v>
      </c>
      <c r="F26" s="15">
        <v>0</v>
      </c>
      <c r="G26" s="15">
        <v>100</v>
      </c>
      <c r="H26" s="15">
        <v>560</v>
      </c>
      <c r="I26" s="15">
        <v>95.24</v>
      </c>
      <c r="J26" s="17">
        <v>1</v>
      </c>
      <c r="K26" s="1">
        <v>4</v>
      </c>
      <c r="L26" s="1">
        <v>5</v>
      </c>
    </row>
    <row r="27" spans="1:12" x14ac:dyDescent="0.3">
      <c r="A27" s="15" t="s">
        <v>153</v>
      </c>
      <c r="B27" s="16" t="s">
        <v>185</v>
      </c>
      <c r="C27" s="15">
        <v>99</v>
      </c>
      <c r="D27" s="18">
        <v>8.2799999999999994</v>
      </c>
      <c r="E27" s="15">
        <v>24.2</v>
      </c>
      <c r="F27" s="15">
        <v>0</v>
      </c>
      <c r="G27" s="15">
        <v>100</v>
      </c>
      <c r="H27" s="15">
        <v>850</v>
      </c>
      <c r="I27" s="15">
        <v>76.19</v>
      </c>
      <c r="J27" s="17">
        <v>1</v>
      </c>
      <c r="K27" s="1">
        <v>0</v>
      </c>
      <c r="L27" s="1">
        <v>0</v>
      </c>
    </row>
    <row r="28" spans="1:12" x14ac:dyDescent="0.3">
      <c r="A28" s="15" t="s">
        <v>153</v>
      </c>
      <c r="B28" s="16" t="s">
        <v>185</v>
      </c>
      <c r="C28" s="15">
        <v>99</v>
      </c>
      <c r="D28" s="18">
        <v>7.19</v>
      </c>
      <c r="E28" s="15">
        <v>23.4</v>
      </c>
      <c r="F28" s="15">
        <v>1.5</v>
      </c>
      <c r="G28" s="15">
        <v>100</v>
      </c>
      <c r="H28" s="15">
        <v>560</v>
      </c>
      <c r="I28" s="15">
        <v>76.19</v>
      </c>
      <c r="J28" s="17">
        <v>1</v>
      </c>
      <c r="K28" s="1">
        <v>0</v>
      </c>
      <c r="L28" s="1">
        <v>0</v>
      </c>
    </row>
    <row r="29" spans="1:12" x14ac:dyDescent="0.3">
      <c r="A29" s="15" t="s">
        <v>153</v>
      </c>
      <c r="B29" s="23" t="s">
        <v>186</v>
      </c>
      <c r="C29" s="15">
        <v>95</v>
      </c>
      <c r="D29" s="18">
        <v>1.44</v>
      </c>
      <c r="E29" s="15">
        <v>25.1</v>
      </c>
      <c r="F29" s="15">
        <v>0</v>
      </c>
      <c r="G29" s="15">
        <v>100</v>
      </c>
      <c r="H29" s="15">
        <v>850</v>
      </c>
      <c r="I29" s="15">
        <v>76.19</v>
      </c>
      <c r="J29" s="17">
        <v>6</v>
      </c>
      <c r="K29" s="1">
        <v>2</v>
      </c>
      <c r="L29" s="1">
        <v>7</v>
      </c>
    </row>
    <row r="30" spans="1:12" x14ac:dyDescent="0.3">
      <c r="A30" s="15" t="s">
        <v>153</v>
      </c>
      <c r="B30" s="23" t="s">
        <v>186</v>
      </c>
      <c r="C30" s="15">
        <v>99</v>
      </c>
      <c r="D30" s="18">
        <v>0.54</v>
      </c>
      <c r="E30" s="15">
        <v>21.9</v>
      </c>
      <c r="F30" s="15">
        <v>0</v>
      </c>
      <c r="G30" s="15">
        <v>100</v>
      </c>
      <c r="H30" s="15">
        <v>560</v>
      </c>
      <c r="I30" s="15">
        <v>76.19</v>
      </c>
      <c r="J30" s="17">
        <v>6</v>
      </c>
      <c r="K30" s="1">
        <v>3</v>
      </c>
      <c r="L30" s="1">
        <v>3</v>
      </c>
    </row>
    <row r="31" spans="1:12" x14ac:dyDescent="0.3">
      <c r="A31" s="15" t="s">
        <v>153</v>
      </c>
      <c r="B31" s="23" t="s">
        <v>186</v>
      </c>
      <c r="C31" s="15">
        <v>99</v>
      </c>
      <c r="D31" s="18">
        <v>0.63</v>
      </c>
      <c r="E31" s="15">
        <v>25.1</v>
      </c>
      <c r="F31" s="15">
        <v>0</v>
      </c>
      <c r="G31" s="15">
        <v>100</v>
      </c>
      <c r="H31" s="15">
        <v>850</v>
      </c>
      <c r="I31" s="15">
        <v>95.24</v>
      </c>
      <c r="J31" s="17">
        <v>6</v>
      </c>
      <c r="K31" s="1">
        <v>3</v>
      </c>
      <c r="L31" s="1">
        <v>8</v>
      </c>
    </row>
    <row r="32" spans="1:12" x14ac:dyDescent="0.3">
      <c r="A32" s="15" t="s">
        <v>153</v>
      </c>
      <c r="B32" s="23" t="s">
        <v>186</v>
      </c>
      <c r="C32" s="15">
        <v>99</v>
      </c>
      <c r="D32" s="18">
        <v>1.67</v>
      </c>
      <c r="E32" s="15">
        <v>25.2</v>
      </c>
      <c r="F32" s="15">
        <v>0</v>
      </c>
      <c r="G32" s="15">
        <v>100</v>
      </c>
      <c r="H32" s="15">
        <v>560</v>
      </c>
      <c r="I32" s="15">
        <v>14.29</v>
      </c>
      <c r="J32" s="17">
        <v>6</v>
      </c>
      <c r="K32" s="1">
        <v>3</v>
      </c>
      <c r="L32" s="1">
        <v>4</v>
      </c>
    </row>
    <row r="33" spans="1:12" x14ac:dyDescent="0.3">
      <c r="A33" s="15" t="s">
        <v>158</v>
      </c>
      <c r="B33" s="23" t="s">
        <v>176</v>
      </c>
      <c r="C33" s="15">
        <v>96</v>
      </c>
      <c r="D33" s="18">
        <v>1.1399999999999999</v>
      </c>
      <c r="E33" s="15">
        <v>26.4</v>
      </c>
      <c r="F33" s="15">
        <v>0</v>
      </c>
      <c r="G33" s="15">
        <v>22</v>
      </c>
      <c r="H33" s="15">
        <v>450</v>
      </c>
      <c r="I33" s="15">
        <v>71.42</v>
      </c>
      <c r="J33" s="17">
        <v>4</v>
      </c>
      <c r="K33" s="1">
        <v>4</v>
      </c>
      <c r="L33" s="1">
        <v>7</v>
      </c>
    </row>
    <row r="34" spans="1:12" x14ac:dyDescent="0.3">
      <c r="A34" s="15" t="s">
        <v>158</v>
      </c>
      <c r="B34" s="23" t="s">
        <v>179</v>
      </c>
      <c r="C34" s="15">
        <v>89</v>
      </c>
      <c r="D34" s="18">
        <v>2.74</v>
      </c>
      <c r="E34" s="15">
        <v>23.5</v>
      </c>
      <c r="F34" s="15">
        <v>0</v>
      </c>
      <c r="G34" s="15">
        <v>0</v>
      </c>
      <c r="H34" s="15">
        <v>600</v>
      </c>
      <c r="I34" s="15">
        <v>95.24</v>
      </c>
      <c r="J34" s="17">
        <v>5</v>
      </c>
      <c r="K34" s="1">
        <v>13</v>
      </c>
      <c r="L34" s="1">
        <v>16</v>
      </c>
    </row>
    <row r="35" spans="1:12" x14ac:dyDescent="0.3">
      <c r="A35" s="15" t="s">
        <v>158</v>
      </c>
      <c r="B35" s="23" t="s">
        <v>179</v>
      </c>
      <c r="C35" s="15">
        <v>87</v>
      </c>
      <c r="D35" s="18">
        <v>0.03</v>
      </c>
      <c r="E35" s="15">
        <v>23.2</v>
      </c>
      <c r="F35" s="15">
        <v>0</v>
      </c>
      <c r="G35" s="15">
        <v>100</v>
      </c>
      <c r="H35" s="15">
        <v>450</v>
      </c>
      <c r="I35" s="15">
        <v>71.42</v>
      </c>
      <c r="J35" s="17">
        <v>5</v>
      </c>
      <c r="K35" s="1">
        <v>3</v>
      </c>
      <c r="L35" s="1">
        <v>3</v>
      </c>
    </row>
    <row r="36" spans="1:12" x14ac:dyDescent="0.3">
      <c r="A36" s="15" t="s">
        <v>158</v>
      </c>
      <c r="B36" s="23" t="s">
        <v>179</v>
      </c>
      <c r="C36" s="15">
        <v>85</v>
      </c>
      <c r="D36" s="18">
        <v>0.04</v>
      </c>
      <c r="E36" s="15">
        <v>23.2</v>
      </c>
      <c r="F36" s="15">
        <v>0</v>
      </c>
      <c r="G36" s="15">
        <v>50</v>
      </c>
      <c r="H36" s="15">
        <v>600</v>
      </c>
      <c r="I36" s="15">
        <v>100</v>
      </c>
      <c r="J36" s="17">
        <v>5</v>
      </c>
      <c r="K36" s="1">
        <v>1</v>
      </c>
      <c r="L36" s="1">
        <v>1</v>
      </c>
    </row>
    <row r="37" spans="1:12" x14ac:dyDescent="0.3">
      <c r="A37" s="15" t="s">
        <v>158</v>
      </c>
      <c r="B37" s="23" t="s">
        <v>180</v>
      </c>
      <c r="C37" s="15">
        <v>88</v>
      </c>
      <c r="D37" s="18">
        <v>0.69</v>
      </c>
      <c r="E37" s="15">
        <v>23.4</v>
      </c>
      <c r="F37" s="15">
        <v>6</v>
      </c>
      <c r="G37" s="15">
        <v>100</v>
      </c>
      <c r="H37" s="15">
        <v>600</v>
      </c>
      <c r="I37" s="15">
        <v>100</v>
      </c>
      <c r="J37" s="17">
        <v>5</v>
      </c>
      <c r="K37" s="1">
        <v>8</v>
      </c>
      <c r="L37" s="1">
        <v>9</v>
      </c>
    </row>
    <row r="38" spans="1:12" x14ac:dyDescent="0.3">
      <c r="A38" s="15" t="s">
        <v>158</v>
      </c>
      <c r="B38" s="23" t="s">
        <v>180</v>
      </c>
      <c r="C38" s="15">
        <v>88</v>
      </c>
      <c r="D38" s="18">
        <v>1.86</v>
      </c>
      <c r="E38" s="15">
        <v>27.2</v>
      </c>
      <c r="F38" s="15">
        <v>0.6</v>
      </c>
      <c r="G38" s="15">
        <v>100</v>
      </c>
      <c r="H38" s="15">
        <v>600</v>
      </c>
      <c r="I38" s="15">
        <v>100</v>
      </c>
      <c r="J38" s="17">
        <v>5</v>
      </c>
      <c r="K38" s="1">
        <v>4</v>
      </c>
      <c r="L38" s="1">
        <v>4</v>
      </c>
    </row>
    <row r="39" spans="1:12" x14ac:dyDescent="0.3">
      <c r="A39" s="15" t="s">
        <v>158</v>
      </c>
      <c r="B39" s="23" t="s">
        <v>181</v>
      </c>
      <c r="C39" s="15">
        <v>80</v>
      </c>
      <c r="D39" s="18">
        <v>51.6</v>
      </c>
      <c r="E39" s="15">
        <v>28.7</v>
      </c>
      <c r="F39" s="15">
        <v>2.5</v>
      </c>
      <c r="G39" s="15">
        <v>0</v>
      </c>
      <c r="H39" s="15">
        <v>600</v>
      </c>
      <c r="I39" s="15">
        <v>100</v>
      </c>
      <c r="J39" s="17">
        <v>3</v>
      </c>
      <c r="K39" s="1">
        <v>5</v>
      </c>
      <c r="L39" s="1">
        <v>5</v>
      </c>
    </row>
    <row r="40" spans="1:12" x14ac:dyDescent="0.3">
      <c r="A40" s="15" t="s">
        <v>158</v>
      </c>
      <c r="B40" s="23" t="s">
        <v>182</v>
      </c>
      <c r="C40" s="15">
        <v>71</v>
      </c>
      <c r="D40" s="18">
        <v>7.17</v>
      </c>
      <c r="E40" s="15">
        <v>26.1</v>
      </c>
      <c r="F40" s="15">
        <v>1.9</v>
      </c>
      <c r="G40" s="15">
        <v>0</v>
      </c>
      <c r="H40" s="15">
        <v>600</v>
      </c>
      <c r="I40" s="15">
        <v>100</v>
      </c>
      <c r="J40" s="17">
        <v>3</v>
      </c>
      <c r="K40" s="1">
        <v>9</v>
      </c>
      <c r="L40" s="1">
        <v>11</v>
      </c>
    </row>
    <row r="41" spans="1:12" x14ac:dyDescent="0.3">
      <c r="A41" s="15" t="s">
        <v>158</v>
      </c>
      <c r="B41" s="23" t="s">
        <v>182</v>
      </c>
      <c r="C41" s="15">
        <v>54</v>
      </c>
      <c r="D41" s="18">
        <v>10.85</v>
      </c>
      <c r="E41" s="15">
        <v>28.3</v>
      </c>
      <c r="F41" s="15">
        <v>1.45</v>
      </c>
      <c r="G41" s="15">
        <v>35</v>
      </c>
      <c r="H41" s="15">
        <v>600</v>
      </c>
      <c r="I41" s="15">
        <v>100</v>
      </c>
      <c r="J41" s="17">
        <v>3</v>
      </c>
      <c r="K41" s="1">
        <v>4</v>
      </c>
      <c r="L41" s="1">
        <v>4</v>
      </c>
    </row>
    <row r="42" spans="1:12" x14ac:dyDescent="0.3">
      <c r="A42" s="15" t="s">
        <v>158</v>
      </c>
      <c r="B42" s="23" t="s">
        <v>184</v>
      </c>
      <c r="C42" s="1">
        <v>72</v>
      </c>
      <c r="D42" s="1">
        <v>17.850000000000001</v>
      </c>
      <c r="E42" s="1">
        <v>26.9</v>
      </c>
      <c r="F42" s="1">
        <v>1.6</v>
      </c>
      <c r="G42" s="1">
        <v>90</v>
      </c>
      <c r="H42" s="1">
        <v>600</v>
      </c>
      <c r="I42" s="1">
        <v>100</v>
      </c>
      <c r="J42" s="17">
        <v>2</v>
      </c>
      <c r="K42" s="1">
        <v>2</v>
      </c>
      <c r="L42" s="1">
        <v>3</v>
      </c>
    </row>
    <row r="43" spans="1:12" x14ac:dyDescent="0.3">
      <c r="A43" s="15" t="s">
        <v>158</v>
      </c>
      <c r="B43" s="23" t="s">
        <v>184</v>
      </c>
      <c r="C43" s="15">
        <v>66</v>
      </c>
      <c r="D43" s="18">
        <v>6.27</v>
      </c>
      <c r="E43" s="15">
        <v>26.2</v>
      </c>
      <c r="F43" s="15">
        <v>0.8</v>
      </c>
      <c r="G43" s="15">
        <v>100</v>
      </c>
      <c r="H43" s="15">
        <v>600</v>
      </c>
      <c r="I43" s="15">
        <v>71.42</v>
      </c>
      <c r="J43" s="17">
        <v>2</v>
      </c>
      <c r="K43" s="1">
        <v>1</v>
      </c>
      <c r="L43" s="1">
        <v>1</v>
      </c>
    </row>
    <row r="44" spans="1:12" x14ac:dyDescent="0.3">
      <c r="A44" s="15" t="s">
        <v>158</v>
      </c>
      <c r="B44" s="23" t="s">
        <v>183</v>
      </c>
      <c r="C44" s="15">
        <v>99</v>
      </c>
      <c r="D44" s="18">
        <v>29.59</v>
      </c>
      <c r="E44" s="15">
        <v>24.9</v>
      </c>
      <c r="F44" s="15">
        <v>0.65</v>
      </c>
      <c r="G44" s="15">
        <v>99</v>
      </c>
      <c r="H44" s="15">
        <v>600</v>
      </c>
      <c r="I44" s="15">
        <v>95.24</v>
      </c>
      <c r="J44" s="17">
        <v>3</v>
      </c>
      <c r="K44" s="1">
        <v>4</v>
      </c>
      <c r="L44" s="1">
        <v>7</v>
      </c>
    </row>
    <row r="45" spans="1:12" x14ac:dyDescent="0.3">
      <c r="A45" s="15" t="s">
        <v>158</v>
      </c>
      <c r="B45" s="23" t="s">
        <v>183</v>
      </c>
      <c r="C45" s="15">
        <v>74</v>
      </c>
      <c r="D45" s="18">
        <v>1.52</v>
      </c>
      <c r="E45" s="15">
        <v>19.829999999999998</v>
      </c>
      <c r="F45" s="15">
        <v>0.85</v>
      </c>
      <c r="G45" s="15">
        <v>100</v>
      </c>
      <c r="H45" s="15">
        <v>600</v>
      </c>
      <c r="I45" s="15">
        <v>95.24</v>
      </c>
      <c r="J45" s="17">
        <v>3</v>
      </c>
      <c r="K45" s="1">
        <v>2</v>
      </c>
      <c r="L45" s="1">
        <v>2</v>
      </c>
    </row>
    <row r="46" spans="1:12" x14ac:dyDescent="0.3">
      <c r="A46" s="15" t="s">
        <v>158</v>
      </c>
      <c r="B46" s="23" t="s">
        <v>185</v>
      </c>
      <c r="C46" s="15">
        <v>99</v>
      </c>
      <c r="D46" s="18">
        <v>27.94</v>
      </c>
      <c r="E46" s="15">
        <v>22.3</v>
      </c>
      <c r="F46" s="15">
        <v>1.2</v>
      </c>
      <c r="G46" s="15">
        <v>100</v>
      </c>
      <c r="H46" s="15">
        <v>600</v>
      </c>
      <c r="I46" s="15">
        <v>95.24</v>
      </c>
      <c r="J46" s="17">
        <v>1</v>
      </c>
      <c r="K46" s="1">
        <v>5</v>
      </c>
      <c r="L46" s="1">
        <v>15</v>
      </c>
    </row>
    <row r="47" spans="1:12" x14ac:dyDescent="0.3">
      <c r="A47" s="15" t="s">
        <v>158</v>
      </c>
      <c r="B47" s="23" t="s">
        <v>185</v>
      </c>
      <c r="C47" s="15">
        <v>80</v>
      </c>
      <c r="D47" s="18">
        <v>6.81</v>
      </c>
      <c r="E47" s="15">
        <v>19.03</v>
      </c>
      <c r="F47" s="15">
        <v>1.8</v>
      </c>
      <c r="G47" s="15">
        <v>100</v>
      </c>
      <c r="H47" s="15">
        <v>600</v>
      </c>
      <c r="I47" s="15">
        <v>100</v>
      </c>
      <c r="J47" s="17">
        <v>1</v>
      </c>
      <c r="K47" s="1">
        <v>2</v>
      </c>
      <c r="L47" s="1">
        <v>4</v>
      </c>
    </row>
    <row r="48" spans="1:12" x14ac:dyDescent="0.3">
      <c r="A48" s="15" t="s">
        <v>158</v>
      </c>
      <c r="B48" s="23" t="s">
        <v>186</v>
      </c>
      <c r="C48" s="15">
        <v>95</v>
      </c>
      <c r="D48" s="18">
        <v>0.4</v>
      </c>
      <c r="E48" s="15">
        <v>17.100000000000001</v>
      </c>
      <c r="F48" s="15">
        <v>0</v>
      </c>
      <c r="G48" s="15">
        <v>0</v>
      </c>
      <c r="H48" s="15">
        <v>600</v>
      </c>
      <c r="I48" s="15">
        <v>100</v>
      </c>
      <c r="J48" s="17">
        <v>6</v>
      </c>
      <c r="K48" s="1">
        <v>10</v>
      </c>
      <c r="L48" s="1">
        <v>33</v>
      </c>
    </row>
    <row r="49" spans="1:12" x14ac:dyDescent="0.3">
      <c r="A49" s="15" t="s">
        <v>158</v>
      </c>
      <c r="B49" s="23" t="s">
        <v>186</v>
      </c>
      <c r="C49" s="15">
        <v>95</v>
      </c>
      <c r="D49" s="18">
        <v>0.41</v>
      </c>
      <c r="E49" s="15">
        <v>17.100000000000001</v>
      </c>
      <c r="F49" s="15">
        <v>0</v>
      </c>
      <c r="G49" s="15">
        <v>100</v>
      </c>
      <c r="H49" s="15">
        <v>600</v>
      </c>
      <c r="I49" s="15">
        <v>95.24</v>
      </c>
      <c r="J49" s="17">
        <v>6</v>
      </c>
      <c r="K49" s="1">
        <v>8</v>
      </c>
      <c r="L49" s="1">
        <v>11</v>
      </c>
    </row>
    <row r="50" spans="1:12" x14ac:dyDescent="0.3">
      <c r="A50" s="15" t="s">
        <v>158</v>
      </c>
      <c r="B50" s="23" t="s">
        <v>186</v>
      </c>
      <c r="C50" s="15">
        <v>87</v>
      </c>
      <c r="D50" s="18">
        <v>0.16</v>
      </c>
      <c r="E50" s="15">
        <v>20.2</v>
      </c>
      <c r="F50" s="15">
        <v>0</v>
      </c>
      <c r="G50" s="15">
        <v>100</v>
      </c>
      <c r="H50" s="15">
        <v>600</v>
      </c>
      <c r="I50" s="15">
        <v>100</v>
      </c>
      <c r="J50" s="17">
        <v>6</v>
      </c>
      <c r="K50" s="1">
        <v>6</v>
      </c>
      <c r="L50" s="1">
        <v>6</v>
      </c>
    </row>
    <row r="51" spans="1:12" x14ac:dyDescent="0.3">
      <c r="A51" s="15" t="s">
        <v>164</v>
      </c>
      <c r="B51" s="23" t="s">
        <v>176</v>
      </c>
      <c r="C51" s="15">
        <v>89</v>
      </c>
      <c r="D51" s="18">
        <v>1.36</v>
      </c>
      <c r="E51" s="15">
        <v>23.18</v>
      </c>
      <c r="F51" s="15">
        <v>0</v>
      </c>
      <c r="G51" s="15">
        <v>100</v>
      </c>
      <c r="H51" s="15">
        <v>800</v>
      </c>
      <c r="I51" s="15">
        <v>100</v>
      </c>
      <c r="J51" s="17">
        <v>4</v>
      </c>
      <c r="K51" s="1">
        <v>8</v>
      </c>
      <c r="L51" s="1">
        <v>11</v>
      </c>
    </row>
    <row r="52" spans="1:12" x14ac:dyDescent="0.3">
      <c r="A52" s="15" t="s">
        <v>164</v>
      </c>
      <c r="B52" s="23" t="s">
        <v>177</v>
      </c>
      <c r="C52" s="15">
        <v>94</v>
      </c>
      <c r="D52" s="18">
        <v>7.68</v>
      </c>
      <c r="E52" s="15">
        <v>26.7</v>
      </c>
      <c r="F52" s="15">
        <v>0.75</v>
      </c>
      <c r="G52" s="15">
        <v>100</v>
      </c>
      <c r="H52" s="15">
        <v>800</v>
      </c>
      <c r="I52" s="15">
        <v>100</v>
      </c>
      <c r="J52" s="17">
        <v>3</v>
      </c>
      <c r="K52" s="1">
        <v>6</v>
      </c>
      <c r="L52" s="1">
        <v>8</v>
      </c>
    </row>
    <row r="53" spans="1:12" x14ac:dyDescent="0.3">
      <c r="A53" s="15" t="s">
        <v>164</v>
      </c>
      <c r="B53" s="23" t="s">
        <v>179</v>
      </c>
      <c r="C53" s="15">
        <v>91</v>
      </c>
      <c r="D53" s="18">
        <v>1.1499999999999999</v>
      </c>
      <c r="E53" s="15">
        <v>24.4</v>
      </c>
      <c r="F53" s="15">
        <v>0</v>
      </c>
      <c r="G53" s="15">
        <v>100</v>
      </c>
      <c r="H53" s="15">
        <v>400</v>
      </c>
      <c r="I53" s="15">
        <v>95.24</v>
      </c>
      <c r="J53" s="17">
        <v>5</v>
      </c>
      <c r="K53" s="1">
        <v>8</v>
      </c>
      <c r="L53" s="1">
        <v>8</v>
      </c>
    </row>
    <row r="54" spans="1:12" x14ac:dyDescent="0.3">
      <c r="A54" s="15" t="s">
        <v>164</v>
      </c>
      <c r="B54" s="23" t="s">
        <v>179</v>
      </c>
      <c r="C54" s="15">
        <v>85</v>
      </c>
      <c r="D54" s="18">
        <v>1.3</v>
      </c>
      <c r="E54" s="15">
        <v>24.4</v>
      </c>
      <c r="F54" s="15">
        <v>0</v>
      </c>
      <c r="G54" s="15">
        <v>100</v>
      </c>
      <c r="H54" s="15">
        <v>800</v>
      </c>
      <c r="I54" s="15">
        <v>100</v>
      </c>
      <c r="J54" s="17">
        <v>5</v>
      </c>
      <c r="K54" s="1">
        <v>8</v>
      </c>
      <c r="L54" s="1">
        <v>8</v>
      </c>
    </row>
    <row r="55" spans="1:12" x14ac:dyDescent="0.3">
      <c r="A55" s="15" t="s">
        <v>164</v>
      </c>
      <c r="B55" s="23" t="s">
        <v>180</v>
      </c>
      <c r="C55" s="15">
        <v>91</v>
      </c>
      <c r="D55" s="18">
        <v>0.57999999999999996</v>
      </c>
      <c r="E55" s="15">
        <v>26.4</v>
      </c>
      <c r="F55" s="15">
        <v>0</v>
      </c>
      <c r="G55" s="15">
        <v>100</v>
      </c>
      <c r="H55" s="15">
        <v>700</v>
      </c>
      <c r="I55" s="15">
        <v>76.19</v>
      </c>
      <c r="J55" s="17">
        <v>5</v>
      </c>
      <c r="K55" s="1">
        <v>10</v>
      </c>
      <c r="L55" s="1">
        <v>10</v>
      </c>
    </row>
    <row r="56" spans="1:12" x14ac:dyDescent="0.3">
      <c r="A56" s="15" t="s">
        <v>164</v>
      </c>
      <c r="B56" s="23" t="s">
        <v>180</v>
      </c>
      <c r="C56" s="15">
        <v>91</v>
      </c>
      <c r="D56" s="18">
        <v>0.81</v>
      </c>
      <c r="E56" s="15">
        <v>23.28</v>
      </c>
      <c r="F56" s="15">
        <v>0</v>
      </c>
      <c r="G56" s="15">
        <v>100</v>
      </c>
      <c r="H56" s="15">
        <v>400</v>
      </c>
      <c r="I56" s="15">
        <v>100</v>
      </c>
      <c r="J56" s="17">
        <v>5</v>
      </c>
      <c r="K56" s="1">
        <v>5</v>
      </c>
      <c r="L56" s="1">
        <v>5</v>
      </c>
    </row>
    <row r="57" spans="1:12" x14ac:dyDescent="0.3">
      <c r="A57" s="15" t="s">
        <v>164</v>
      </c>
      <c r="B57" s="23" t="s">
        <v>181</v>
      </c>
      <c r="C57" s="15">
        <v>99</v>
      </c>
      <c r="D57" s="18">
        <v>85.6</v>
      </c>
      <c r="E57" s="15">
        <v>28.5</v>
      </c>
      <c r="F57" s="15">
        <v>1.2</v>
      </c>
      <c r="G57" s="15">
        <v>100</v>
      </c>
      <c r="H57" s="15">
        <v>700</v>
      </c>
      <c r="I57" s="15">
        <v>95.24</v>
      </c>
      <c r="J57" s="17">
        <v>3</v>
      </c>
      <c r="K57" s="1">
        <v>1</v>
      </c>
      <c r="L57" s="1">
        <v>1</v>
      </c>
    </row>
    <row r="58" spans="1:12" x14ac:dyDescent="0.3">
      <c r="A58" s="15" t="s">
        <v>164</v>
      </c>
      <c r="B58" s="23" t="s">
        <v>181</v>
      </c>
      <c r="C58" s="15">
        <v>91</v>
      </c>
      <c r="D58" s="18">
        <v>13.15</v>
      </c>
      <c r="E58" s="15">
        <v>26.13</v>
      </c>
      <c r="F58" s="15">
        <v>0</v>
      </c>
      <c r="G58" s="15">
        <v>100</v>
      </c>
      <c r="H58" s="15">
        <v>400</v>
      </c>
      <c r="I58" s="15">
        <v>95.24</v>
      </c>
      <c r="J58" s="17">
        <v>3</v>
      </c>
      <c r="K58" s="1">
        <v>3</v>
      </c>
      <c r="L58" s="1">
        <v>3</v>
      </c>
    </row>
    <row r="59" spans="1:12" x14ac:dyDescent="0.3">
      <c r="A59" s="39" t="s">
        <v>164</v>
      </c>
      <c r="B59" s="40" t="s">
        <v>182</v>
      </c>
      <c r="C59" s="39">
        <v>93</v>
      </c>
      <c r="D59" s="42">
        <v>14.5</v>
      </c>
      <c r="E59" s="39">
        <v>28.73</v>
      </c>
      <c r="F59" s="39">
        <v>0</v>
      </c>
      <c r="G59" s="39">
        <v>100</v>
      </c>
      <c r="H59" s="39">
        <v>400</v>
      </c>
      <c r="I59" s="39">
        <v>100</v>
      </c>
      <c r="J59" s="43">
        <v>3</v>
      </c>
      <c r="K59" s="44">
        <v>6</v>
      </c>
      <c r="L59" s="44">
        <v>9</v>
      </c>
    </row>
    <row r="60" spans="1:12" x14ac:dyDescent="0.3">
      <c r="A60" s="15" t="s">
        <v>164</v>
      </c>
      <c r="B60" s="23" t="s">
        <v>182</v>
      </c>
      <c r="C60" s="15">
        <v>74</v>
      </c>
      <c r="D60" s="18">
        <v>18</v>
      </c>
      <c r="E60" s="15">
        <v>28</v>
      </c>
      <c r="F60" s="15">
        <v>0</v>
      </c>
      <c r="G60" s="15">
        <v>2</v>
      </c>
      <c r="H60" s="15">
        <v>700</v>
      </c>
      <c r="I60" s="15">
        <v>100</v>
      </c>
      <c r="J60" s="17">
        <v>3</v>
      </c>
      <c r="K60" s="1">
        <v>2</v>
      </c>
      <c r="L60" s="1">
        <v>2</v>
      </c>
    </row>
    <row r="61" spans="1:12" x14ac:dyDescent="0.3">
      <c r="A61" s="15" t="s">
        <v>164</v>
      </c>
      <c r="B61" s="23" t="s">
        <v>184</v>
      </c>
      <c r="C61" s="15">
        <v>92</v>
      </c>
      <c r="D61" s="18">
        <v>97.97</v>
      </c>
      <c r="E61" s="15">
        <v>28.73</v>
      </c>
      <c r="F61" s="15">
        <v>0.97</v>
      </c>
      <c r="G61" s="15">
        <v>100</v>
      </c>
      <c r="H61" s="15">
        <v>400</v>
      </c>
      <c r="I61" s="15">
        <v>100</v>
      </c>
      <c r="J61" s="17">
        <v>2</v>
      </c>
      <c r="K61" s="1">
        <v>0</v>
      </c>
      <c r="L61" s="1">
        <v>0</v>
      </c>
    </row>
    <row r="62" spans="1:12" x14ac:dyDescent="0.3">
      <c r="A62" s="15" t="s">
        <v>164</v>
      </c>
      <c r="B62" s="23" t="s">
        <v>184</v>
      </c>
      <c r="C62" s="15">
        <v>70</v>
      </c>
      <c r="D62" s="18">
        <v>5.91</v>
      </c>
      <c r="E62" s="15">
        <v>20.5</v>
      </c>
      <c r="F62" s="15">
        <v>1.5</v>
      </c>
      <c r="G62" s="15">
        <v>2</v>
      </c>
      <c r="H62" s="15">
        <v>700</v>
      </c>
      <c r="I62" s="15">
        <v>100</v>
      </c>
      <c r="J62" s="17">
        <v>2</v>
      </c>
      <c r="K62" s="1">
        <v>3</v>
      </c>
      <c r="L62" s="1">
        <v>3</v>
      </c>
    </row>
    <row r="63" spans="1:12" x14ac:dyDescent="0.3">
      <c r="A63" s="15" t="s">
        <v>164</v>
      </c>
      <c r="B63" s="23" t="s">
        <v>183</v>
      </c>
      <c r="C63" s="15">
        <v>81</v>
      </c>
      <c r="D63" s="18">
        <v>5.23</v>
      </c>
      <c r="E63" s="15">
        <v>27.03</v>
      </c>
      <c r="F63" s="15">
        <v>0</v>
      </c>
      <c r="G63" s="15">
        <v>100</v>
      </c>
      <c r="H63" s="15">
        <v>400</v>
      </c>
      <c r="I63" s="15">
        <v>100</v>
      </c>
      <c r="J63" s="17">
        <v>3</v>
      </c>
      <c r="K63" s="1">
        <v>4</v>
      </c>
      <c r="L63" s="1">
        <v>5</v>
      </c>
    </row>
    <row r="64" spans="1:12" x14ac:dyDescent="0.3">
      <c r="A64" s="15" t="s">
        <v>164</v>
      </c>
      <c r="B64" s="23" t="s">
        <v>185</v>
      </c>
      <c r="C64" s="15">
        <v>72</v>
      </c>
      <c r="D64" s="18">
        <v>4.6399999999999997</v>
      </c>
      <c r="E64" s="15">
        <v>24.9</v>
      </c>
      <c r="F64" s="15">
        <v>3.17</v>
      </c>
      <c r="G64" s="15">
        <v>100</v>
      </c>
      <c r="H64" s="15">
        <v>400</v>
      </c>
      <c r="I64" s="15">
        <v>76.19</v>
      </c>
      <c r="J64" s="17">
        <v>1</v>
      </c>
      <c r="K64" s="1">
        <v>2</v>
      </c>
      <c r="L64" s="1">
        <v>4</v>
      </c>
    </row>
    <row r="65" spans="1:12" x14ac:dyDescent="0.3">
      <c r="A65" s="15" t="s">
        <v>164</v>
      </c>
      <c r="B65" s="23" t="s">
        <v>186</v>
      </c>
      <c r="C65" s="15">
        <v>83</v>
      </c>
      <c r="D65" s="18">
        <v>0.20499999999999999</v>
      </c>
      <c r="E65" s="15">
        <v>24.8</v>
      </c>
      <c r="F65" s="15">
        <v>0</v>
      </c>
      <c r="G65" s="15">
        <v>100</v>
      </c>
      <c r="H65" s="15">
        <v>400</v>
      </c>
      <c r="I65" s="15">
        <v>76.19</v>
      </c>
      <c r="J65" s="17">
        <v>6</v>
      </c>
      <c r="K65" s="1">
        <v>0</v>
      </c>
      <c r="L65" s="1">
        <v>0</v>
      </c>
    </row>
    <row r="66" spans="1:12" x14ac:dyDescent="0.3">
      <c r="A66" s="15" t="s">
        <v>168</v>
      </c>
      <c r="B66" s="15" t="s">
        <v>176</v>
      </c>
      <c r="C66" s="15">
        <v>92</v>
      </c>
      <c r="D66" s="18">
        <v>0.14000000000000001</v>
      </c>
      <c r="E66" s="15">
        <v>22.5</v>
      </c>
      <c r="F66" s="15">
        <v>0</v>
      </c>
      <c r="G66" s="15">
        <v>100</v>
      </c>
      <c r="H66" s="15">
        <v>400</v>
      </c>
      <c r="I66" s="15">
        <v>95.24</v>
      </c>
      <c r="J66" s="17">
        <v>4</v>
      </c>
      <c r="K66" s="1">
        <v>6</v>
      </c>
      <c r="L66" s="1">
        <v>11</v>
      </c>
    </row>
    <row r="67" spans="1:12" x14ac:dyDescent="0.3">
      <c r="A67" s="15" t="s">
        <v>168</v>
      </c>
      <c r="B67" s="15" t="s">
        <v>177</v>
      </c>
      <c r="C67" s="15">
        <v>97</v>
      </c>
      <c r="D67" s="18">
        <v>4.5999999999999996</v>
      </c>
      <c r="E67" s="15">
        <v>24.3</v>
      </c>
      <c r="F67" s="15">
        <v>0</v>
      </c>
      <c r="G67" s="15">
        <v>100</v>
      </c>
      <c r="H67" s="15">
        <v>400</v>
      </c>
      <c r="I67" s="15">
        <v>95.24</v>
      </c>
      <c r="J67" s="17">
        <v>3</v>
      </c>
      <c r="K67" s="1">
        <v>17</v>
      </c>
      <c r="L67" s="1">
        <v>24</v>
      </c>
    </row>
    <row r="68" spans="1:12" x14ac:dyDescent="0.3">
      <c r="A68" s="15" t="s">
        <v>168</v>
      </c>
      <c r="B68" s="15" t="s">
        <v>179</v>
      </c>
      <c r="C68" s="15">
        <v>99</v>
      </c>
      <c r="D68" s="18">
        <v>24.2</v>
      </c>
      <c r="E68" s="15">
        <v>26.1</v>
      </c>
      <c r="F68" s="15">
        <v>0</v>
      </c>
      <c r="G68" s="15">
        <v>35</v>
      </c>
      <c r="H68" s="15">
        <v>400</v>
      </c>
      <c r="I68" s="15">
        <v>100</v>
      </c>
      <c r="J68" s="17">
        <v>5</v>
      </c>
      <c r="K68" s="1">
        <v>11</v>
      </c>
      <c r="L68" s="1">
        <v>11</v>
      </c>
    </row>
    <row r="69" spans="1:12" x14ac:dyDescent="0.3">
      <c r="A69" s="15" t="s">
        <v>168</v>
      </c>
      <c r="B69" s="15" t="s">
        <v>179</v>
      </c>
      <c r="C69" s="15">
        <v>84</v>
      </c>
      <c r="D69" s="18">
        <v>0.17</v>
      </c>
      <c r="E69" s="15">
        <v>24</v>
      </c>
      <c r="F69" s="15">
        <v>0</v>
      </c>
      <c r="G69" s="15">
        <v>100</v>
      </c>
      <c r="H69" s="15">
        <v>400</v>
      </c>
      <c r="I69" s="15">
        <v>52.38</v>
      </c>
      <c r="J69" s="17">
        <v>5</v>
      </c>
      <c r="K69" s="1">
        <v>2</v>
      </c>
      <c r="L69" s="1">
        <v>2</v>
      </c>
    </row>
    <row r="70" spans="1:12" x14ac:dyDescent="0.3">
      <c r="A70" s="15" t="s">
        <v>168</v>
      </c>
      <c r="B70" s="15" t="s">
        <v>180</v>
      </c>
      <c r="C70" s="15">
        <v>97</v>
      </c>
      <c r="D70" s="18">
        <v>1.08</v>
      </c>
      <c r="E70" s="15">
        <v>25.4</v>
      </c>
      <c r="F70" s="15">
        <v>0</v>
      </c>
      <c r="G70" s="15">
        <v>65</v>
      </c>
      <c r="H70" s="15">
        <v>400</v>
      </c>
      <c r="I70" s="15">
        <v>100</v>
      </c>
      <c r="J70" s="17">
        <v>5</v>
      </c>
      <c r="K70" s="1">
        <v>9</v>
      </c>
      <c r="L70" s="1">
        <v>9</v>
      </c>
    </row>
    <row r="71" spans="1:12" x14ac:dyDescent="0.3">
      <c r="A71" s="15" t="s">
        <v>168</v>
      </c>
      <c r="B71" s="1" t="s">
        <v>180</v>
      </c>
      <c r="C71" s="1">
        <v>80</v>
      </c>
      <c r="D71" s="46">
        <v>0.04</v>
      </c>
      <c r="E71" s="1">
        <v>25.3</v>
      </c>
      <c r="F71" s="1">
        <v>0</v>
      </c>
      <c r="G71" s="1">
        <v>100</v>
      </c>
      <c r="H71" s="1">
        <v>400</v>
      </c>
      <c r="I71" s="1">
        <v>52.38</v>
      </c>
      <c r="J71" s="2">
        <v>5</v>
      </c>
      <c r="K71" s="1">
        <v>0</v>
      </c>
      <c r="L71" s="1">
        <v>0</v>
      </c>
    </row>
    <row r="72" spans="1:12" x14ac:dyDescent="0.3">
      <c r="A72" s="15" t="s">
        <v>168</v>
      </c>
      <c r="B72" s="1" t="s">
        <v>181</v>
      </c>
      <c r="C72" s="1">
        <v>87</v>
      </c>
      <c r="D72" s="46">
        <v>9.8000000000000007</v>
      </c>
      <c r="E72" s="1">
        <v>34.5</v>
      </c>
      <c r="F72" s="1">
        <v>0</v>
      </c>
      <c r="G72" s="1">
        <v>0</v>
      </c>
      <c r="H72" s="1">
        <v>400</v>
      </c>
      <c r="I72" s="1">
        <v>100</v>
      </c>
      <c r="J72" s="2">
        <v>3</v>
      </c>
      <c r="K72" s="1">
        <v>3</v>
      </c>
      <c r="L72" s="1">
        <v>3</v>
      </c>
    </row>
    <row r="73" spans="1:12" x14ac:dyDescent="0.3">
      <c r="A73" s="15" t="s">
        <v>168</v>
      </c>
      <c r="B73" s="1" t="s">
        <v>181</v>
      </c>
      <c r="C73" s="1">
        <v>80</v>
      </c>
      <c r="D73" s="46">
        <v>1.5</v>
      </c>
      <c r="E73" s="1">
        <v>26.9</v>
      </c>
      <c r="F73" s="1">
        <v>0</v>
      </c>
      <c r="G73" s="1">
        <v>100</v>
      </c>
      <c r="H73" s="1">
        <v>400</v>
      </c>
      <c r="I73" s="1">
        <v>47.62</v>
      </c>
      <c r="J73" s="2">
        <v>3</v>
      </c>
      <c r="K73" s="1">
        <v>3</v>
      </c>
      <c r="L73" s="1">
        <v>4</v>
      </c>
    </row>
    <row r="74" spans="1:12" x14ac:dyDescent="0.3">
      <c r="A74" s="15" t="s">
        <v>168</v>
      </c>
      <c r="B74" s="1" t="s">
        <v>182</v>
      </c>
      <c r="C74" s="1">
        <v>81</v>
      </c>
      <c r="D74" s="46">
        <v>36.6</v>
      </c>
      <c r="E74" s="1">
        <v>31.4</v>
      </c>
      <c r="F74" s="1">
        <v>0.8</v>
      </c>
      <c r="G74" s="1">
        <v>96</v>
      </c>
      <c r="H74" s="1">
        <v>400</v>
      </c>
      <c r="I74" s="1">
        <v>100</v>
      </c>
      <c r="J74" s="2">
        <v>3</v>
      </c>
      <c r="K74" s="1">
        <v>7</v>
      </c>
      <c r="L74" s="1">
        <v>7</v>
      </c>
    </row>
    <row r="75" spans="1:12" x14ac:dyDescent="0.3">
      <c r="A75" s="15" t="s">
        <v>168</v>
      </c>
      <c r="B75" s="1" t="s">
        <v>182</v>
      </c>
      <c r="C75" s="1">
        <v>79</v>
      </c>
      <c r="D75" s="46">
        <v>13.35</v>
      </c>
      <c r="E75" s="1">
        <v>29.2</v>
      </c>
      <c r="F75" s="1">
        <v>0</v>
      </c>
      <c r="G75" s="1">
        <v>100</v>
      </c>
      <c r="H75" s="1">
        <v>400</v>
      </c>
      <c r="I75" s="1">
        <v>100</v>
      </c>
      <c r="J75" s="2">
        <v>3</v>
      </c>
      <c r="K75" s="1">
        <v>2</v>
      </c>
      <c r="L75" s="1">
        <v>2</v>
      </c>
    </row>
    <row r="76" spans="1:12" x14ac:dyDescent="0.3">
      <c r="A76" s="15" t="s">
        <v>168</v>
      </c>
      <c r="B76" s="1" t="s">
        <v>184</v>
      </c>
      <c r="C76" s="1">
        <v>92</v>
      </c>
      <c r="D76" s="46">
        <v>15.6</v>
      </c>
      <c r="E76" s="1">
        <v>23.5</v>
      </c>
      <c r="F76" s="1">
        <v>0.7</v>
      </c>
      <c r="G76" s="1">
        <v>2</v>
      </c>
      <c r="H76" s="1">
        <v>400</v>
      </c>
      <c r="I76" s="1">
        <v>100</v>
      </c>
      <c r="J76" s="2">
        <v>2</v>
      </c>
      <c r="K76" s="1">
        <v>1</v>
      </c>
      <c r="L76" s="1">
        <v>1</v>
      </c>
    </row>
    <row r="77" spans="1:12" x14ac:dyDescent="0.3">
      <c r="A77" s="15" t="s">
        <v>168</v>
      </c>
      <c r="B77" s="1" t="s">
        <v>184</v>
      </c>
      <c r="C77" s="1">
        <v>79</v>
      </c>
      <c r="D77" s="46">
        <v>7.6</v>
      </c>
      <c r="E77" s="1">
        <v>25.4</v>
      </c>
      <c r="F77" s="1">
        <v>0</v>
      </c>
      <c r="G77" s="1">
        <v>100</v>
      </c>
      <c r="H77" s="1">
        <v>400</v>
      </c>
      <c r="I77" s="1">
        <v>100</v>
      </c>
      <c r="J77" s="2">
        <v>2</v>
      </c>
      <c r="K77" s="1">
        <v>2</v>
      </c>
      <c r="L77" s="1">
        <v>5</v>
      </c>
    </row>
    <row r="78" spans="1:12" x14ac:dyDescent="0.3">
      <c r="A78" s="15" t="s">
        <v>168</v>
      </c>
      <c r="B78" s="1" t="s">
        <v>183</v>
      </c>
      <c r="C78" s="1">
        <v>89</v>
      </c>
      <c r="D78" s="46">
        <v>1</v>
      </c>
      <c r="E78" s="1">
        <v>22.2</v>
      </c>
      <c r="F78" s="1">
        <v>0</v>
      </c>
      <c r="G78" s="1">
        <v>100</v>
      </c>
      <c r="H78" s="1">
        <v>400</v>
      </c>
      <c r="I78" s="1">
        <v>100</v>
      </c>
      <c r="J78" s="2">
        <v>3</v>
      </c>
      <c r="K78" s="1">
        <v>4</v>
      </c>
      <c r="L78" s="1">
        <v>4</v>
      </c>
    </row>
    <row r="79" spans="1:12" x14ac:dyDescent="0.3">
      <c r="A79" s="15" t="s">
        <v>168</v>
      </c>
      <c r="B79" s="1" t="s">
        <v>183</v>
      </c>
      <c r="C79" s="1">
        <v>72</v>
      </c>
      <c r="D79" s="1">
        <v>0.75</v>
      </c>
      <c r="E79" s="1">
        <v>25</v>
      </c>
      <c r="F79" s="1">
        <v>0.9</v>
      </c>
      <c r="G79" s="1">
        <v>100</v>
      </c>
      <c r="H79" s="1">
        <v>400</v>
      </c>
      <c r="I79" s="1">
        <v>100</v>
      </c>
      <c r="J79" s="2">
        <v>3</v>
      </c>
      <c r="K79" s="1">
        <v>2</v>
      </c>
      <c r="L79" s="1">
        <v>3</v>
      </c>
    </row>
    <row r="80" spans="1:12" x14ac:dyDescent="0.3">
      <c r="A80" s="15" t="s">
        <v>168</v>
      </c>
      <c r="B80" s="1" t="s">
        <v>185</v>
      </c>
      <c r="C80" s="1">
        <v>60</v>
      </c>
      <c r="D80" s="46">
        <v>44</v>
      </c>
      <c r="E80" s="1">
        <v>32.6</v>
      </c>
      <c r="F80" s="1">
        <v>0</v>
      </c>
      <c r="G80" s="1">
        <v>85</v>
      </c>
      <c r="H80" s="1">
        <v>400</v>
      </c>
      <c r="I80" s="1">
        <v>100</v>
      </c>
      <c r="J80" s="2">
        <v>1</v>
      </c>
      <c r="K80" s="1">
        <v>2</v>
      </c>
      <c r="L80" s="1">
        <v>4</v>
      </c>
    </row>
    <row r="81" spans="1:12" x14ac:dyDescent="0.3">
      <c r="A81" s="15" t="s">
        <v>168</v>
      </c>
      <c r="B81" s="1" t="s">
        <v>185</v>
      </c>
      <c r="C81" s="1">
        <v>79</v>
      </c>
      <c r="D81" s="46">
        <v>39.200000000000003</v>
      </c>
      <c r="E81" s="1">
        <v>31.4</v>
      </c>
      <c r="F81" s="1">
        <v>0</v>
      </c>
      <c r="G81" s="1">
        <v>100</v>
      </c>
      <c r="H81" s="1">
        <v>400</v>
      </c>
      <c r="I81" s="1">
        <v>100</v>
      </c>
      <c r="J81" s="2">
        <v>1</v>
      </c>
      <c r="K81" s="1">
        <v>0</v>
      </c>
      <c r="L81" s="1">
        <v>0</v>
      </c>
    </row>
    <row r="82" spans="1:12" x14ac:dyDescent="0.3">
      <c r="A82" s="15" t="s">
        <v>168</v>
      </c>
      <c r="B82" s="1" t="s">
        <v>186</v>
      </c>
      <c r="C82" s="1">
        <v>76</v>
      </c>
      <c r="D82" s="46">
        <v>1.53</v>
      </c>
      <c r="E82" s="1">
        <v>25.4</v>
      </c>
      <c r="F82" s="1">
        <v>0</v>
      </c>
      <c r="G82" s="1">
        <v>100</v>
      </c>
      <c r="H82" s="1">
        <v>400</v>
      </c>
      <c r="I82" s="1">
        <v>76.19</v>
      </c>
      <c r="J82" s="2">
        <v>6</v>
      </c>
      <c r="K82" s="1">
        <v>4</v>
      </c>
      <c r="L82" s="1">
        <v>5</v>
      </c>
    </row>
    <row r="83" spans="1:12" x14ac:dyDescent="0.3">
      <c r="A83" s="1" t="s">
        <v>172</v>
      </c>
      <c r="B83" s="1" t="s">
        <v>179</v>
      </c>
      <c r="C83" s="1">
        <v>99</v>
      </c>
      <c r="D83" s="46">
        <v>0.28000000000000003</v>
      </c>
      <c r="E83" s="1">
        <v>23.5</v>
      </c>
      <c r="F83" s="1">
        <v>0</v>
      </c>
      <c r="G83" s="1">
        <v>100</v>
      </c>
      <c r="H83" s="1">
        <v>550</v>
      </c>
      <c r="I83" s="1">
        <v>100</v>
      </c>
      <c r="J83" s="2">
        <v>5</v>
      </c>
      <c r="K83" s="1">
        <v>7</v>
      </c>
      <c r="L83" s="1">
        <v>10</v>
      </c>
    </row>
    <row r="84" spans="1:12" x14ac:dyDescent="0.3">
      <c r="A84" s="1" t="s">
        <v>172</v>
      </c>
      <c r="B84" s="1" t="s">
        <v>181</v>
      </c>
      <c r="C84" s="1">
        <v>98</v>
      </c>
      <c r="D84" s="46">
        <v>2.2799999999999998</v>
      </c>
      <c r="E84" s="1">
        <v>23.7</v>
      </c>
      <c r="F84" s="1">
        <v>0</v>
      </c>
      <c r="G84" s="1">
        <v>100</v>
      </c>
      <c r="H84" s="1">
        <v>550</v>
      </c>
      <c r="I84" s="1">
        <v>100</v>
      </c>
      <c r="J84" s="2">
        <v>3</v>
      </c>
      <c r="K84" s="1">
        <v>4</v>
      </c>
      <c r="L84" s="1">
        <v>4</v>
      </c>
    </row>
    <row r="85" spans="1:12" x14ac:dyDescent="0.3">
      <c r="A85" s="1" t="s">
        <v>172</v>
      </c>
      <c r="B85" s="1" t="s">
        <v>182</v>
      </c>
      <c r="C85" s="1">
        <v>99</v>
      </c>
      <c r="D85" s="46">
        <v>7.2350000000000003</v>
      </c>
      <c r="E85" s="1">
        <v>24.6</v>
      </c>
      <c r="F85" s="1">
        <v>1.4</v>
      </c>
      <c r="G85" s="1">
        <v>100</v>
      </c>
      <c r="H85" s="1">
        <v>550</v>
      </c>
      <c r="I85" s="1">
        <v>100</v>
      </c>
      <c r="J85" s="2">
        <v>3</v>
      </c>
      <c r="K85" s="1">
        <v>10</v>
      </c>
      <c r="L85" s="1">
        <v>16</v>
      </c>
    </row>
    <row r="86" spans="1:12" x14ac:dyDescent="0.3">
      <c r="A86" s="1" t="s">
        <v>172</v>
      </c>
      <c r="B86" s="1" t="s">
        <v>184</v>
      </c>
      <c r="C86" s="1">
        <v>78</v>
      </c>
      <c r="D86" s="46">
        <v>17.850000000000001</v>
      </c>
      <c r="E86" s="1">
        <v>26.8</v>
      </c>
      <c r="F86" s="1">
        <v>0.7</v>
      </c>
      <c r="G86" s="1">
        <v>100</v>
      </c>
      <c r="H86" s="1">
        <v>550</v>
      </c>
      <c r="I86" s="1">
        <v>100</v>
      </c>
      <c r="J86" s="2">
        <v>2</v>
      </c>
      <c r="K86" s="1">
        <v>3</v>
      </c>
      <c r="L86" s="1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I1054"/>
  <sheetViews>
    <sheetView topLeftCell="A30" zoomScale="80" workbookViewId="0">
      <selection activeCell="L44" sqref="L44"/>
    </sheetView>
  </sheetViews>
  <sheetFormatPr defaultColWidth="12.77734375" defaultRowHeight="14.4" x14ac:dyDescent="0.3"/>
  <cols>
    <col min="1" max="1" width="7.21875" style="1" customWidth="1"/>
    <col min="2" max="2" width="14.77734375" style="1" customWidth="1"/>
    <col min="3" max="3" width="7.77734375" style="1" customWidth="1"/>
    <col min="4" max="4" width="13" style="1" customWidth="1"/>
    <col min="5" max="5" width="10.77734375" style="2" customWidth="1"/>
    <col min="6" max="7" width="3.21875" style="1" customWidth="1"/>
    <col min="8" max="8" width="6.44140625" style="1" customWidth="1"/>
    <col min="9" max="9" width="8" style="1" customWidth="1"/>
    <col min="10" max="10" width="6.21875" style="1" customWidth="1"/>
    <col min="11" max="11" width="6" style="1" customWidth="1"/>
    <col min="12" max="12" width="10" style="1" customWidth="1"/>
    <col min="13" max="13" width="7.5546875" style="1" customWidth="1"/>
    <col min="14" max="14" width="11.44140625" style="2" customWidth="1"/>
    <col min="15" max="15" width="4.5546875" style="1" customWidth="1"/>
    <col min="16" max="16" width="5.44140625" style="1" customWidth="1"/>
    <col min="17" max="17" width="5.77734375" style="1" customWidth="1"/>
    <col min="18" max="19" width="4.77734375" style="1" customWidth="1"/>
    <col min="20" max="21" width="4.21875" style="1" customWidth="1"/>
    <col min="22" max="22" width="4.5546875" style="1" customWidth="1"/>
    <col min="23" max="23" width="4.77734375" style="1" customWidth="1"/>
    <col min="24" max="24" width="4.21875" style="1" customWidth="1"/>
    <col min="25" max="26" width="4.44140625" style="1" customWidth="1"/>
    <col min="27" max="27" width="4.21875" style="1" customWidth="1"/>
    <col min="28" max="28" width="5" style="1" customWidth="1"/>
    <col min="29" max="30" width="3.21875" style="1" customWidth="1"/>
    <col min="31" max="32" width="3.5546875" style="1" customWidth="1"/>
    <col min="33" max="33" width="4.21875" style="1" customWidth="1"/>
    <col min="34" max="34" width="5.21875" style="1" customWidth="1"/>
    <col min="35" max="35" width="3.77734375" style="1" customWidth="1"/>
    <col min="36" max="36" width="4.77734375" style="1" customWidth="1"/>
    <col min="37" max="37" width="3.44140625" style="1" customWidth="1"/>
    <col min="38" max="38" width="3.21875" style="1" customWidth="1"/>
    <col min="39" max="39" width="3.77734375" style="1" customWidth="1"/>
    <col min="40" max="40" width="3.21875" style="1" customWidth="1"/>
    <col min="41" max="41" width="4.77734375" style="1" customWidth="1"/>
    <col min="42" max="42" width="4.21875" style="1" customWidth="1"/>
    <col min="43" max="43" width="3.77734375" style="1" customWidth="1"/>
    <col min="44" max="45" width="3.21875" style="1" customWidth="1"/>
    <col min="46" max="46" width="4.77734375" style="1" customWidth="1"/>
    <col min="47" max="47" width="4.21875" style="1" customWidth="1"/>
    <col min="48" max="48" width="3.21875" style="1" customWidth="1"/>
    <col min="49" max="49" width="4.21875" style="1" customWidth="1"/>
    <col min="50" max="51" width="3.21875" style="1" customWidth="1"/>
    <col min="52" max="52" width="3.77734375" style="1" customWidth="1"/>
    <col min="53" max="53" width="3.21875" style="1" customWidth="1"/>
    <col min="54" max="54" width="4.77734375" style="1" customWidth="1"/>
    <col min="55" max="55" width="5.44140625" style="1" customWidth="1"/>
    <col min="56" max="57" width="5.21875" style="1" customWidth="1"/>
    <col min="58" max="58" width="3.77734375" style="1" customWidth="1"/>
    <col min="59" max="61" width="4.77734375" style="1" customWidth="1"/>
    <col min="62" max="63" width="3" style="1" customWidth="1"/>
    <col min="64" max="64" width="3.21875" style="1" customWidth="1"/>
    <col min="65" max="66" width="4.77734375" style="1" customWidth="1"/>
    <col min="67" max="68" width="3.77734375" style="1" customWidth="1"/>
    <col min="69" max="69" width="3.21875" style="1" customWidth="1"/>
    <col min="70" max="70" width="4.77734375" style="1" customWidth="1"/>
    <col min="71" max="72" width="3.21875" style="1" customWidth="1"/>
    <col min="73" max="73" width="4.21875" style="1" customWidth="1"/>
    <col min="74" max="74" width="3.21875" style="1" customWidth="1"/>
    <col min="75" max="75" width="4.21875" style="1" customWidth="1"/>
    <col min="76" max="76" width="3.21875" style="1" customWidth="1"/>
    <col min="77" max="77" width="6.21875" style="1" customWidth="1"/>
    <col min="78" max="78" width="4.77734375" style="1" customWidth="1"/>
    <col min="79" max="79" width="5.21875" style="1" customWidth="1"/>
    <col min="80" max="81" width="4.5546875" style="1" customWidth="1"/>
    <col min="82" max="84" width="4.77734375" style="1" customWidth="1"/>
    <col min="85" max="85" width="4.5546875" style="1" customWidth="1"/>
    <col min="86" max="86" width="3.5546875" style="1" customWidth="1"/>
    <col min="87" max="87" width="3.44140625" style="1" customWidth="1"/>
    <col min="88" max="88" width="5.77734375" style="1" customWidth="1"/>
    <col min="89" max="89" width="4.21875" style="1" customWidth="1"/>
    <col min="90" max="90" width="5.21875" style="1" customWidth="1"/>
    <col min="91" max="93" width="4.21875" style="1" customWidth="1"/>
    <col min="94" max="94" width="4.77734375" style="1" customWidth="1"/>
    <col min="95" max="95" width="4.5546875" style="1" customWidth="1"/>
    <col min="96" max="97" width="3.21875" style="1" customWidth="1"/>
    <col min="98" max="100" width="4.21875" style="1" customWidth="1"/>
    <col min="101" max="101" width="3.77734375" style="1" customWidth="1"/>
    <col min="102" max="103" width="3.21875" style="1" customWidth="1"/>
    <col min="104" max="104" width="3.77734375" style="1" customWidth="1"/>
    <col min="105" max="105" width="4" style="1" customWidth="1"/>
    <col min="106" max="106" width="4.21875" style="1" customWidth="1"/>
    <col min="107" max="107" width="3.21875" style="1" customWidth="1"/>
    <col min="108" max="108" width="4.21875" style="1" customWidth="1"/>
    <col min="109" max="109" width="3.77734375" style="1" customWidth="1"/>
    <col min="110" max="110" width="4.21875" style="1" customWidth="1"/>
    <col min="111" max="111" width="4.77734375" style="1" customWidth="1"/>
    <col min="112" max="16384" width="12.77734375" style="1"/>
  </cols>
  <sheetData>
    <row r="1" spans="1:113" ht="15" hidden="1" customHeight="1" x14ac:dyDescent="0.3">
      <c r="N1" s="3"/>
      <c r="AC1" s="4" t="s">
        <v>0</v>
      </c>
      <c r="BL1" s="4" t="s">
        <v>1</v>
      </c>
      <c r="BT1" s="4" t="s">
        <v>0</v>
      </c>
    </row>
    <row r="2" spans="1:113" ht="15" customHeight="1" x14ac:dyDescent="0.3">
      <c r="N2" s="3" t="s">
        <v>2</v>
      </c>
      <c r="AC2" s="4" t="s">
        <v>3</v>
      </c>
      <c r="AY2" s="1" t="s">
        <v>4</v>
      </c>
      <c r="BL2" s="4" t="s">
        <v>5</v>
      </c>
      <c r="BT2" s="4" t="s">
        <v>3</v>
      </c>
    </row>
    <row r="3" spans="1:113" ht="15" customHeight="1" x14ac:dyDescent="0.3">
      <c r="A3" s="4"/>
      <c r="B3" s="4"/>
      <c r="C3" s="4"/>
      <c r="D3" s="4"/>
      <c r="E3" s="5"/>
      <c r="F3" s="4"/>
      <c r="G3" s="4"/>
      <c r="H3" s="4"/>
      <c r="I3" s="4"/>
      <c r="J3" s="4"/>
      <c r="K3" s="4"/>
      <c r="L3" s="4"/>
      <c r="M3" s="4"/>
      <c r="N3" s="3" t="s">
        <v>6</v>
      </c>
      <c r="O3" s="4">
        <v>1</v>
      </c>
      <c r="P3" s="4">
        <v>2</v>
      </c>
      <c r="Q3" s="4">
        <v>3</v>
      </c>
      <c r="R3" s="4">
        <v>4</v>
      </c>
      <c r="S3" s="4">
        <v>5</v>
      </c>
      <c r="T3" s="4">
        <v>6</v>
      </c>
      <c r="U3" s="4">
        <v>7</v>
      </c>
      <c r="V3" s="4">
        <v>8</v>
      </c>
      <c r="W3" s="4">
        <v>9</v>
      </c>
      <c r="X3" s="4">
        <v>10</v>
      </c>
      <c r="Y3" s="4">
        <v>11</v>
      </c>
      <c r="Z3" s="4">
        <v>12</v>
      </c>
      <c r="AA3" s="4">
        <v>13</v>
      </c>
      <c r="AB3" s="4">
        <v>14</v>
      </c>
      <c r="AC3" s="4">
        <v>15</v>
      </c>
      <c r="AD3" s="4">
        <v>16</v>
      </c>
      <c r="AE3" s="4">
        <v>17</v>
      </c>
      <c r="AF3" s="4"/>
      <c r="AG3" s="4">
        <v>18</v>
      </c>
      <c r="AH3" s="4">
        <v>19</v>
      </c>
      <c r="AI3" s="4">
        <v>20</v>
      </c>
      <c r="AJ3" s="4">
        <v>21</v>
      </c>
      <c r="AK3" s="4">
        <v>22</v>
      </c>
      <c r="AL3" s="4">
        <v>23</v>
      </c>
      <c r="AM3" s="4">
        <v>24</v>
      </c>
      <c r="AN3" s="4">
        <v>25</v>
      </c>
      <c r="AO3" s="4">
        <v>26</v>
      </c>
      <c r="AP3" s="4">
        <v>27</v>
      </c>
      <c r="AQ3" s="4">
        <v>28</v>
      </c>
      <c r="AR3" s="4">
        <v>29</v>
      </c>
      <c r="AS3" s="4">
        <v>30</v>
      </c>
      <c r="AT3" s="4">
        <v>31</v>
      </c>
      <c r="AU3" s="4">
        <v>32</v>
      </c>
      <c r="AV3" s="4">
        <v>33</v>
      </c>
      <c r="AW3" s="4">
        <v>34</v>
      </c>
      <c r="AX3" s="4">
        <v>35</v>
      </c>
      <c r="AY3" s="4">
        <v>36</v>
      </c>
      <c r="AZ3" s="4">
        <v>37</v>
      </c>
      <c r="BA3" s="4">
        <v>38</v>
      </c>
      <c r="BB3" s="4">
        <v>39</v>
      </c>
      <c r="BC3" s="4">
        <v>40</v>
      </c>
      <c r="BD3" s="4">
        <v>41</v>
      </c>
      <c r="BE3" s="4">
        <v>42</v>
      </c>
      <c r="BF3" s="4">
        <v>43</v>
      </c>
      <c r="BG3" s="4">
        <v>44</v>
      </c>
      <c r="BH3" s="4">
        <v>45</v>
      </c>
      <c r="BI3" s="4">
        <v>46</v>
      </c>
      <c r="BJ3" s="4">
        <v>47</v>
      </c>
      <c r="BK3" s="4">
        <v>48</v>
      </c>
      <c r="BL3" s="4">
        <v>49</v>
      </c>
      <c r="BM3" s="4">
        <v>50</v>
      </c>
      <c r="BN3" s="4">
        <v>51</v>
      </c>
      <c r="BO3" s="4">
        <v>52</v>
      </c>
      <c r="BP3" s="4">
        <v>53</v>
      </c>
      <c r="BQ3" s="4">
        <v>54</v>
      </c>
      <c r="BR3" s="4">
        <v>55</v>
      </c>
      <c r="BS3" s="4">
        <v>56</v>
      </c>
      <c r="BT3" s="4">
        <v>57</v>
      </c>
      <c r="BU3" s="4">
        <v>58</v>
      </c>
      <c r="BV3" s="4">
        <v>59</v>
      </c>
      <c r="BW3" s="4">
        <v>60</v>
      </c>
      <c r="BX3" s="4">
        <v>61</v>
      </c>
      <c r="BY3" s="4">
        <v>62</v>
      </c>
      <c r="BZ3" s="4">
        <v>63</v>
      </c>
      <c r="CA3" s="4">
        <v>64</v>
      </c>
      <c r="CB3" s="4">
        <v>65</v>
      </c>
      <c r="CC3" s="4">
        <v>66</v>
      </c>
      <c r="CD3" s="4">
        <v>67</v>
      </c>
      <c r="CE3" s="4">
        <v>68</v>
      </c>
      <c r="CF3" s="4">
        <v>69</v>
      </c>
      <c r="CG3" s="4">
        <v>70</v>
      </c>
      <c r="CH3" s="4">
        <v>71</v>
      </c>
      <c r="CI3" s="4">
        <v>72</v>
      </c>
      <c r="CJ3" s="4">
        <v>73</v>
      </c>
      <c r="CK3" s="4">
        <v>74</v>
      </c>
      <c r="CL3" s="4">
        <v>75</v>
      </c>
      <c r="CM3" s="4">
        <v>76</v>
      </c>
      <c r="CN3" s="4">
        <v>77</v>
      </c>
      <c r="CO3" s="4">
        <v>78</v>
      </c>
      <c r="CP3" s="4">
        <v>79</v>
      </c>
      <c r="CQ3" s="4">
        <v>80</v>
      </c>
      <c r="CR3" s="4">
        <v>81</v>
      </c>
      <c r="CS3" s="4">
        <v>82</v>
      </c>
      <c r="CT3" s="4">
        <v>83</v>
      </c>
      <c r="CU3" s="4">
        <v>84</v>
      </c>
      <c r="CV3" s="4">
        <v>85</v>
      </c>
      <c r="CW3" s="4">
        <v>86</v>
      </c>
      <c r="CX3" s="4">
        <v>87</v>
      </c>
      <c r="CY3" s="4"/>
      <c r="CZ3" s="4">
        <v>88</v>
      </c>
      <c r="DA3" s="4">
        <v>89</v>
      </c>
      <c r="DB3" s="4">
        <v>90</v>
      </c>
      <c r="DC3" s="4">
        <v>91</v>
      </c>
      <c r="DD3" s="4">
        <v>92</v>
      </c>
      <c r="DE3" s="4">
        <v>93</v>
      </c>
      <c r="DF3" s="4">
        <v>94</v>
      </c>
      <c r="DG3" s="4">
        <v>95</v>
      </c>
    </row>
    <row r="4" spans="1:113" ht="234.6" x14ac:dyDescent="0.3">
      <c r="A4" s="6" t="s">
        <v>7</v>
      </c>
      <c r="B4" s="6" t="s">
        <v>8</v>
      </c>
      <c r="C4" s="7" t="s">
        <v>9</v>
      </c>
      <c r="D4" s="7" t="s">
        <v>10</v>
      </c>
      <c r="E4" s="7" t="s">
        <v>11</v>
      </c>
      <c r="F4" s="7" t="s">
        <v>12</v>
      </c>
      <c r="G4" s="7" t="s">
        <v>13</v>
      </c>
      <c r="H4" s="7" t="s">
        <v>14</v>
      </c>
      <c r="I4" s="9" t="s">
        <v>15</v>
      </c>
      <c r="J4" s="7" t="s">
        <v>16</v>
      </c>
      <c r="K4" s="7" t="s">
        <v>17</v>
      </c>
      <c r="L4" s="7" t="s">
        <v>18</v>
      </c>
      <c r="M4" s="7" t="s">
        <v>19</v>
      </c>
      <c r="N4" s="8" t="s">
        <v>21</v>
      </c>
      <c r="O4" s="10" t="s">
        <v>22</v>
      </c>
      <c r="P4" s="10" t="s">
        <v>23</v>
      </c>
      <c r="Q4" s="10" t="s">
        <v>24</v>
      </c>
      <c r="R4" s="10" t="s">
        <v>25</v>
      </c>
      <c r="S4" s="10" t="s">
        <v>26</v>
      </c>
      <c r="T4" s="10" t="s">
        <v>27</v>
      </c>
      <c r="U4" s="10" t="s">
        <v>28</v>
      </c>
      <c r="V4" s="10" t="s">
        <v>29</v>
      </c>
      <c r="W4" s="10" t="s">
        <v>30</v>
      </c>
      <c r="X4" s="10" t="s">
        <v>31</v>
      </c>
      <c r="Y4" s="10" t="s">
        <v>32</v>
      </c>
      <c r="Z4" s="10" t="s">
        <v>33</v>
      </c>
      <c r="AA4" s="10" t="s">
        <v>34</v>
      </c>
      <c r="AB4" s="10" t="s">
        <v>35</v>
      </c>
      <c r="AC4" s="11" t="s">
        <v>36</v>
      </c>
      <c r="AD4" s="10" t="s">
        <v>37</v>
      </c>
      <c r="AE4" s="10" t="s">
        <v>38</v>
      </c>
      <c r="AF4" s="10" t="s">
        <v>39</v>
      </c>
      <c r="AG4" s="10" t="s">
        <v>40</v>
      </c>
      <c r="AH4" s="10" t="s">
        <v>41</v>
      </c>
      <c r="AI4" s="10" t="s">
        <v>42</v>
      </c>
      <c r="AJ4" s="10" t="s">
        <v>43</v>
      </c>
      <c r="AK4" s="10" t="s">
        <v>44</v>
      </c>
      <c r="AL4" s="12" t="s">
        <v>45</v>
      </c>
      <c r="AM4" s="10" t="s">
        <v>46</v>
      </c>
      <c r="AN4" s="10" t="s">
        <v>47</v>
      </c>
      <c r="AO4" s="10" t="s">
        <v>48</v>
      </c>
      <c r="AP4" s="10" t="s">
        <v>49</v>
      </c>
      <c r="AQ4" s="10" t="s">
        <v>50</v>
      </c>
      <c r="AR4" s="12" t="s">
        <v>51</v>
      </c>
      <c r="AS4" s="12" t="s">
        <v>52</v>
      </c>
      <c r="AT4" s="10" t="s">
        <v>53</v>
      </c>
      <c r="AU4" s="10" t="s">
        <v>54</v>
      </c>
      <c r="AV4" s="12" t="s">
        <v>55</v>
      </c>
      <c r="AW4" s="10" t="s">
        <v>56</v>
      </c>
      <c r="AX4" s="11" t="s">
        <v>57</v>
      </c>
      <c r="AY4" s="11" t="s">
        <v>58</v>
      </c>
      <c r="AZ4" s="10" t="s">
        <v>59</v>
      </c>
      <c r="BA4" s="10" t="s">
        <v>60</v>
      </c>
      <c r="BB4" s="10" t="s">
        <v>61</v>
      </c>
      <c r="BC4" s="10" t="s">
        <v>62</v>
      </c>
      <c r="BD4" s="10" t="s">
        <v>63</v>
      </c>
      <c r="BE4" s="10" t="s">
        <v>64</v>
      </c>
      <c r="BF4" s="10" t="s">
        <v>65</v>
      </c>
      <c r="BG4" s="10" t="s">
        <v>66</v>
      </c>
      <c r="BH4" s="10" t="s">
        <v>67</v>
      </c>
      <c r="BI4" s="10" t="s">
        <v>68</v>
      </c>
      <c r="BJ4" s="10" t="s">
        <v>69</v>
      </c>
      <c r="BK4" s="10" t="s">
        <v>70</v>
      </c>
      <c r="BL4" s="11" t="s">
        <v>71</v>
      </c>
      <c r="BM4" s="10" t="s">
        <v>72</v>
      </c>
      <c r="BN4" s="10" t="s">
        <v>73</v>
      </c>
      <c r="BO4" s="10" t="s">
        <v>74</v>
      </c>
      <c r="BP4" s="10" t="s">
        <v>75</v>
      </c>
      <c r="BQ4" s="11" t="s">
        <v>76</v>
      </c>
      <c r="BR4" s="10" t="s">
        <v>77</v>
      </c>
      <c r="BS4" s="11" t="s">
        <v>78</v>
      </c>
      <c r="BT4" s="11" t="s">
        <v>79</v>
      </c>
      <c r="BU4" s="10" t="s">
        <v>80</v>
      </c>
      <c r="BV4" s="13" t="s">
        <v>81</v>
      </c>
      <c r="BW4" s="10" t="s">
        <v>82</v>
      </c>
      <c r="BX4" s="12" t="s">
        <v>83</v>
      </c>
      <c r="BY4" s="10" t="s">
        <v>84</v>
      </c>
      <c r="BZ4" s="10" t="s">
        <v>85</v>
      </c>
      <c r="CA4" s="10" t="s">
        <v>86</v>
      </c>
      <c r="CB4" s="10" t="s">
        <v>87</v>
      </c>
      <c r="CC4" s="10" t="s">
        <v>88</v>
      </c>
      <c r="CD4" s="10" t="s">
        <v>89</v>
      </c>
      <c r="CE4" s="10" t="s">
        <v>90</v>
      </c>
      <c r="CF4" s="10" t="s">
        <v>91</v>
      </c>
      <c r="CG4" s="10" t="s">
        <v>92</v>
      </c>
      <c r="CH4" s="10" t="s">
        <v>93</v>
      </c>
      <c r="CI4" s="10" t="s">
        <v>94</v>
      </c>
      <c r="CJ4" s="10" t="s">
        <v>95</v>
      </c>
      <c r="CK4" s="10" t="s">
        <v>96</v>
      </c>
      <c r="CL4" s="10" t="s">
        <v>97</v>
      </c>
      <c r="CM4" s="10" t="s">
        <v>98</v>
      </c>
      <c r="CN4" s="10" t="s">
        <v>99</v>
      </c>
      <c r="CO4" s="10" t="s">
        <v>100</v>
      </c>
      <c r="CP4" s="10" t="s">
        <v>101</v>
      </c>
      <c r="CQ4" s="10" t="s">
        <v>102</v>
      </c>
      <c r="CR4" s="14" t="s">
        <v>103</v>
      </c>
      <c r="CS4" s="14" t="s">
        <v>104</v>
      </c>
      <c r="CT4" s="10" t="s">
        <v>105</v>
      </c>
      <c r="CU4" s="10" t="s">
        <v>106</v>
      </c>
      <c r="CV4" s="10" t="s">
        <v>107</v>
      </c>
      <c r="CW4" s="10" t="s">
        <v>108</v>
      </c>
      <c r="CX4" s="11" t="s">
        <v>109</v>
      </c>
      <c r="CY4" s="11" t="s">
        <v>110</v>
      </c>
      <c r="CZ4" s="10" t="s">
        <v>111</v>
      </c>
      <c r="DA4" s="10" t="s">
        <v>112</v>
      </c>
      <c r="DB4" s="10" t="s">
        <v>113</v>
      </c>
      <c r="DC4" s="12" t="s">
        <v>114</v>
      </c>
      <c r="DD4" s="10" t="s">
        <v>115</v>
      </c>
      <c r="DE4" s="10" t="s">
        <v>116</v>
      </c>
      <c r="DF4" s="10" t="s">
        <v>117</v>
      </c>
      <c r="DG4" s="10" t="s">
        <v>118</v>
      </c>
      <c r="DH4" s="10" t="s">
        <v>174</v>
      </c>
      <c r="DI4" s="10" t="s">
        <v>175</v>
      </c>
    </row>
    <row r="5" spans="1:113" ht="15.75" customHeight="1" x14ac:dyDescent="0.3">
      <c r="A5" s="15" t="s">
        <v>119</v>
      </c>
      <c r="B5" s="16" t="s">
        <v>177</v>
      </c>
      <c r="C5" s="16" t="s">
        <v>120</v>
      </c>
      <c r="D5" s="15" t="s">
        <v>121</v>
      </c>
      <c r="E5" s="17">
        <v>28</v>
      </c>
      <c r="F5" s="15"/>
      <c r="G5" s="15"/>
      <c r="H5" s="15">
        <v>78</v>
      </c>
      <c r="I5" s="18">
        <v>1.915</v>
      </c>
      <c r="J5" s="15">
        <v>23.8</v>
      </c>
      <c r="K5" s="15">
        <v>0.8</v>
      </c>
      <c r="L5" s="15"/>
      <c r="M5" s="18"/>
      <c r="N5" s="17">
        <v>3</v>
      </c>
      <c r="AC5" s="15">
        <v>6</v>
      </c>
      <c r="AL5" s="15"/>
      <c r="AR5" s="15"/>
      <c r="AS5" s="15"/>
      <c r="AV5" s="15"/>
      <c r="AX5" s="15">
        <v>1</v>
      </c>
      <c r="AY5" s="15">
        <v>1</v>
      </c>
      <c r="BL5" s="15">
        <v>1</v>
      </c>
      <c r="BQ5" s="15"/>
      <c r="BS5" s="15">
        <v>1</v>
      </c>
      <c r="BT5" s="15">
        <v>3</v>
      </c>
      <c r="BX5" s="15"/>
      <c r="CR5" s="15"/>
      <c r="CS5" s="15"/>
      <c r="CX5" s="15">
        <v>1</v>
      </c>
      <c r="CY5" s="15"/>
      <c r="DC5" s="15"/>
      <c r="DH5" s="1">
        <f>COUNT(O5:DG5)</f>
        <v>7</v>
      </c>
      <c r="DI5" s="1">
        <f>SUM(O5:DG5)</f>
        <v>14</v>
      </c>
    </row>
    <row r="6" spans="1:113" ht="15.75" customHeight="1" x14ac:dyDescent="0.3">
      <c r="A6" s="15" t="s">
        <v>119</v>
      </c>
      <c r="B6" s="16" t="s">
        <v>200</v>
      </c>
      <c r="C6" s="16" t="s">
        <v>122</v>
      </c>
      <c r="D6" s="19">
        <v>44812</v>
      </c>
      <c r="E6" s="17">
        <v>9</v>
      </c>
      <c r="F6" s="15"/>
      <c r="G6" s="15"/>
      <c r="H6" s="20">
        <v>80</v>
      </c>
      <c r="I6" s="18">
        <v>0.4</v>
      </c>
      <c r="J6" s="15">
        <v>32</v>
      </c>
      <c r="K6" s="15">
        <v>0</v>
      </c>
      <c r="L6" s="15"/>
      <c r="M6" s="18"/>
      <c r="N6" s="17">
        <v>5</v>
      </c>
      <c r="AC6" s="15"/>
      <c r="AL6" s="15"/>
      <c r="AR6" s="15"/>
      <c r="AS6" s="15"/>
      <c r="AV6" s="15"/>
      <c r="AX6" s="15"/>
      <c r="AY6" s="15">
        <v>1</v>
      </c>
      <c r="AZ6" s="1">
        <v>1</v>
      </c>
      <c r="BL6" s="15"/>
      <c r="BQ6" s="15"/>
      <c r="BS6" s="15"/>
      <c r="BT6" s="15">
        <v>1</v>
      </c>
      <c r="BX6" s="15"/>
      <c r="CR6" s="15"/>
      <c r="CS6" s="15"/>
      <c r="CX6" s="15"/>
      <c r="CY6" s="15"/>
      <c r="DC6" s="15"/>
      <c r="DH6" s="1">
        <f t="shared" ref="DH6:DH69" si="0">COUNT(O6:DG6)</f>
        <v>3</v>
      </c>
      <c r="DI6" s="1">
        <f t="shared" ref="DI6:DI69" si="1">SUM(O6:DG6)</f>
        <v>3</v>
      </c>
    </row>
    <row r="7" spans="1:113" ht="15.75" customHeight="1" x14ac:dyDescent="0.3">
      <c r="A7" s="15" t="s">
        <v>119</v>
      </c>
      <c r="B7" s="16" t="s">
        <v>200</v>
      </c>
      <c r="C7" s="16" t="s">
        <v>120</v>
      </c>
      <c r="D7" s="15" t="s">
        <v>123</v>
      </c>
      <c r="E7" s="17">
        <v>22</v>
      </c>
      <c r="F7" s="15"/>
      <c r="G7" s="15"/>
      <c r="H7" s="20">
        <v>80</v>
      </c>
      <c r="I7" s="18">
        <v>0.52</v>
      </c>
      <c r="J7" s="15">
        <v>33</v>
      </c>
      <c r="K7" s="15">
        <v>0</v>
      </c>
      <c r="L7" s="15"/>
      <c r="M7" s="18"/>
      <c r="N7" s="17">
        <v>5</v>
      </c>
      <c r="AC7" s="15"/>
      <c r="AL7" s="15"/>
      <c r="AR7" s="15"/>
      <c r="AS7" s="15"/>
      <c r="AV7" s="15"/>
      <c r="AX7" s="15"/>
      <c r="AY7" s="15">
        <v>1</v>
      </c>
      <c r="BL7" s="15"/>
      <c r="BQ7" s="15"/>
      <c r="BS7" s="15"/>
      <c r="BT7" s="15"/>
      <c r="BX7" s="15"/>
      <c r="CR7" s="15"/>
      <c r="CS7" s="15"/>
      <c r="CX7" s="15"/>
      <c r="CY7" s="15"/>
      <c r="DC7" s="15"/>
      <c r="DH7" s="1">
        <f t="shared" si="0"/>
        <v>1</v>
      </c>
      <c r="DI7" s="1">
        <f t="shared" si="1"/>
        <v>1</v>
      </c>
    </row>
    <row r="8" spans="1:113" ht="15.75" customHeight="1" x14ac:dyDescent="0.3">
      <c r="A8" s="15" t="s">
        <v>119</v>
      </c>
      <c r="B8" s="16" t="s">
        <v>200</v>
      </c>
      <c r="C8" s="16" t="s">
        <v>122</v>
      </c>
      <c r="D8" s="15" t="s">
        <v>124</v>
      </c>
      <c r="E8" s="17">
        <v>25</v>
      </c>
      <c r="F8" s="15"/>
      <c r="G8" s="15"/>
      <c r="H8" s="20">
        <v>80</v>
      </c>
      <c r="I8" s="18">
        <v>0.4</v>
      </c>
      <c r="J8" s="15">
        <v>36</v>
      </c>
      <c r="K8" s="15">
        <v>0</v>
      </c>
      <c r="L8" s="15"/>
      <c r="M8" s="18"/>
      <c r="N8" s="17">
        <v>5</v>
      </c>
      <c r="AC8" s="15"/>
      <c r="AL8" s="15"/>
      <c r="AR8" s="15"/>
      <c r="AS8" s="15"/>
      <c r="AV8" s="15"/>
      <c r="AX8" s="15"/>
      <c r="AY8" s="15"/>
      <c r="BL8" s="15"/>
      <c r="BQ8" s="15"/>
      <c r="BS8" s="15"/>
      <c r="BT8" s="15">
        <v>1</v>
      </c>
      <c r="BX8" s="15"/>
      <c r="CR8" s="15"/>
      <c r="CS8" s="15"/>
      <c r="CX8" s="15"/>
      <c r="CY8" s="15"/>
      <c r="DC8" s="15"/>
      <c r="DH8" s="1">
        <f t="shared" si="0"/>
        <v>1</v>
      </c>
      <c r="DI8" s="1">
        <f t="shared" si="1"/>
        <v>1</v>
      </c>
    </row>
    <row r="9" spans="1:113" ht="15.75" customHeight="1" x14ac:dyDescent="0.3">
      <c r="A9" s="15" t="s">
        <v>119</v>
      </c>
      <c r="B9" s="16" t="s">
        <v>200</v>
      </c>
      <c r="C9" s="16" t="s">
        <v>122</v>
      </c>
      <c r="D9" s="15" t="s">
        <v>125</v>
      </c>
      <c r="E9" s="17">
        <v>27</v>
      </c>
      <c r="F9" s="15"/>
      <c r="G9" s="15"/>
      <c r="H9" s="20">
        <v>80</v>
      </c>
      <c r="I9" s="18">
        <v>0.4</v>
      </c>
      <c r="J9" s="15">
        <v>32</v>
      </c>
      <c r="K9" s="15">
        <v>0</v>
      </c>
      <c r="L9" s="15"/>
      <c r="M9" s="18"/>
      <c r="N9" s="17">
        <v>5</v>
      </c>
      <c r="AC9" s="15"/>
      <c r="AL9" s="15"/>
      <c r="AR9" s="15"/>
      <c r="AS9" s="15"/>
      <c r="AV9" s="15"/>
      <c r="AX9" s="15"/>
      <c r="AY9" s="15">
        <v>1</v>
      </c>
      <c r="BL9" s="15"/>
      <c r="BQ9" s="15"/>
      <c r="BS9" s="15"/>
      <c r="BT9" s="15">
        <v>1</v>
      </c>
      <c r="BX9" s="15"/>
      <c r="CR9" s="15"/>
      <c r="CS9" s="15"/>
      <c r="CX9" s="15"/>
      <c r="CY9" s="15"/>
      <c r="DC9" s="15"/>
      <c r="DH9" s="1">
        <f t="shared" si="0"/>
        <v>2</v>
      </c>
      <c r="DI9" s="1">
        <f t="shared" si="1"/>
        <v>2</v>
      </c>
    </row>
    <row r="10" spans="1:113" ht="15.75" customHeight="1" x14ac:dyDescent="0.3">
      <c r="A10" s="15" t="s">
        <v>119</v>
      </c>
      <c r="B10" s="16" t="s">
        <v>200</v>
      </c>
      <c r="C10" s="16" t="s">
        <v>122</v>
      </c>
      <c r="D10" s="15" t="s">
        <v>121</v>
      </c>
      <c r="E10" s="17">
        <v>28</v>
      </c>
      <c r="F10" s="15"/>
      <c r="G10" s="15"/>
      <c r="H10" s="20">
        <v>80</v>
      </c>
      <c r="I10" s="18">
        <v>0.4</v>
      </c>
      <c r="J10" s="15">
        <v>33</v>
      </c>
      <c r="K10" s="15">
        <v>0</v>
      </c>
      <c r="L10" s="15"/>
      <c r="M10" s="18"/>
      <c r="N10" s="17">
        <v>5</v>
      </c>
      <c r="AC10" s="15"/>
      <c r="AL10" s="15"/>
      <c r="AR10" s="15"/>
      <c r="AS10" s="15"/>
      <c r="AV10" s="15"/>
      <c r="AX10" s="15"/>
      <c r="AY10" s="15"/>
      <c r="AZ10" s="1">
        <v>1</v>
      </c>
      <c r="BL10" s="15"/>
      <c r="BQ10" s="15"/>
      <c r="BS10" s="15"/>
      <c r="BT10" s="15"/>
      <c r="BX10" s="15"/>
      <c r="CR10" s="15"/>
      <c r="CS10" s="15"/>
      <c r="CX10" s="15"/>
      <c r="CY10" s="15"/>
      <c r="DC10" s="15"/>
      <c r="DH10" s="1">
        <f t="shared" si="0"/>
        <v>1</v>
      </c>
      <c r="DI10" s="1">
        <f t="shared" si="1"/>
        <v>1</v>
      </c>
    </row>
    <row r="11" spans="1:113" ht="15.75" customHeight="1" x14ac:dyDescent="0.3">
      <c r="A11" s="15" t="s">
        <v>119</v>
      </c>
      <c r="B11" s="16" t="s">
        <v>200</v>
      </c>
      <c r="C11" s="16" t="s">
        <v>120</v>
      </c>
      <c r="D11" s="15" t="s">
        <v>126</v>
      </c>
      <c r="E11" s="17">
        <v>29</v>
      </c>
      <c r="F11" s="15"/>
      <c r="G11" s="15"/>
      <c r="H11" s="20">
        <v>80</v>
      </c>
      <c r="I11" s="18">
        <v>0.51</v>
      </c>
      <c r="J11" s="15">
        <v>32</v>
      </c>
      <c r="K11" s="15">
        <v>0</v>
      </c>
      <c r="L11" s="15"/>
      <c r="M11" s="18"/>
      <c r="N11" s="17">
        <v>5</v>
      </c>
      <c r="AC11" s="15"/>
      <c r="AL11" s="15"/>
      <c r="AR11" s="15"/>
      <c r="AS11" s="15"/>
      <c r="AV11" s="15"/>
      <c r="AX11" s="15"/>
      <c r="AY11" s="15">
        <v>1</v>
      </c>
      <c r="AZ11" s="1">
        <v>1</v>
      </c>
      <c r="BL11" s="15"/>
      <c r="BQ11" s="15"/>
      <c r="BS11" s="15"/>
      <c r="BT11" s="15">
        <v>1</v>
      </c>
      <c r="BX11" s="15"/>
      <c r="CR11" s="15"/>
      <c r="CS11" s="15"/>
      <c r="CX11" s="15"/>
      <c r="CY11" s="15"/>
      <c r="DC11" s="15"/>
      <c r="DH11" s="1">
        <f t="shared" si="0"/>
        <v>3</v>
      </c>
      <c r="DI11" s="1">
        <f t="shared" si="1"/>
        <v>3</v>
      </c>
    </row>
    <row r="12" spans="1:113" ht="15.75" customHeight="1" x14ac:dyDescent="0.3">
      <c r="A12" s="15" t="s">
        <v>119</v>
      </c>
      <c r="B12" s="16" t="s">
        <v>200</v>
      </c>
      <c r="C12" s="16" t="s">
        <v>120</v>
      </c>
      <c r="D12" s="15" t="s">
        <v>126</v>
      </c>
      <c r="E12" s="17">
        <v>29</v>
      </c>
      <c r="F12" s="15"/>
      <c r="G12" s="15"/>
      <c r="H12" s="20">
        <v>80</v>
      </c>
      <c r="I12" s="18">
        <v>0.5</v>
      </c>
      <c r="J12" s="15">
        <v>23</v>
      </c>
      <c r="K12" s="15">
        <v>0</v>
      </c>
      <c r="L12" s="15"/>
      <c r="M12" s="18"/>
      <c r="N12" s="17">
        <v>5</v>
      </c>
      <c r="AC12" s="15"/>
      <c r="AL12" s="15"/>
      <c r="AR12" s="15"/>
      <c r="AS12" s="15"/>
      <c r="AV12" s="15"/>
      <c r="AX12" s="15"/>
      <c r="AY12" s="15"/>
      <c r="BL12" s="15"/>
      <c r="BQ12" s="15"/>
      <c r="BS12" s="15"/>
      <c r="BT12" s="15">
        <v>1</v>
      </c>
      <c r="BX12" s="15"/>
      <c r="CR12" s="15"/>
      <c r="CS12" s="15"/>
      <c r="CX12" s="15"/>
      <c r="CY12" s="15"/>
      <c r="DC12" s="15"/>
      <c r="DH12" s="1">
        <f t="shared" si="0"/>
        <v>1</v>
      </c>
      <c r="DI12" s="1">
        <f t="shared" si="1"/>
        <v>1</v>
      </c>
    </row>
    <row r="13" spans="1:113" ht="15.75" customHeight="1" x14ac:dyDescent="0.3">
      <c r="A13" s="15" t="s">
        <v>119</v>
      </c>
      <c r="B13" s="16" t="s">
        <v>200</v>
      </c>
      <c r="C13" s="16" t="s">
        <v>122</v>
      </c>
      <c r="D13" s="15" t="s">
        <v>121</v>
      </c>
      <c r="E13" s="17">
        <v>28</v>
      </c>
      <c r="F13" s="15"/>
      <c r="G13" s="15"/>
      <c r="H13" s="15">
        <v>81</v>
      </c>
      <c r="I13" s="18">
        <v>2.0499999999999998</v>
      </c>
      <c r="J13" s="15">
        <v>24.9</v>
      </c>
      <c r="K13" s="15">
        <v>0</v>
      </c>
      <c r="L13" s="15"/>
      <c r="M13" s="18"/>
      <c r="N13" s="17">
        <v>5</v>
      </c>
      <c r="AC13" s="15"/>
      <c r="AL13" s="4"/>
      <c r="AR13" s="4"/>
      <c r="AS13" s="15"/>
      <c r="AV13" s="15"/>
      <c r="AX13" s="15"/>
      <c r="AY13" s="15">
        <v>1</v>
      </c>
      <c r="BL13" s="15"/>
      <c r="BQ13" s="15">
        <v>1</v>
      </c>
      <c r="BS13" s="15"/>
      <c r="BT13" s="15"/>
      <c r="BX13" s="15"/>
      <c r="CR13" s="15"/>
      <c r="CS13" s="15"/>
      <c r="CX13" s="15">
        <v>1</v>
      </c>
      <c r="CY13" s="15"/>
      <c r="DC13" s="15"/>
      <c r="DH13" s="1">
        <f t="shared" si="0"/>
        <v>3</v>
      </c>
      <c r="DI13" s="1">
        <f t="shared" si="1"/>
        <v>3</v>
      </c>
    </row>
    <row r="14" spans="1:113" ht="15.75" customHeight="1" x14ac:dyDescent="0.3">
      <c r="A14" s="15" t="s">
        <v>119</v>
      </c>
      <c r="B14" s="16" t="s">
        <v>180</v>
      </c>
      <c r="C14" s="16" t="s">
        <v>120</v>
      </c>
      <c r="D14" s="15" t="s">
        <v>121</v>
      </c>
      <c r="E14" s="17">
        <v>28</v>
      </c>
      <c r="F14" s="15"/>
      <c r="G14" s="15"/>
      <c r="H14" s="15">
        <v>81</v>
      </c>
      <c r="I14" s="18">
        <v>1.2809999999999999</v>
      </c>
      <c r="J14" s="15">
        <v>24.9</v>
      </c>
      <c r="K14" s="15">
        <v>0.8</v>
      </c>
      <c r="L14" s="15"/>
      <c r="M14" s="18"/>
      <c r="N14" s="17">
        <v>5</v>
      </c>
      <c r="AC14" s="15"/>
      <c r="AL14" s="15">
        <v>1</v>
      </c>
      <c r="AR14" s="15"/>
      <c r="AS14" s="15"/>
      <c r="AV14" s="15"/>
      <c r="AX14" s="15"/>
      <c r="AY14" s="15">
        <v>1</v>
      </c>
      <c r="BL14" s="15"/>
      <c r="BQ14" s="15"/>
      <c r="BS14" s="15"/>
      <c r="BT14" s="15"/>
      <c r="BX14" s="15">
        <v>1</v>
      </c>
      <c r="CR14" s="15"/>
      <c r="CS14" s="15"/>
      <c r="CX14" s="15"/>
      <c r="CY14" s="15"/>
      <c r="DC14" s="15"/>
      <c r="DH14" s="1">
        <f t="shared" si="0"/>
        <v>3</v>
      </c>
      <c r="DI14" s="1">
        <f t="shared" si="1"/>
        <v>3</v>
      </c>
    </row>
    <row r="15" spans="1:113" ht="15.75" customHeight="1" x14ac:dyDescent="0.3">
      <c r="A15" s="15" t="s">
        <v>119</v>
      </c>
      <c r="B15" s="16" t="s">
        <v>180</v>
      </c>
      <c r="C15" s="16" t="s">
        <v>122</v>
      </c>
      <c r="D15" s="15" t="s">
        <v>125</v>
      </c>
      <c r="E15" s="17">
        <v>27</v>
      </c>
      <c r="F15" s="15"/>
      <c r="G15" s="15"/>
      <c r="H15" s="18">
        <v>68.67</v>
      </c>
      <c r="I15" s="18">
        <v>94.13</v>
      </c>
      <c r="J15" s="15">
        <v>25</v>
      </c>
      <c r="K15" s="15">
        <v>1.2</v>
      </c>
      <c r="L15" s="15"/>
      <c r="M15" s="18"/>
      <c r="N15" s="17">
        <v>5</v>
      </c>
      <c r="AC15" s="15"/>
      <c r="AL15" s="15"/>
      <c r="AR15" s="15"/>
      <c r="AS15" s="15"/>
      <c r="AV15" s="15"/>
      <c r="AX15" s="15"/>
      <c r="AY15" s="15">
        <v>1</v>
      </c>
      <c r="BL15" s="15"/>
      <c r="BQ15" s="15"/>
      <c r="BS15" s="15"/>
      <c r="BT15" s="15"/>
      <c r="BX15" s="15"/>
      <c r="CR15" s="15"/>
      <c r="CS15" s="15"/>
      <c r="CX15" s="15"/>
      <c r="CY15" s="15"/>
      <c r="DC15" s="15"/>
      <c r="DH15" s="1">
        <f t="shared" si="0"/>
        <v>1</v>
      </c>
      <c r="DI15" s="1">
        <f t="shared" si="1"/>
        <v>1</v>
      </c>
    </row>
    <row r="16" spans="1:113" ht="15.75" customHeight="1" x14ac:dyDescent="0.3">
      <c r="A16" s="15" t="s">
        <v>119</v>
      </c>
      <c r="B16" s="16" t="s">
        <v>181</v>
      </c>
      <c r="C16" s="16" t="s">
        <v>120</v>
      </c>
      <c r="D16" s="15" t="s">
        <v>121</v>
      </c>
      <c r="E16" s="17">
        <v>28</v>
      </c>
      <c r="F16" s="15"/>
      <c r="G16" s="15"/>
      <c r="H16" s="15">
        <v>80</v>
      </c>
      <c r="I16" s="18">
        <v>9.35</v>
      </c>
      <c r="J16" s="15">
        <v>25.5</v>
      </c>
      <c r="K16" s="15">
        <v>2.6</v>
      </c>
      <c r="L16" s="15"/>
      <c r="M16" s="18"/>
      <c r="N16" s="17">
        <v>3</v>
      </c>
      <c r="AC16" s="15"/>
      <c r="AL16" s="15"/>
      <c r="AR16" s="15">
        <v>1</v>
      </c>
      <c r="AS16" s="4"/>
      <c r="AV16" s="15"/>
      <c r="AX16" s="15"/>
      <c r="AY16" s="15">
        <v>1</v>
      </c>
      <c r="BL16" s="15"/>
      <c r="BQ16" s="15"/>
      <c r="BS16" s="15"/>
      <c r="BT16" s="15"/>
      <c r="BX16" s="15"/>
      <c r="CR16" s="15"/>
      <c r="CS16" s="15"/>
      <c r="CX16" s="15"/>
      <c r="CY16" s="15"/>
      <c r="DC16" s="15">
        <v>1</v>
      </c>
      <c r="DH16" s="1">
        <f t="shared" si="0"/>
        <v>3</v>
      </c>
      <c r="DI16" s="1">
        <f t="shared" si="1"/>
        <v>3</v>
      </c>
    </row>
    <row r="17" spans="1:113" ht="15.75" customHeight="1" x14ac:dyDescent="0.3">
      <c r="A17" s="15" t="s">
        <v>119</v>
      </c>
      <c r="B17" s="16" t="s">
        <v>181</v>
      </c>
      <c r="C17" s="16" t="s">
        <v>122</v>
      </c>
      <c r="D17" s="15" t="s">
        <v>125</v>
      </c>
      <c r="E17" s="17">
        <v>27</v>
      </c>
      <c r="F17" s="15"/>
      <c r="G17" s="15"/>
      <c r="H17" s="15">
        <v>68.58</v>
      </c>
      <c r="I17" s="18">
        <v>6.6</v>
      </c>
      <c r="J17" s="15">
        <v>25.7</v>
      </c>
      <c r="K17" s="15">
        <v>2.1</v>
      </c>
      <c r="L17" s="15"/>
      <c r="M17" s="18"/>
      <c r="N17" s="17">
        <v>3</v>
      </c>
      <c r="AC17" s="15"/>
      <c r="AL17" s="15"/>
      <c r="AR17" s="15"/>
      <c r="AS17" s="15">
        <v>1</v>
      </c>
      <c r="AV17" s="15"/>
      <c r="AX17" s="15"/>
      <c r="AY17" s="15">
        <v>1</v>
      </c>
      <c r="BL17" s="15"/>
      <c r="BQ17" s="15"/>
      <c r="BS17" s="15"/>
      <c r="BT17" s="15"/>
      <c r="BX17" s="15">
        <v>1</v>
      </c>
      <c r="CR17" s="15"/>
      <c r="CS17" s="15"/>
      <c r="CX17" s="15"/>
      <c r="CY17" s="15"/>
      <c r="DC17" s="15"/>
      <c r="DH17" s="1">
        <f t="shared" si="0"/>
        <v>3</v>
      </c>
      <c r="DI17" s="1">
        <f t="shared" si="1"/>
        <v>3</v>
      </c>
    </row>
    <row r="18" spans="1:113" ht="15.75" customHeight="1" x14ac:dyDescent="0.3">
      <c r="A18" s="15" t="s">
        <v>119</v>
      </c>
      <c r="B18" s="16" t="s">
        <v>181</v>
      </c>
      <c r="C18" s="16" t="s">
        <v>120</v>
      </c>
      <c r="D18" s="15" t="s">
        <v>127</v>
      </c>
      <c r="E18" s="17">
        <v>30</v>
      </c>
      <c r="F18" s="15"/>
      <c r="G18" s="15"/>
      <c r="H18" s="20">
        <v>70</v>
      </c>
      <c r="I18" s="18">
        <v>4.2</v>
      </c>
      <c r="J18" s="15">
        <v>23</v>
      </c>
      <c r="K18" s="15">
        <v>0</v>
      </c>
      <c r="L18" s="15"/>
      <c r="M18" s="18"/>
      <c r="N18" s="17">
        <v>3</v>
      </c>
      <c r="AC18" s="15"/>
      <c r="AL18" s="15"/>
      <c r="AR18" s="15"/>
      <c r="AS18" s="15"/>
      <c r="AV18" s="15"/>
      <c r="AX18" s="15"/>
      <c r="AY18" s="15">
        <v>1</v>
      </c>
      <c r="BL18" s="15"/>
      <c r="BQ18" s="15"/>
      <c r="BS18" s="15"/>
      <c r="BT18" s="15">
        <v>1</v>
      </c>
      <c r="BX18" s="15"/>
      <c r="CR18" s="15"/>
      <c r="CS18" s="15"/>
      <c r="CX18" s="15"/>
      <c r="CY18" s="15"/>
      <c r="DC18" s="15"/>
      <c r="DH18" s="1">
        <f t="shared" si="0"/>
        <v>2</v>
      </c>
      <c r="DI18" s="1">
        <f t="shared" si="1"/>
        <v>2</v>
      </c>
    </row>
    <row r="19" spans="1:113" ht="15.75" customHeight="1" x14ac:dyDescent="0.3">
      <c r="A19" s="15" t="s">
        <v>119</v>
      </c>
      <c r="B19" s="16" t="s">
        <v>198</v>
      </c>
      <c r="C19" s="16" t="s">
        <v>120</v>
      </c>
      <c r="D19" s="19">
        <v>44781</v>
      </c>
      <c r="E19" s="17">
        <v>8</v>
      </c>
      <c r="F19" s="15"/>
      <c r="G19" s="15"/>
      <c r="H19" s="20">
        <v>70</v>
      </c>
      <c r="I19" s="18">
        <v>4.2</v>
      </c>
      <c r="J19" s="15">
        <v>21</v>
      </c>
      <c r="K19" s="15">
        <v>0</v>
      </c>
      <c r="L19" s="15"/>
      <c r="M19" s="18"/>
      <c r="N19" s="17">
        <v>3</v>
      </c>
      <c r="AB19" s="1">
        <v>1</v>
      </c>
      <c r="AC19" s="15"/>
      <c r="AL19" s="15"/>
      <c r="AR19" s="15"/>
      <c r="AS19" s="15"/>
      <c r="AV19" s="15"/>
      <c r="AX19" s="15"/>
      <c r="AY19" s="15">
        <v>1</v>
      </c>
      <c r="AZ19" s="1">
        <v>1</v>
      </c>
      <c r="BL19" s="15"/>
      <c r="BQ19" s="15"/>
      <c r="BS19" s="15"/>
      <c r="BT19" s="15"/>
      <c r="BX19" s="15"/>
      <c r="CI19" s="1">
        <v>1</v>
      </c>
      <c r="CR19" s="15"/>
      <c r="CS19" s="15"/>
      <c r="CX19" s="15"/>
      <c r="CY19" s="15"/>
      <c r="DC19" s="15"/>
      <c r="DH19" s="1">
        <f t="shared" si="0"/>
        <v>4</v>
      </c>
      <c r="DI19" s="1">
        <f t="shared" si="1"/>
        <v>4</v>
      </c>
    </row>
    <row r="20" spans="1:113" ht="15.75" customHeight="1" x14ac:dyDescent="0.3">
      <c r="A20" s="15" t="s">
        <v>119</v>
      </c>
      <c r="B20" s="16" t="s">
        <v>198</v>
      </c>
      <c r="C20" s="16" t="s">
        <v>120</v>
      </c>
      <c r="D20" s="19">
        <v>44781</v>
      </c>
      <c r="E20" s="17">
        <v>8</v>
      </c>
      <c r="F20" s="15"/>
      <c r="G20" s="15"/>
      <c r="H20" s="20">
        <v>70</v>
      </c>
      <c r="I20" s="18">
        <v>4.2</v>
      </c>
      <c r="J20" s="15">
        <v>20</v>
      </c>
      <c r="K20" s="15">
        <v>0</v>
      </c>
      <c r="L20" s="15"/>
      <c r="M20" s="18"/>
      <c r="N20" s="17">
        <v>3</v>
      </c>
      <c r="AB20" s="1">
        <v>1</v>
      </c>
      <c r="AC20" s="15"/>
      <c r="AL20" s="15"/>
      <c r="AR20" s="15"/>
      <c r="AS20" s="15"/>
      <c r="AV20" s="15"/>
      <c r="AX20" s="15"/>
      <c r="AY20" s="15"/>
      <c r="BL20" s="15"/>
      <c r="BQ20" s="15"/>
      <c r="BS20" s="15"/>
      <c r="BT20" s="15"/>
      <c r="BX20" s="15"/>
      <c r="CR20" s="15"/>
      <c r="CS20" s="15"/>
      <c r="CX20" s="15"/>
      <c r="CY20" s="15"/>
      <c r="DC20" s="15"/>
      <c r="DH20" s="1">
        <f t="shared" si="0"/>
        <v>1</v>
      </c>
      <c r="DI20" s="1">
        <f t="shared" si="1"/>
        <v>1</v>
      </c>
    </row>
    <row r="21" spans="1:113" ht="15.75" customHeight="1" x14ac:dyDescent="0.3">
      <c r="A21" s="15" t="s">
        <v>119</v>
      </c>
      <c r="B21" s="16" t="s">
        <v>198</v>
      </c>
      <c r="C21" s="16" t="s">
        <v>120</v>
      </c>
      <c r="D21" s="19">
        <v>44812</v>
      </c>
      <c r="E21" s="17">
        <v>9</v>
      </c>
      <c r="F21" s="15"/>
      <c r="G21" s="15"/>
      <c r="H21" s="20">
        <v>70</v>
      </c>
      <c r="I21" s="18">
        <v>4.2</v>
      </c>
      <c r="J21" s="15">
        <v>21</v>
      </c>
      <c r="K21" s="15">
        <v>0</v>
      </c>
      <c r="L21" s="15"/>
      <c r="M21" s="18"/>
      <c r="N21" s="17">
        <v>3</v>
      </c>
      <c r="AC21" s="15"/>
      <c r="AL21" s="15"/>
      <c r="AR21" s="15"/>
      <c r="AS21" s="15"/>
      <c r="AV21" s="15"/>
      <c r="AX21" s="15"/>
      <c r="AY21" s="15">
        <v>1</v>
      </c>
      <c r="BL21" s="15"/>
      <c r="BQ21" s="15"/>
      <c r="BS21" s="15"/>
      <c r="BT21" s="15"/>
      <c r="BX21" s="15"/>
      <c r="CR21" s="15"/>
      <c r="CS21" s="15"/>
      <c r="CX21" s="15"/>
      <c r="CY21" s="15"/>
      <c r="DC21" s="15"/>
      <c r="DH21" s="1">
        <f t="shared" si="0"/>
        <v>1</v>
      </c>
      <c r="DI21" s="1">
        <f t="shared" si="1"/>
        <v>1</v>
      </c>
    </row>
    <row r="22" spans="1:113" ht="15.75" customHeight="1" x14ac:dyDescent="0.3">
      <c r="A22" s="15" t="s">
        <v>119</v>
      </c>
      <c r="B22" s="16" t="s">
        <v>198</v>
      </c>
      <c r="C22" s="16" t="s">
        <v>120</v>
      </c>
      <c r="D22" s="19" t="s">
        <v>128</v>
      </c>
      <c r="E22" s="17">
        <v>15</v>
      </c>
      <c r="F22" s="15"/>
      <c r="G22" s="15"/>
      <c r="H22" s="20">
        <v>70</v>
      </c>
      <c r="I22" s="18">
        <v>4.2</v>
      </c>
      <c r="J22" s="15">
        <v>22</v>
      </c>
      <c r="K22" s="15">
        <v>0</v>
      </c>
      <c r="L22" s="15"/>
      <c r="M22" s="18"/>
      <c r="N22" s="17">
        <v>3</v>
      </c>
      <c r="AC22" s="15"/>
      <c r="AL22" s="15"/>
      <c r="AR22" s="15"/>
      <c r="AS22" s="15"/>
      <c r="AV22" s="15"/>
      <c r="AX22" s="15"/>
      <c r="AY22" s="15">
        <v>1</v>
      </c>
      <c r="AZ22" s="1">
        <v>1</v>
      </c>
      <c r="BL22" s="15"/>
      <c r="BQ22" s="15"/>
      <c r="BS22" s="15"/>
      <c r="BT22" s="15">
        <v>1</v>
      </c>
      <c r="BX22" s="15">
        <v>1</v>
      </c>
      <c r="CR22" s="15"/>
      <c r="CS22" s="15"/>
      <c r="CX22" s="15">
        <v>1</v>
      </c>
      <c r="CY22" s="15"/>
      <c r="DC22" s="15"/>
      <c r="DH22" s="1">
        <f t="shared" si="0"/>
        <v>5</v>
      </c>
      <c r="DI22" s="1">
        <f t="shared" si="1"/>
        <v>5</v>
      </c>
    </row>
    <row r="23" spans="1:113" ht="15.75" customHeight="1" x14ac:dyDescent="0.3">
      <c r="A23" s="15" t="s">
        <v>119</v>
      </c>
      <c r="B23" s="16" t="s">
        <v>198</v>
      </c>
      <c r="C23" s="16" t="s">
        <v>120</v>
      </c>
      <c r="D23" s="19">
        <v>44873</v>
      </c>
      <c r="E23" s="17">
        <v>11</v>
      </c>
      <c r="F23" s="15"/>
      <c r="G23" s="15"/>
      <c r="H23" s="20">
        <v>70</v>
      </c>
      <c r="I23" s="18">
        <v>4.2</v>
      </c>
      <c r="J23" s="15">
        <v>23</v>
      </c>
      <c r="K23" s="15">
        <v>0</v>
      </c>
      <c r="L23" s="15"/>
      <c r="M23" s="18"/>
      <c r="N23" s="17">
        <v>3</v>
      </c>
      <c r="AB23" s="1">
        <v>1</v>
      </c>
      <c r="AC23" s="15"/>
      <c r="AL23" s="15"/>
      <c r="AR23" s="15"/>
      <c r="AS23" s="15"/>
      <c r="AV23" s="15"/>
      <c r="AX23" s="15"/>
      <c r="AY23" s="15">
        <v>1</v>
      </c>
      <c r="BL23" s="15"/>
      <c r="BQ23" s="15"/>
      <c r="BS23" s="15"/>
      <c r="BT23" s="15"/>
      <c r="BX23" s="15"/>
      <c r="CR23" s="15"/>
      <c r="CS23" s="15"/>
      <c r="CX23" s="15"/>
      <c r="CY23" s="15"/>
      <c r="DC23" s="15"/>
      <c r="DH23" s="1">
        <f t="shared" si="0"/>
        <v>2</v>
      </c>
      <c r="DI23" s="1">
        <f t="shared" si="1"/>
        <v>2</v>
      </c>
    </row>
    <row r="24" spans="1:113" ht="15.75" customHeight="1" x14ac:dyDescent="0.3">
      <c r="A24" s="15" t="s">
        <v>119</v>
      </c>
      <c r="B24" s="16" t="s">
        <v>198</v>
      </c>
      <c r="C24" s="16" t="s">
        <v>120</v>
      </c>
      <c r="D24" s="19" t="s">
        <v>129</v>
      </c>
      <c r="E24" s="17">
        <v>20</v>
      </c>
      <c r="F24" s="15"/>
      <c r="G24" s="15"/>
      <c r="H24" s="20">
        <v>70</v>
      </c>
      <c r="I24" s="18">
        <v>4.2</v>
      </c>
      <c r="J24" s="15">
        <v>22</v>
      </c>
      <c r="K24" s="15">
        <v>0</v>
      </c>
      <c r="L24" s="15"/>
      <c r="M24" s="18"/>
      <c r="N24" s="17">
        <v>3</v>
      </c>
      <c r="Q24" s="1">
        <v>1</v>
      </c>
      <c r="AC24" s="15"/>
      <c r="AL24" s="15"/>
      <c r="AR24" s="15"/>
      <c r="AS24" s="15"/>
      <c r="AV24" s="15"/>
      <c r="AX24" s="15"/>
      <c r="AY24" s="15"/>
      <c r="BL24" s="15"/>
      <c r="BQ24" s="15"/>
      <c r="BS24" s="15"/>
      <c r="BT24" s="15"/>
      <c r="BX24" s="15"/>
      <c r="CR24" s="15"/>
      <c r="CS24" s="15"/>
      <c r="CX24" s="15"/>
      <c r="CY24" s="15"/>
      <c r="DC24" s="15"/>
      <c r="DH24" s="1">
        <f t="shared" si="0"/>
        <v>1</v>
      </c>
      <c r="DI24" s="1">
        <f t="shared" si="1"/>
        <v>1</v>
      </c>
    </row>
    <row r="25" spans="1:113" ht="15.75" customHeight="1" x14ac:dyDescent="0.3">
      <c r="A25" s="15" t="s">
        <v>119</v>
      </c>
      <c r="B25" s="16" t="s">
        <v>198</v>
      </c>
      <c r="C25" s="16" t="s">
        <v>120</v>
      </c>
      <c r="D25" s="19" t="s">
        <v>130</v>
      </c>
      <c r="E25" s="17">
        <v>18</v>
      </c>
      <c r="F25" s="15"/>
      <c r="G25" s="15"/>
      <c r="H25" s="20">
        <v>70</v>
      </c>
      <c r="I25" s="18">
        <v>4.2</v>
      </c>
      <c r="J25" s="15">
        <v>25</v>
      </c>
      <c r="K25" s="15">
        <v>0</v>
      </c>
      <c r="L25" s="15"/>
      <c r="M25" s="18"/>
      <c r="N25" s="17">
        <v>3</v>
      </c>
      <c r="AC25" s="15"/>
      <c r="AL25" s="15"/>
      <c r="AR25" s="15"/>
      <c r="AS25" s="15"/>
      <c r="AV25" s="15"/>
      <c r="AX25" s="15"/>
      <c r="AY25" s="15">
        <v>1</v>
      </c>
      <c r="BL25" s="15"/>
      <c r="BQ25" s="15"/>
      <c r="BS25" s="15"/>
      <c r="BT25" s="15"/>
      <c r="BX25" s="15"/>
      <c r="CR25" s="15"/>
      <c r="CS25" s="15"/>
      <c r="CX25" s="15"/>
      <c r="CY25" s="15"/>
      <c r="DC25" s="15"/>
      <c r="DH25" s="1">
        <f t="shared" si="0"/>
        <v>1</v>
      </c>
      <c r="DI25" s="1">
        <f t="shared" si="1"/>
        <v>1</v>
      </c>
    </row>
    <row r="26" spans="1:113" ht="15.75" customHeight="1" x14ac:dyDescent="0.3">
      <c r="A26" s="15" t="s">
        <v>119</v>
      </c>
      <c r="B26" s="16" t="s">
        <v>198</v>
      </c>
      <c r="C26" s="16" t="s">
        <v>120</v>
      </c>
      <c r="D26" s="19" t="s">
        <v>131</v>
      </c>
      <c r="E26" s="17">
        <v>21</v>
      </c>
      <c r="F26" s="15"/>
      <c r="G26" s="15"/>
      <c r="H26" s="20">
        <v>70</v>
      </c>
      <c r="I26" s="18">
        <v>4.2</v>
      </c>
      <c r="J26" s="15">
        <v>23</v>
      </c>
      <c r="K26" s="15">
        <v>0</v>
      </c>
      <c r="L26" s="15"/>
      <c r="M26" s="18"/>
      <c r="N26" s="17">
        <v>3</v>
      </c>
      <c r="AC26" s="15"/>
      <c r="AL26" s="15"/>
      <c r="AR26" s="15"/>
      <c r="AS26" s="15"/>
      <c r="AV26" s="15"/>
      <c r="AX26" s="15"/>
      <c r="AY26" s="15">
        <v>1</v>
      </c>
      <c r="BL26" s="15"/>
      <c r="BQ26" s="15"/>
      <c r="BS26" s="15"/>
      <c r="BT26" s="15"/>
      <c r="BX26" s="15"/>
      <c r="CR26" s="15"/>
      <c r="CS26" s="15"/>
      <c r="CX26" s="15"/>
      <c r="CY26" s="15"/>
      <c r="DC26" s="15"/>
      <c r="DH26" s="1">
        <f t="shared" si="0"/>
        <v>1</v>
      </c>
      <c r="DI26" s="1">
        <f t="shared" si="1"/>
        <v>1</v>
      </c>
    </row>
    <row r="27" spans="1:113" ht="15.75" customHeight="1" x14ac:dyDescent="0.3">
      <c r="A27" s="15" t="s">
        <v>119</v>
      </c>
      <c r="B27" s="16" t="s">
        <v>198</v>
      </c>
      <c r="C27" s="16" t="s">
        <v>122</v>
      </c>
      <c r="D27" s="15" t="s">
        <v>131</v>
      </c>
      <c r="E27" s="17">
        <v>21</v>
      </c>
      <c r="F27" s="15"/>
      <c r="G27" s="15"/>
      <c r="H27" s="20">
        <v>70</v>
      </c>
      <c r="I27" s="18">
        <v>4.2</v>
      </c>
      <c r="J27" s="15">
        <v>29</v>
      </c>
      <c r="K27" s="15">
        <v>0</v>
      </c>
      <c r="L27" s="15"/>
      <c r="M27" s="18"/>
      <c r="N27" s="17">
        <v>3</v>
      </c>
      <c r="AC27" s="15"/>
      <c r="AL27" s="15"/>
      <c r="AR27" s="15"/>
      <c r="AS27" s="15"/>
      <c r="AV27" s="15"/>
      <c r="AX27" s="15"/>
      <c r="AY27" s="15">
        <v>1</v>
      </c>
      <c r="BL27" s="15"/>
      <c r="BQ27" s="15"/>
      <c r="BS27" s="15"/>
      <c r="BT27" s="15"/>
      <c r="BX27" s="15"/>
      <c r="CR27" s="15"/>
      <c r="CS27" s="15"/>
      <c r="CX27" s="15"/>
      <c r="CY27" s="15"/>
      <c r="DC27" s="15"/>
      <c r="DH27" s="1">
        <f t="shared" si="0"/>
        <v>1</v>
      </c>
      <c r="DI27" s="1">
        <f t="shared" si="1"/>
        <v>1</v>
      </c>
    </row>
    <row r="28" spans="1:113" ht="15.75" customHeight="1" x14ac:dyDescent="0.3">
      <c r="A28" s="15" t="s">
        <v>119</v>
      </c>
      <c r="B28" s="16" t="s">
        <v>198</v>
      </c>
      <c r="C28" s="16" t="s">
        <v>122</v>
      </c>
      <c r="D28" s="15" t="s">
        <v>132</v>
      </c>
      <c r="E28" s="17">
        <v>23</v>
      </c>
      <c r="F28" s="15"/>
      <c r="G28" s="15"/>
      <c r="H28" s="20">
        <v>70</v>
      </c>
      <c r="I28" s="18">
        <v>4.2</v>
      </c>
      <c r="J28" s="15">
        <v>23</v>
      </c>
      <c r="K28" s="15">
        <v>0</v>
      </c>
      <c r="L28" s="15"/>
      <c r="M28" s="18"/>
      <c r="N28" s="17">
        <v>3</v>
      </c>
      <c r="AC28" s="15"/>
      <c r="AL28" s="15"/>
      <c r="AR28" s="15"/>
      <c r="AS28" s="15"/>
      <c r="AV28" s="15"/>
      <c r="AX28" s="15"/>
      <c r="AY28" s="15">
        <v>1</v>
      </c>
      <c r="BL28" s="15"/>
      <c r="BQ28" s="15"/>
      <c r="BS28" s="15"/>
      <c r="BT28" s="15"/>
      <c r="BX28" s="15"/>
      <c r="CR28" s="15"/>
      <c r="CS28" s="15"/>
      <c r="CX28" s="15"/>
      <c r="CY28" s="15"/>
      <c r="DC28" s="15"/>
      <c r="DH28" s="1">
        <f t="shared" si="0"/>
        <v>1</v>
      </c>
      <c r="DI28" s="1">
        <f t="shared" si="1"/>
        <v>1</v>
      </c>
    </row>
    <row r="29" spans="1:113" ht="15.75" customHeight="1" x14ac:dyDescent="0.3">
      <c r="A29" s="15" t="s">
        <v>119</v>
      </c>
      <c r="B29" s="16" t="s">
        <v>198</v>
      </c>
      <c r="C29" s="16" t="s">
        <v>120</v>
      </c>
      <c r="D29" s="19">
        <v>45165</v>
      </c>
      <c r="E29" s="17">
        <v>27</v>
      </c>
      <c r="F29" s="15"/>
      <c r="G29" s="15"/>
      <c r="H29" s="20">
        <v>70</v>
      </c>
      <c r="I29" s="18">
        <v>4.2</v>
      </c>
      <c r="J29" s="15">
        <v>23</v>
      </c>
      <c r="K29" s="15">
        <v>0</v>
      </c>
      <c r="L29" s="15"/>
      <c r="M29" s="18"/>
      <c r="N29" s="17">
        <v>3</v>
      </c>
      <c r="AC29" s="15"/>
      <c r="AL29" s="15"/>
      <c r="AR29" s="15"/>
      <c r="AS29" s="15"/>
      <c r="AV29" s="15"/>
      <c r="AX29" s="15"/>
      <c r="AY29" s="15"/>
      <c r="BL29" s="15"/>
      <c r="BQ29" s="15"/>
      <c r="BS29" s="15"/>
      <c r="BT29" s="15"/>
      <c r="BX29" s="15"/>
      <c r="CI29" s="1">
        <v>1</v>
      </c>
      <c r="CR29" s="15"/>
      <c r="CS29" s="15"/>
      <c r="CX29" s="15"/>
      <c r="CY29" s="15"/>
      <c r="DC29" s="15"/>
      <c r="DH29" s="1">
        <f t="shared" si="0"/>
        <v>1</v>
      </c>
      <c r="DI29" s="1">
        <f t="shared" si="1"/>
        <v>1</v>
      </c>
    </row>
    <row r="30" spans="1:113" ht="15.75" customHeight="1" x14ac:dyDescent="0.3">
      <c r="A30" s="15" t="s">
        <v>119</v>
      </c>
      <c r="B30" s="16" t="s">
        <v>198</v>
      </c>
      <c r="C30" s="16" t="s">
        <v>122</v>
      </c>
      <c r="D30" s="15" t="s">
        <v>125</v>
      </c>
      <c r="E30" s="17">
        <v>27</v>
      </c>
      <c r="F30" s="15"/>
      <c r="G30" s="15"/>
      <c r="H30" s="15">
        <v>69.17</v>
      </c>
      <c r="I30" s="18">
        <v>4.55</v>
      </c>
      <c r="J30" s="15">
        <v>27.5</v>
      </c>
      <c r="K30" s="15">
        <v>0.56999999999999995</v>
      </c>
      <c r="L30" s="15"/>
      <c r="M30" s="18"/>
      <c r="N30" s="21">
        <v>3</v>
      </c>
      <c r="AC30" s="15"/>
      <c r="AL30" s="15"/>
      <c r="AR30" s="15"/>
      <c r="AS30" s="15"/>
      <c r="AV30" s="15"/>
      <c r="AX30" s="15">
        <v>1</v>
      </c>
      <c r="AY30" s="15">
        <v>1</v>
      </c>
      <c r="BL30" s="15"/>
      <c r="BQ30" s="15"/>
      <c r="BS30" s="15"/>
      <c r="BT30" s="15"/>
      <c r="BX30" s="15">
        <v>1</v>
      </c>
      <c r="CR30" s="15"/>
      <c r="CS30" s="15"/>
      <c r="CX30" s="15"/>
      <c r="CY30" s="15"/>
      <c r="DC30" s="15"/>
      <c r="DH30" s="1">
        <f t="shared" si="0"/>
        <v>3</v>
      </c>
      <c r="DI30" s="1">
        <f t="shared" si="1"/>
        <v>3</v>
      </c>
    </row>
    <row r="31" spans="1:113" ht="15.75" customHeight="1" x14ac:dyDescent="0.3">
      <c r="A31" s="15" t="s">
        <v>119</v>
      </c>
      <c r="B31" s="16" t="s">
        <v>198</v>
      </c>
      <c r="C31" s="16" t="s">
        <v>120</v>
      </c>
      <c r="D31" s="15" t="s">
        <v>127</v>
      </c>
      <c r="E31" s="17">
        <v>30</v>
      </c>
      <c r="F31" s="15"/>
      <c r="G31" s="15"/>
      <c r="H31" s="20">
        <v>69</v>
      </c>
      <c r="I31" s="18">
        <v>4.55</v>
      </c>
      <c r="J31" s="15">
        <v>21</v>
      </c>
      <c r="K31" s="15">
        <v>0</v>
      </c>
      <c r="L31" s="15"/>
      <c r="M31" s="18"/>
      <c r="N31" s="21">
        <v>3</v>
      </c>
      <c r="AC31" s="15"/>
      <c r="AL31" s="15"/>
      <c r="AR31" s="15"/>
      <c r="AS31" s="15"/>
      <c r="AV31" s="15"/>
      <c r="AX31" s="15"/>
      <c r="AY31" s="15">
        <v>1</v>
      </c>
      <c r="BL31" s="15"/>
      <c r="BQ31" s="15"/>
      <c r="BS31" s="15"/>
      <c r="BT31" s="15"/>
      <c r="BX31" s="15"/>
      <c r="CR31" s="15"/>
      <c r="CS31" s="15"/>
      <c r="CX31" s="15"/>
      <c r="CY31" s="15"/>
      <c r="DC31" s="15"/>
      <c r="DH31" s="1">
        <f t="shared" si="0"/>
        <v>1</v>
      </c>
      <c r="DI31" s="1">
        <f t="shared" si="1"/>
        <v>1</v>
      </c>
    </row>
    <row r="32" spans="1:113" ht="15.75" customHeight="1" x14ac:dyDescent="0.3">
      <c r="A32" s="15"/>
      <c r="B32" s="16"/>
      <c r="C32" s="16"/>
      <c r="D32" s="15"/>
      <c r="E32" s="17"/>
      <c r="F32" s="15"/>
      <c r="G32" s="15"/>
      <c r="H32" s="15"/>
      <c r="I32" s="18"/>
      <c r="J32" s="15"/>
      <c r="K32" s="15"/>
      <c r="L32" s="15"/>
      <c r="M32" s="18"/>
      <c r="N32" s="17"/>
      <c r="AC32" s="15"/>
      <c r="AL32" s="15"/>
      <c r="AR32" s="15"/>
      <c r="AS32" s="15"/>
      <c r="AV32" s="15"/>
      <c r="AX32" s="15"/>
      <c r="AY32" s="15"/>
      <c r="BL32" s="15"/>
      <c r="BQ32" s="15"/>
      <c r="BS32" s="15"/>
      <c r="BT32" s="15"/>
      <c r="BX32" s="15"/>
      <c r="CR32" s="15"/>
      <c r="CS32" s="15"/>
      <c r="CX32" s="15"/>
      <c r="CY32" s="15"/>
      <c r="DC32" s="15"/>
      <c r="DH32" s="1">
        <f t="shared" si="0"/>
        <v>0</v>
      </c>
      <c r="DI32" s="1">
        <f t="shared" si="1"/>
        <v>0</v>
      </c>
    </row>
    <row r="33" spans="1:113" ht="15.75" customHeight="1" x14ac:dyDescent="0.3">
      <c r="A33" s="15" t="s">
        <v>134</v>
      </c>
      <c r="B33" s="16" t="s">
        <v>176</v>
      </c>
      <c r="C33" s="16" t="s">
        <v>120</v>
      </c>
      <c r="D33" s="15" t="s">
        <v>135</v>
      </c>
      <c r="E33" s="17">
        <v>48</v>
      </c>
      <c r="F33" s="15"/>
      <c r="G33" s="15"/>
      <c r="H33" s="15">
        <v>79</v>
      </c>
      <c r="I33" s="18">
        <v>0.309</v>
      </c>
      <c r="J33" s="15">
        <v>23.3</v>
      </c>
      <c r="K33" s="15">
        <v>0.5</v>
      </c>
      <c r="L33" s="15"/>
      <c r="M33" s="47">
        <v>480</v>
      </c>
      <c r="N33" s="17">
        <v>4</v>
      </c>
      <c r="AC33" s="15">
        <v>1</v>
      </c>
      <c r="AD33" s="22">
        <v>1</v>
      </c>
      <c r="AL33" s="15"/>
      <c r="AR33" s="15"/>
      <c r="AS33" s="15"/>
      <c r="AV33" s="15">
        <v>1</v>
      </c>
      <c r="AX33" s="15"/>
      <c r="AY33" s="15"/>
      <c r="BL33" s="15"/>
      <c r="BQ33" s="15"/>
      <c r="BS33" s="15">
        <v>1</v>
      </c>
      <c r="BT33" s="15">
        <v>1</v>
      </c>
      <c r="BV33" s="22">
        <v>1</v>
      </c>
      <c r="BX33" s="15"/>
      <c r="CR33" s="15">
        <v>1</v>
      </c>
      <c r="CS33" s="15"/>
      <c r="CX33" s="15"/>
      <c r="CY33" s="15"/>
      <c r="CZ33" s="22">
        <v>1</v>
      </c>
      <c r="DC33" s="15">
        <v>1</v>
      </c>
      <c r="DE33" s="22">
        <v>1</v>
      </c>
      <c r="DH33" s="1">
        <f t="shared" si="0"/>
        <v>10</v>
      </c>
      <c r="DI33" s="1">
        <f t="shared" si="1"/>
        <v>10</v>
      </c>
    </row>
    <row r="34" spans="1:113" ht="15.75" customHeight="1" x14ac:dyDescent="0.3">
      <c r="A34" s="15" t="s">
        <v>134</v>
      </c>
      <c r="B34" s="16" t="s">
        <v>176</v>
      </c>
      <c r="C34" s="16" t="s">
        <v>122</v>
      </c>
      <c r="D34" s="15" t="s">
        <v>135</v>
      </c>
      <c r="E34" s="17">
        <v>48</v>
      </c>
      <c r="F34" s="15"/>
      <c r="G34" s="15"/>
      <c r="H34" s="15">
        <v>80</v>
      </c>
      <c r="I34" s="18">
        <v>0.32</v>
      </c>
      <c r="J34" s="15">
        <v>24</v>
      </c>
      <c r="K34" s="15">
        <v>0</v>
      </c>
      <c r="L34" s="15"/>
      <c r="M34" s="47"/>
      <c r="N34" s="17">
        <v>4</v>
      </c>
      <c r="AC34" s="15">
        <v>1</v>
      </c>
      <c r="AL34" s="15"/>
      <c r="AR34" s="15"/>
      <c r="AS34" s="15"/>
      <c r="AU34" s="22">
        <v>1</v>
      </c>
      <c r="AV34" s="15">
        <v>1</v>
      </c>
      <c r="AX34" s="15"/>
      <c r="AY34" s="15"/>
      <c r="BC34" s="1">
        <v>1</v>
      </c>
      <c r="BJ34" s="22">
        <v>1</v>
      </c>
      <c r="BK34" s="22"/>
      <c r="BL34" s="15"/>
      <c r="BQ34" s="15"/>
      <c r="BS34" s="15"/>
      <c r="BT34" s="15"/>
      <c r="BX34" s="15"/>
      <c r="CH34" s="1">
        <v>1</v>
      </c>
      <c r="CR34" s="15">
        <v>1</v>
      </c>
      <c r="CS34" s="15"/>
      <c r="CX34" s="15"/>
      <c r="CY34" s="15"/>
      <c r="DC34" s="15"/>
      <c r="DH34" s="1">
        <f t="shared" si="0"/>
        <v>7</v>
      </c>
      <c r="DI34" s="1">
        <f t="shared" si="1"/>
        <v>7</v>
      </c>
    </row>
    <row r="35" spans="1:113" ht="15.75" customHeight="1" x14ac:dyDescent="0.3">
      <c r="A35" s="15" t="s">
        <v>134</v>
      </c>
      <c r="B35" s="16" t="s">
        <v>177</v>
      </c>
      <c r="C35" s="16" t="s">
        <v>120</v>
      </c>
      <c r="D35" s="15" t="s">
        <v>135</v>
      </c>
      <c r="E35" s="17">
        <v>48</v>
      </c>
      <c r="F35" s="15"/>
      <c r="G35" s="15"/>
      <c r="H35" s="15">
        <v>80</v>
      </c>
      <c r="I35" s="18">
        <v>1.85</v>
      </c>
      <c r="J35" s="15">
        <v>25.3</v>
      </c>
      <c r="K35" s="15">
        <v>0.8</v>
      </c>
      <c r="L35" s="15"/>
      <c r="M35" s="47">
        <v>480</v>
      </c>
      <c r="N35" s="17">
        <v>3</v>
      </c>
      <c r="AC35" s="15">
        <v>1</v>
      </c>
      <c r="AI35" s="4">
        <v>1</v>
      </c>
      <c r="AL35" s="15"/>
      <c r="AN35" s="22">
        <v>1</v>
      </c>
      <c r="AR35" s="15"/>
      <c r="AS35" s="15"/>
      <c r="AV35" s="15"/>
      <c r="AX35" s="15"/>
      <c r="AY35" s="15">
        <v>1</v>
      </c>
      <c r="BL35" s="15">
        <v>1</v>
      </c>
      <c r="BQ35" s="15">
        <v>2</v>
      </c>
      <c r="BS35" s="15"/>
      <c r="BT35" s="15">
        <v>3</v>
      </c>
      <c r="BX35" s="15">
        <v>1</v>
      </c>
      <c r="CA35" s="1">
        <v>1</v>
      </c>
      <c r="CM35" s="4">
        <v>1</v>
      </c>
      <c r="CR35" s="15"/>
      <c r="CS35" s="15"/>
      <c r="CT35" s="22">
        <v>1</v>
      </c>
      <c r="CX35" s="15"/>
      <c r="CY35" s="15"/>
      <c r="DA35" s="22">
        <v>1</v>
      </c>
      <c r="DB35" s="22">
        <v>1</v>
      </c>
      <c r="DC35" s="15"/>
      <c r="DD35" s="22">
        <v>1</v>
      </c>
      <c r="DH35" s="1">
        <f t="shared" si="0"/>
        <v>14</v>
      </c>
      <c r="DI35" s="1">
        <f t="shared" si="1"/>
        <v>17</v>
      </c>
    </row>
    <row r="36" spans="1:113" ht="15.75" customHeight="1" x14ac:dyDescent="0.3">
      <c r="A36" s="15" t="s">
        <v>134</v>
      </c>
      <c r="B36" s="23" t="s">
        <v>177</v>
      </c>
      <c r="C36" s="23" t="s">
        <v>122</v>
      </c>
      <c r="D36" s="15" t="s">
        <v>135</v>
      </c>
      <c r="E36" s="17">
        <v>48</v>
      </c>
      <c r="F36" s="15"/>
      <c r="G36" s="15"/>
      <c r="H36" s="15">
        <v>58</v>
      </c>
      <c r="I36" s="18">
        <v>0.27</v>
      </c>
      <c r="J36" s="15">
        <v>26.8</v>
      </c>
      <c r="K36" s="15">
        <v>0.5</v>
      </c>
      <c r="L36" s="15"/>
      <c r="M36" s="47"/>
      <c r="N36" s="17">
        <v>3</v>
      </c>
      <c r="AC36" s="22">
        <v>1</v>
      </c>
      <c r="AL36" s="15"/>
      <c r="AQ36" s="22">
        <v>1</v>
      </c>
      <c r="AR36" s="15"/>
      <c r="AS36" s="15"/>
      <c r="AV36" s="15"/>
      <c r="AX36" s="15">
        <v>1</v>
      </c>
      <c r="AY36" s="15"/>
      <c r="BS36" s="15"/>
      <c r="BT36" s="15"/>
      <c r="BX36" s="15"/>
      <c r="CR36" s="15"/>
      <c r="CS36" s="15"/>
      <c r="CT36" s="22">
        <v>1</v>
      </c>
      <c r="CX36" s="15">
        <v>1</v>
      </c>
      <c r="CY36" s="15"/>
      <c r="DC36" s="15"/>
      <c r="DH36" s="1">
        <f t="shared" si="0"/>
        <v>5</v>
      </c>
      <c r="DI36" s="1">
        <f t="shared" si="1"/>
        <v>5</v>
      </c>
    </row>
    <row r="37" spans="1:113" ht="15.75" customHeight="1" x14ac:dyDescent="0.3">
      <c r="A37" s="15" t="s">
        <v>134</v>
      </c>
      <c r="B37" s="23" t="s">
        <v>200</v>
      </c>
      <c r="C37" s="23" t="s">
        <v>120</v>
      </c>
      <c r="D37" s="15" t="s">
        <v>136</v>
      </c>
      <c r="E37" s="17">
        <v>46</v>
      </c>
      <c r="F37" s="15"/>
      <c r="G37" s="15"/>
      <c r="H37" s="20">
        <v>77</v>
      </c>
      <c r="I37" s="18">
        <v>0.28999999999999998</v>
      </c>
      <c r="J37" s="15">
        <v>22</v>
      </c>
      <c r="K37" s="15">
        <v>0</v>
      </c>
      <c r="L37" s="15"/>
      <c r="M37" s="18"/>
      <c r="N37" s="17">
        <v>5</v>
      </c>
      <c r="AC37" s="22"/>
      <c r="AL37" s="15"/>
      <c r="AP37" s="1">
        <v>1</v>
      </c>
      <c r="AQ37" s="22"/>
      <c r="AR37" s="15"/>
      <c r="AS37" s="15"/>
      <c r="AV37" s="15"/>
      <c r="AX37" s="15"/>
      <c r="AY37" s="15"/>
      <c r="BS37" s="15"/>
      <c r="BT37" s="15"/>
      <c r="BX37" s="15"/>
      <c r="CI37" s="1">
        <v>1</v>
      </c>
      <c r="CR37" s="15"/>
      <c r="CS37" s="15"/>
      <c r="CT37" s="22"/>
      <c r="CX37" s="15"/>
      <c r="CY37" s="15"/>
      <c r="DC37" s="15"/>
      <c r="DH37" s="1">
        <f t="shared" si="0"/>
        <v>2</v>
      </c>
      <c r="DI37" s="1">
        <f t="shared" si="1"/>
        <v>2</v>
      </c>
    </row>
    <row r="38" spans="1:113" ht="15.75" customHeight="1" x14ac:dyDescent="0.3">
      <c r="A38" s="15" t="s">
        <v>134</v>
      </c>
      <c r="B38" s="23" t="s">
        <v>200</v>
      </c>
      <c r="C38" s="23" t="s">
        <v>120</v>
      </c>
      <c r="D38" s="15" t="s">
        <v>135</v>
      </c>
      <c r="E38" s="17">
        <v>48</v>
      </c>
      <c r="F38" s="15"/>
      <c r="G38" s="15"/>
      <c r="H38" s="15">
        <v>77</v>
      </c>
      <c r="I38" s="18">
        <v>0.28999999999999998</v>
      </c>
      <c r="J38" s="15">
        <v>25.9</v>
      </c>
      <c r="K38" s="15">
        <v>0</v>
      </c>
      <c r="L38" s="15"/>
      <c r="M38" s="47">
        <v>480</v>
      </c>
      <c r="N38" s="17">
        <v>5</v>
      </c>
      <c r="X38" s="22">
        <v>1</v>
      </c>
      <c r="AC38" s="15"/>
      <c r="AL38" s="15"/>
      <c r="AR38" s="15"/>
      <c r="AS38" s="15"/>
      <c r="AV38" s="15"/>
      <c r="AX38" s="22">
        <v>1</v>
      </c>
      <c r="AY38" s="15">
        <v>1</v>
      </c>
      <c r="BF38" s="22">
        <v>1</v>
      </c>
      <c r="BG38" s="22">
        <v>1</v>
      </c>
      <c r="BL38" s="15"/>
      <c r="BQ38" s="15">
        <v>1</v>
      </c>
      <c r="BS38" s="15">
        <v>1</v>
      </c>
      <c r="BT38" s="22">
        <v>1</v>
      </c>
      <c r="BX38" s="15">
        <v>1</v>
      </c>
      <c r="CN38" s="22">
        <v>1</v>
      </c>
      <c r="CR38" s="15"/>
      <c r="CS38" s="15"/>
      <c r="CX38" s="15"/>
      <c r="CY38" s="15"/>
      <c r="CZ38" s="22">
        <v>1</v>
      </c>
      <c r="DC38" s="15"/>
      <c r="DF38" s="22">
        <v>1</v>
      </c>
      <c r="DH38" s="1">
        <f t="shared" si="0"/>
        <v>12</v>
      </c>
      <c r="DI38" s="1">
        <f t="shared" si="1"/>
        <v>12</v>
      </c>
    </row>
    <row r="39" spans="1:113" ht="15.75" customHeight="1" x14ac:dyDescent="0.3">
      <c r="A39" s="15" t="s">
        <v>134</v>
      </c>
      <c r="B39" s="23" t="s">
        <v>200</v>
      </c>
      <c r="C39" s="23" t="s">
        <v>122</v>
      </c>
      <c r="D39" s="15" t="s">
        <v>135</v>
      </c>
      <c r="E39" s="17">
        <v>48</v>
      </c>
      <c r="F39" s="15"/>
      <c r="G39" s="15"/>
      <c r="H39" s="15">
        <v>55</v>
      </c>
      <c r="I39" s="18">
        <v>4.9000000000000002E-2</v>
      </c>
      <c r="J39" s="15">
        <v>27.2</v>
      </c>
      <c r="K39" s="15">
        <v>0</v>
      </c>
      <c r="L39" s="15"/>
      <c r="M39" s="47"/>
      <c r="N39" s="17">
        <v>5</v>
      </c>
      <c r="AC39" s="15"/>
      <c r="AD39" s="1">
        <v>1</v>
      </c>
      <c r="AL39" s="15"/>
      <c r="AR39" s="15"/>
      <c r="AS39" s="15"/>
      <c r="AV39" s="15"/>
      <c r="AX39" s="15"/>
      <c r="AY39" s="15"/>
      <c r="AZ39" s="22">
        <v>1</v>
      </c>
      <c r="BA39" s="22">
        <v>1</v>
      </c>
      <c r="BL39" s="15"/>
      <c r="BQ39" s="15"/>
      <c r="BS39" s="15"/>
      <c r="BT39" s="15"/>
      <c r="BX39" s="15"/>
      <c r="CR39" s="15"/>
      <c r="CS39" s="15"/>
      <c r="CX39" s="15"/>
      <c r="CY39" s="15"/>
      <c r="DC39" s="15"/>
      <c r="DH39" s="1">
        <f t="shared" si="0"/>
        <v>3</v>
      </c>
      <c r="DI39" s="1">
        <f t="shared" si="1"/>
        <v>3</v>
      </c>
    </row>
    <row r="40" spans="1:113" ht="15.75" customHeight="1" x14ac:dyDescent="0.3">
      <c r="A40" s="15" t="s">
        <v>134</v>
      </c>
      <c r="B40" s="23" t="s">
        <v>180</v>
      </c>
      <c r="C40" s="23" t="s">
        <v>120</v>
      </c>
      <c r="D40" s="15" t="s">
        <v>135</v>
      </c>
      <c r="E40" s="17">
        <v>48</v>
      </c>
      <c r="F40" s="15"/>
      <c r="G40" s="15"/>
      <c r="H40" s="15">
        <v>76</v>
      </c>
      <c r="I40" s="18">
        <v>0.30399999999999999</v>
      </c>
      <c r="J40" s="15">
        <v>24.9</v>
      </c>
      <c r="K40" s="15">
        <v>2</v>
      </c>
      <c r="L40" s="15"/>
      <c r="M40" s="47">
        <v>480</v>
      </c>
      <c r="N40" s="17">
        <v>5</v>
      </c>
      <c r="AC40" s="15"/>
      <c r="AL40" s="15"/>
      <c r="AR40" s="15"/>
      <c r="AS40" s="15"/>
      <c r="AV40" s="15"/>
      <c r="AX40" s="15"/>
      <c r="AY40" s="15"/>
      <c r="BL40" s="15"/>
      <c r="BQ40" s="15"/>
      <c r="BS40" s="15"/>
      <c r="BT40" s="15"/>
      <c r="BX40" s="15"/>
      <c r="CR40" s="15"/>
      <c r="CS40" s="15"/>
      <c r="CX40" s="15"/>
      <c r="CY40" s="15"/>
      <c r="DC40" s="15"/>
      <c r="DH40" s="1">
        <f t="shared" si="0"/>
        <v>0</v>
      </c>
      <c r="DI40" s="1">
        <f t="shared" si="1"/>
        <v>0</v>
      </c>
    </row>
    <row r="41" spans="1:113" ht="15.75" customHeight="1" x14ac:dyDescent="0.3">
      <c r="A41" s="15" t="s">
        <v>134</v>
      </c>
      <c r="B41" s="23" t="s">
        <v>180</v>
      </c>
      <c r="C41" s="23" t="s">
        <v>122</v>
      </c>
      <c r="D41" s="15" t="s">
        <v>135</v>
      </c>
      <c r="E41" s="17">
        <v>48</v>
      </c>
      <c r="F41" s="15"/>
      <c r="G41" s="15"/>
      <c r="H41" s="15">
        <v>47</v>
      </c>
      <c r="I41" s="18">
        <v>0.13600000000000001</v>
      </c>
      <c r="J41" s="15">
        <v>29.3</v>
      </c>
      <c r="K41" s="15">
        <v>0.7</v>
      </c>
      <c r="L41" s="15"/>
      <c r="M41" s="47"/>
      <c r="N41" s="17">
        <v>5</v>
      </c>
      <c r="X41" s="4"/>
      <c r="AC41" s="15"/>
      <c r="AD41" s="4"/>
      <c r="AI41" s="4"/>
      <c r="AL41" s="15"/>
      <c r="AN41" s="4"/>
      <c r="AQ41" s="4"/>
      <c r="AR41" s="15"/>
      <c r="AS41" s="15"/>
      <c r="AU41" s="4"/>
      <c r="AV41" s="15"/>
      <c r="AX41" s="15"/>
      <c r="AY41" s="15">
        <v>2</v>
      </c>
      <c r="AZ41" s="4"/>
      <c r="BA41" s="4"/>
      <c r="BF41" s="4"/>
      <c r="BG41" s="4"/>
      <c r="BJ41" s="4"/>
      <c r="BK41" s="4"/>
      <c r="BL41" s="15"/>
      <c r="BQ41" s="15"/>
      <c r="BS41" s="15"/>
      <c r="BT41" s="15"/>
      <c r="BV41" s="4"/>
      <c r="BX41" s="15">
        <v>1</v>
      </c>
      <c r="CM41" s="4"/>
      <c r="CN41" s="4"/>
      <c r="CR41" s="15"/>
      <c r="CS41" s="15"/>
      <c r="CT41" s="4"/>
      <c r="CX41" s="15"/>
      <c r="CY41" s="15"/>
      <c r="CZ41" s="4"/>
      <c r="DA41" s="4"/>
      <c r="DB41" s="4"/>
      <c r="DC41" s="15"/>
      <c r="DD41" s="4"/>
      <c r="DE41" s="4"/>
      <c r="DF41" s="4"/>
      <c r="DH41" s="1">
        <f t="shared" si="0"/>
        <v>2</v>
      </c>
      <c r="DI41" s="1">
        <f t="shared" si="1"/>
        <v>3</v>
      </c>
    </row>
    <row r="42" spans="1:113" ht="15.75" customHeight="1" x14ac:dyDescent="0.3">
      <c r="A42" s="15" t="s">
        <v>134</v>
      </c>
      <c r="B42" s="23" t="s">
        <v>181</v>
      </c>
      <c r="C42" s="23" t="s">
        <v>120</v>
      </c>
      <c r="D42" s="15" t="s">
        <v>137</v>
      </c>
      <c r="E42" s="24">
        <v>52</v>
      </c>
      <c r="F42" s="15"/>
      <c r="G42" s="15"/>
      <c r="H42" s="20">
        <v>63</v>
      </c>
      <c r="I42" s="18">
        <v>0.08</v>
      </c>
      <c r="J42" s="15">
        <v>21</v>
      </c>
      <c r="K42" s="15">
        <v>0</v>
      </c>
      <c r="L42" s="15"/>
      <c r="M42" s="18"/>
      <c r="N42" s="17">
        <v>3</v>
      </c>
      <c r="X42" s="4"/>
      <c r="AC42" s="15"/>
      <c r="AD42" s="4"/>
      <c r="AI42" s="4"/>
      <c r="AL42" s="15"/>
      <c r="AN42" s="4"/>
      <c r="AQ42" s="4"/>
      <c r="AR42" s="15"/>
      <c r="AS42" s="15"/>
      <c r="AU42" s="4"/>
      <c r="AV42" s="15"/>
      <c r="AX42" s="15"/>
      <c r="AY42" s="15"/>
      <c r="AZ42" s="4"/>
      <c r="BA42" s="4"/>
      <c r="BF42" s="4"/>
      <c r="BG42" s="4"/>
      <c r="BJ42" s="4"/>
      <c r="BK42" s="4"/>
      <c r="BL42" s="15"/>
      <c r="BQ42" s="15"/>
      <c r="BS42" s="15"/>
      <c r="BT42" s="15">
        <v>1</v>
      </c>
      <c r="BV42" s="4"/>
      <c r="BX42" s="15"/>
      <c r="CM42" s="4"/>
      <c r="CN42" s="4"/>
      <c r="CR42" s="15"/>
      <c r="CS42" s="15"/>
      <c r="CT42" s="4"/>
      <c r="CX42" s="15"/>
      <c r="CY42" s="15"/>
      <c r="CZ42" s="4"/>
      <c r="DA42" s="4"/>
      <c r="DB42" s="4"/>
      <c r="DC42" s="15"/>
      <c r="DD42" s="4"/>
      <c r="DE42" s="4"/>
      <c r="DF42" s="4"/>
      <c r="DH42" s="1">
        <f t="shared" si="0"/>
        <v>1</v>
      </c>
      <c r="DI42" s="1">
        <f t="shared" si="1"/>
        <v>1</v>
      </c>
    </row>
    <row r="43" spans="1:113" ht="15.75" customHeight="1" x14ac:dyDescent="0.3">
      <c r="A43" s="15" t="s">
        <v>138</v>
      </c>
      <c r="B43" s="23" t="s">
        <v>181</v>
      </c>
      <c r="C43" s="23" t="s">
        <v>139</v>
      </c>
      <c r="D43" s="25" t="s">
        <v>135</v>
      </c>
      <c r="E43" s="17">
        <v>48</v>
      </c>
      <c r="F43" s="15"/>
      <c r="G43" s="15"/>
      <c r="H43" s="15">
        <v>63</v>
      </c>
      <c r="I43" s="18">
        <v>6.6900000000000001E-2</v>
      </c>
      <c r="J43" s="15">
        <v>33.700000000000003</v>
      </c>
      <c r="K43" s="15">
        <v>2.4</v>
      </c>
      <c r="L43" s="15"/>
      <c r="M43" s="47">
        <v>480</v>
      </c>
      <c r="N43" s="17">
        <v>3</v>
      </c>
      <c r="AC43" s="15"/>
      <c r="AL43" s="15"/>
      <c r="AR43" s="15"/>
      <c r="AS43" s="15"/>
      <c r="AV43" s="15"/>
      <c r="AX43" s="15">
        <v>1</v>
      </c>
      <c r="AY43" s="15">
        <v>1</v>
      </c>
      <c r="AZ43" s="1">
        <v>1</v>
      </c>
      <c r="BL43" s="15"/>
      <c r="BQ43" s="15"/>
      <c r="BS43" s="15"/>
      <c r="BT43" s="15"/>
      <c r="BX43" s="15">
        <v>1</v>
      </c>
      <c r="CR43" s="15"/>
      <c r="CS43" s="15"/>
      <c r="CX43" s="15"/>
      <c r="CY43" s="15"/>
      <c r="DC43" s="15"/>
      <c r="DH43" s="1">
        <f t="shared" si="0"/>
        <v>4</v>
      </c>
      <c r="DI43" s="1">
        <f t="shared" si="1"/>
        <v>4</v>
      </c>
    </row>
    <row r="44" spans="1:113" ht="15.75" customHeight="1" x14ac:dyDescent="0.3">
      <c r="A44" s="15" t="s">
        <v>134</v>
      </c>
      <c r="B44" s="23" t="s">
        <v>181</v>
      </c>
      <c r="C44" s="23" t="s">
        <v>140</v>
      </c>
      <c r="D44" s="25" t="s">
        <v>135</v>
      </c>
      <c r="E44" s="17">
        <v>48</v>
      </c>
      <c r="F44" s="15"/>
      <c r="G44" s="15"/>
      <c r="H44" s="15">
        <v>44</v>
      </c>
      <c r="I44" s="18">
        <v>21.4</v>
      </c>
      <c r="J44" s="15">
        <v>34.4</v>
      </c>
      <c r="K44" s="15">
        <v>2</v>
      </c>
      <c r="L44" s="15"/>
      <c r="M44" s="47"/>
      <c r="N44" s="17">
        <v>3</v>
      </c>
      <c r="Z44" s="1">
        <v>1</v>
      </c>
      <c r="AC44" s="15"/>
      <c r="AL44" s="15"/>
      <c r="AR44" s="15"/>
      <c r="AS44" s="15"/>
      <c r="AV44" s="15"/>
      <c r="AX44" s="15"/>
      <c r="AY44" s="15">
        <v>1</v>
      </c>
      <c r="BA44" s="1">
        <v>1</v>
      </c>
      <c r="BL44" s="15"/>
      <c r="BO44" s="1">
        <v>1</v>
      </c>
      <c r="BQ44" s="15"/>
      <c r="BS44" s="15"/>
      <c r="BT44" s="15"/>
      <c r="BX44" s="15"/>
      <c r="CR44" s="15"/>
      <c r="CS44" s="15"/>
      <c r="CX44" s="15"/>
      <c r="CY44" s="15"/>
      <c r="DC44" s="15"/>
      <c r="DH44" s="1">
        <f t="shared" si="0"/>
        <v>4</v>
      </c>
      <c r="DI44" s="1">
        <f t="shared" si="1"/>
        <v>4</v>
      </c>
    </row>
    <row r="45" spans="1:113" ht="15.75" customHeight="1" x14ac:dyDescent="0.3">
      <c r="A45" s="15" t="s">
        <v>134</v>
      </c>
      <c r="B45" s="23" t="s">
        <v>198</v>
      </c>
      <c r="C45" s="23" t="s">
        <v>139</v>
      </c>
      <c r="D45" s="25" t="s">
        <v>135</v>
      </c>
      <c r="E45" s="17">
        <v>48</v>
      </c>
      <c r="F45" s="15"/>
      <c r="G45" s="15"/>
      <c r="H45" s="15">
        <v>57</v>
      </c>
      <c r="I45" s="18">
        <v>32.799999999999997</v>
      </c>
      <c r="J45" s="15">
        <v>30.4</v>
      </c>
      <c r="K45" s="15">
        <v>3.9</v>
      </c>
      <c r="L45" s="15"/>
      <c r="M45" s="47">
        <v>480</v>
      </c>
      <c r="N45" s="17">
        <v>3</v>
      </c>
      <c r="AC45" s="15"/>
      <c r="AL45" s="15"/>
      <c r="AR45" s="15"/>
      <c r="AS45" s="15"/>
      <c r="AV45" s="15"/>
      <c r="AX45" s="15"/>
      <c r="AY45" s="15"/>
      <c r="BL45" s="15"/>
      <c r="BO45" s="1">
        <v>1</v>
      </c>
      <c r="BQ45" s="15"/>
      <c r="BS45" s="15"/>
      <c r="BT45" s="15"/>
      <c r="BX45" s="15"/>
      <c r="CR45" s="15"/>
      <c r="CS45" s="15"/>
      <c r="CX45" s="15"/>
      <c r="CY45" s="15"/>
      <c r="DC45" s="15"/>
      <c r="DH45" s="1">
        <f t="shared" si="0"/>
        <v>1</v>
      </c>
      <c r="DI45" s="1">
        <f t="shared" si="1"/>
        <v>1</v>
      </c>
    </row>
    <row r="46" spans="1:113" ht="15.75" customHeight="1" x14ac:dyDescent="0.3">
      <c r="A46" s="15" t="s">
        <v>134</v>
      </c>
      <c r="B46" s="15" t="s">
        <v>198</v>
      </c>
      <c r="C46" s="15" t="s">
        <v>122</v>
      </c>
      <c r="D46" s="25" t="s">
        <v>135</v>
      </c>
      <c r="E46" s="17">
        <v>48</v>
      </c>
      <c r="F46" s="15"/>
      <c r="G46" s="15"/>
      <c r="H46" s="15">
        <v>28</v>
      </c>
      <c r="I46" s="18">
        <v>31.5</v>
      </c>
      <c r="J46" s="15">
        <v>43.8</v>
      </c>
      <c r="K46" s="15">
        <v>1.1000000000000001</v>
      </c>
      <c r="L46" s="15"/>
      <c r="M46" s="47"/>
      <c r="N46" s="17">
        <v>3</v>
      </c>
      <c r="V46" s="1">
        <v>1</v>
      </c>
      <c r="AC46" s="15"/>
      <c r="AL46" s="15"/>
      <c r="AR46" s="15"/>
      <c r="AS46" s="15"/>
      <c r="AV46" s="15"/>
      <c r="AX46" s="15"/>
      <c r="AY46" s="15"/>
      <c r="BL46" s="15"/>
      <c r="BQ46" s="15"/>
      <c r="BS46" s="15"/>
      <c r="BT46" s="15"/>
      <c r="BX46" s="15">
        <v>1</v>
      </c>
      <c r="CR46" s="15"/>
      <c r="CS46" s="15"/>
      <c r="CX46" s="15"/>
      <c r="CY46" s="15"/>
      <c r="DC46" s="15"/>
      <c r="DH46" s="1">
        <f t="shared" si="0"/>
        <v>2</v>
      </c>
      <c r="DI46" s="1">
        <f t="shared" si="1"/>
        <v>2</v>
      </c>
    </row>
    <row r="47" spans="1:113" ht="15.75" customHeight="1" x14ac:dyDescent="0.3">
      <c r="A47" s="15"/>
      <c r="B47" s="16"/>
      <c r="C47" s="16"/>
      <c r="D47" s="15"/>
      <c r="E47" s="17"/>
      <c r="F47" s="15"/>
      <c r="G47" s="15"/>
      <c r="H47" s="15"/>
      <c r="I47" s="18"/>
      <c r="J47" s="15"/>
      <c r="K47" s="15"/>
      <c r="L47" s="15"/>
      <c r="M47" s="18"/>
      <c r="N47" s="17"/>
      <c r="AC47" s="15"/>
      <c r="AL47" s="15"/>
      <c r="AR47" s="15"/>
      <c r="AS47" s="15"/>
      <c r="AV47" s="15"/>
      <c r="AX47" s="15"/>
      <c r="AY47" s="15"/>
      <c r="BL47" s="15"/>
      <c r="BQ47" s="15"/>
      <c r="BS47" s="15"/>
      <c r="BT47" s="15"/>
      <c r="BX47" s="15"/>
      <c r="CR47" s="15"/>
      <c r="CS47" s="15"/>
      <c r="CX47" s="15"/>
      <c r="CY47" s="15"/>
      <c r="DC47" s="15"/>
      <c r="DH47" s="1">
        <f t="shared" si="0"/>
        <v>0</v>
      </c>
      <c r="DI47" s="1">
        <f t="shared" si="1"/>
        <v>0</v>
      </c>
    </row>
    <row r="48" spans="1:113" ht="15.75" customHeight="1" x14ac:dyDescent="0.3">
      <c r="A48" s="15" t="s">
        <v>141</v>
      </c>
      <c r="B48" s="26" t="s">
        <v>176</v>
      </c>
      <c r="C48" s="26" t="s">
        <v>120</v>
      </c>
      <c r="D48" s="27" t="s">
        <v>142</v>
      </c>
      <c r="E48" s="28">
        <v>83</v>
      </c>
      <c r="F48" s="15"/>
      <c r="G48" s="15"/>
      <c r="H48" s="30">
        <v>95</v>
      </c>
      <c r="I48" s="29">
        <v>0.59</v>
      </c>
      <c r="J48" s="30">
        <v>23.4</v>
      </c>
      <c r="K48" s="30">
        <v>0</v>
      </c>
      <c r="L48" s="15"/>
      <c r="M48" s="31">
        <v>480</v>
      </c>
      <c r="N48" s="21">
        <v>4</v>
      </c>
      <c r="AC48" s="15">
        <v>1</v>
      </c>
      <c r="AD48" s="1">
        <v>1</v>
      </c>
      <c r="AL48" s="15"/>
      <c r="AR48" s="15">
        <v>5</v>
      </c>
      <c r="AS48" s="15"/>
      <c r="AV48" s="15"/>
      <c r="AX48" s="15">
        <v>1</v>
      </c>
      <c r="AY48" s="15"/>
      <c r="BL48" s="15">
        <v>1</v>
      </c>
      <c r="BQ48" s="15"/>
      <c r="BS48" s="15"/>
      <c r="BT48" s="15">
        <v>2</v>
      </c>
      <c r="BV48" s="1">
        <v>2</v>
      </c>
      <c r="BX48" s="15"/>
      <c r="CO48" s="1">
        <v>4</v>
      </c>
      <c r="CR48" s="15"/>
      <c r="CS48" s="15"/>
      <c r="CX48" s="15"/>
      <c r="CY48" s="15"/>
      <c r="CZ48" s="1">
        <v>1</v>
      </c>
      <c r="DC48" s="15"/>
      <c r="DH48" s="1">
        <f t="shared" si="0"/>
        <v>9</v>
      </c>
      <c r="DI48" s="1">
        <f t="shared" si="1"/>
        <v>18</v>
      </c>
    </row>
    <row r="49" spans="1:113" ht="15.75" customHeight="1" x14ac:dyDescent="0.3">
      <c r="A49" s="15" t="s">
        <v>141</v>
      </c>
      <c r="B49" s="26" t="s">
        <v>177</v>
      </c>
      <c r="C49" s="26" t="s">
        <v>120</v>
      </c>
      <c r="D49" s="27" t="s">
        <v>143</v>
      </c>
      <c r="E49" s="28">
        <v>84</v>
      </c>
      <c r="F49" s="15"/>
      <c r="G49" s="15"/>
      <c r="H49" s="30">
        <v>99</v>
      </c>
      <c r="I49" s="29">
        <v>34.6</v>
      </c>
      <c r="J49" s="30">
        <v>25.4</v>
      </c>
      <c r="K49" s="30">
        <v>2.2999999999999998</v>
      </c>
      <c r="L49" s="15"/>
      <c r="M49" s="29"/>
      <c r="N49" s="21">
        <v>3</v>
      </c>
      <c r="W49" s="1">
        <v>1</v>
      </c>
      <c r="AC49" s="15">
        <v>1</v>
      </c>
      <c r="AE49" s="1">
        <v>1</v>
      </c>
      <c r="AL49" s="15"/>
      <c r="AR49" s="15"/>
      <c r="AS49" s="15"/>
      <c r="AV49" s="15"/>
      <c r="AX49" s="15">
        <v>1</v>
      </c>
      <c r="AY49" s="15"/>
      <c r="BB49" s="1">
        <v>1</v>
      </c>
      <c r="BL49" s="15"/>
      <c r="BQ49" s="15"/>
      <c r="BS49" s="15"/>
      <c r="BT49" s="15">
        <v>1</v>
      </c>
      <c r="BX49" s="15">
        <v>1</v>
      </c>
      <c r="CB49" s="1">
        <v>1</v>
      </c>
      <c r="CC49" s="1">
        <v>1</v>
      </c>
      <c r="CR49" s="15"/>
      <c r="CS49" s="15"/>
      <c r="CX49" s="15">
        <v>1</v>
      </c>
      <c r="CY49" s="15"/>
      <c r="CZ49" s="1">
        <v>1</v>
      </c>
      <c r="DC49" s="15"/>
      <c r="DH49" s="1">
        <f t="shared" si="0"/>
        <v>11</v>
      </c>
      <c r="DI49" s="1">
        <f t="shared" si="1"/>
        <v>11</v>
      </c>
    </row>
    <row r="50" spans="1:113" ht="15.75" customHeight="1" x14ac:dyDescent="0.3">
      <c r="A50" s="15" t="s">
        <v>141</v>
      </c>
      <c r="B50" s="26" t="s">
        <v>200</v>
      </c>
      <c r="C50" s="26" t="s">
        <v>120</v>
      </c>
      <c r="D50" s="32">
        <v>44630</v>
      </c>
      <c r="E50" s="28">
        <v>74</v>
      </c>
      <c r="F50" s="15"/>
      <c r="G50" s="15"/>
      <c r="H50" s="33">
        <v>99</v>
      </c>
      <c r="I50" s="29">
        <v>0.42</v>
      </c>
      <c r="J50" s="30">
        <v>22</v>
      </c>
      <c r="K50" s="30">
        <v>0</v>
      </c>
      <c r="L50" s="15"/>
      <c r="M50" s="29"/>
      <c r="N50" s="21">
        <v>5</v>
      </c>
      <c r="P50" s="1">
        <v>1</v>
      </c>
      <c r="AC50" s="15"/>
      <c r="AL50" s="15"/>
      <c r="AR50" s="15"/>
      <c r="AS50" s="15"/>
      <c r="AV50" s="15"/>
      <c r="AX50" s="15"/>
      <c r="AY50" s="15">
        <v>1</v>
      </c>
      <c r="BB50" s="1">
        <v>3</v>
      </c>
      <c r="BL50" s="15">
        <v>1</v>
      </c>
      <c r="BQ50" s="15"/>
      <c r="BS50" s="15"/>
      <c r="BT50" s="15">
        <v>2</v>
      </c>
      <c r="BX50" s="15"/>
      <c r="CF50" s="1">
        <v>1</v>
      </c>
      <c r="CI50" s="1">
        <v>1</v>
      </c>
      <c r="CR50" s="15"/>
      <c r="CS50" s="15"/>
      <c r="CX50" s="15"/>
      <c r="CY50" s="15"/>
      <c r="DC50" s="15"/>
      <c r="DH50" s="1">
        <f t="shared" si="0"/>
        <v>7</v>
      </c>
      <c r="DI50" s="1">
        <f t="shared" si="1"/>
        <v>10</v>
      </c>
    </row>
    <row r="51" spans="1:113" ht="15.75" customHeight="1" x14ac:dyDescent="0.3">
      <c r="A51" s="15" t="s">
        <v>141</v>
      </c>
      <c r="B51" s="26" t="s">
        <v>200</v>
      </c>
      <c r="C51" s="26" t="s">
        <v>120</v>
      </c>
      <c r="D51" s="27" t="s">
        <v>142</v>
      </c>
      <c r="E51" s="28">
        <v>83</v>
      </c>
      <c r="F51" s="15"/>
      <c r="G51" s="15"/>
      <c r="H51" s="30">
        <v>99</v>
      </c>
      <c r="I51" s="34">
        <v>0.47249999999999998</v>
      </c>
      <c r="J51" s="30">
        <v>25.7</v>
      </c>
      <c r="K51" s="26">
        <v>0</v>
      </c>
      <c r="L51" s="15"/>
      <c r="M51" s="30">
        <v>480</v>
      </c>
      <c r="N51" s="21">
        <v>5</v>
      </c>
      <c r="W51" s="1">
        <v>1</v>
      </c>
      <c r="AC51" s="15"/>
      <c r="AD51" s="1">
        <v>1</v>
      </c>
      <c r="AE51" s="1">
        <v>1</v>
      </c>
      <c r="AL51" s="15"/>
      <c r="AR51" s="15"/>
      <c r="AS51" s="15"/>
      <c r="AV51" s="15"/>
      <c r="AX51" s="15"/>
      <c r="AY51" s="15">
        <v>1</v>
      </c>
      <c r="BL51" s="15"/>
      <c r="BQ51" s="15"/>
      <c r="BS51" s="15"/>
      <c r="BT51" s="15"/>
      <c r="BX51" s="15"/>
      <c r="CG51" s="1">
        <v>1</v>
      </c>
      <c r="CI51" s="1">
        <v>2</v>
      </c>
      <c r="CR51" s="15"/>
      <c r="CS51" s="15"/>
      <c r="CX51" s="15">
        <v>1</v>
      </c>
      <c r="CY51" s="15"/>
      <c r="CZ51" s="1">
        <v>1</v>
      </c>
      <c r="DC51" s="15"/>
      <c r="DH51" s="1">
        <f t="shared" si="0"/>
        <v>8</v>
      </c>
      <c r="DI51" s="1">
        <f t="shared" si="1"/>
        <v>9</v>
      </c>
    </row>
    <row r="52" spans="1:113" ht="15.75" customHeight="1" x14ac:dyDescent="0.3">
      <c r="A52" s="15" t="s">
        <v>141</v>
      </c>
      <c r="B52" s="26" t="s">
        <v>200</v>
      </c>
      <c r="C52" s="26" t="s">
        <v>122</v>
      </c>
      <c r="D52" s="27" t="s">
        <v>142</v>
      </c>
      <c r="E52" s="28">
        <v>83</v>
      </c>
      <c r="F52" s="15"/>
      <c r="G52" s="15"/>
      <c r="H52" s="30">
        <v>99</v>
      </c>
      <c r="I52" s="29">
        <v>32.6</v>
      </c>
      <c r="J52" s="30">
        <v>23.7</v>
      </c>
      <c r="K52" s="26">
        <v>0</v>
      </c>
      <c r="L52" s="15"/>
      <c r="M52" s="26"/>
      <c r="N52" s="21">
        <v>5</v>
      </c>
      <c r="AC52" s="15"/>
      <c r="AL52" s="15"/>
      <c r="AR52" s="15"/>
      <c r="AS52" s="15"/>
      <c r="AV52" s="15"/>
      <c r="AX52" s="15"/>
      <c r="AY52" s="15">
        <v>1</v>
      </c>
      <c r="BL52" s="15"/>
      <c r="BQ52" s="15"/>
      <c r="BS52" s="15"/>
      <c r="BT52" s="15"/>
      <c r="BX52" s="15"/>
      <c r="CG52" s="1">
        <v>1</v>
      </c>
      <c r="CR52" s="15"/>
      <c r="CS52" s="15"/>
      <c r="CV52" s="1">
        <v>1</v>
      </c>
      <c r="CX52" s="15"/>
      <c r="CY52" s="15"/>
      <c r="DC52" s="15"/>
      <c r="DH52" s="1">
        <f t="shared" si="0"/>
        <v>3</v>
      </c>
      <c r="DI52" s="1">
        <f t="shared" si="1"/>
        <v>3</v>
      </c>
    </row>
    <row r="53" spans="1:113" ht="15.75" customHeight="1" x14ac:dyDescent="0.3">
      <c r="A53" s="15" t="s">
        <v>141</v>
      </c>
      <c r="B53" s="26" t="s">
        <v>180</v>
      </c>
      <c r="C53" s="26" t="s">
        <v>120</v>
      </c>
      <c r="D53" s="27" t="s">
        <v>142</v>
      </c>
      <c r="E53" s="28">
        <v>83</v>
      </c>
      <c r="F53" s="15"/>
      <c r="G53" s="15"/>
      <c r="H53" s="30">
        <v>97</v>
      </c>
      <c r="I53" s="35">
        <v>0.53600000000000003</v>
      </c>
      <c r="J53" s="30">
        <v>24.9</v>
      </c>
      <c r="K53" s="30">
        <v>0</v>
      </c>
      <c r="L53" s="15"/>
      <c r="M53" s="30">
        <v>480</v>
      </c>
      <c r="N53" s="21">
        <v>5</v>
      </c>
      <c r="AC53" s="15"/>
      <c r="AL53" s="15"/>
      <c r="AR53" s="15">
        <v>4</v>
      </c>
      <c r="AS53" s="15"/>
      <c r="AV53" s="15"/>
      <c r="AX53" s="15"/>
      <c r="AY53" s="15"/>
      <c r="BL53" s="15"/>
      <c r="BQ53" s="15"/>
      <c r="BS53" s="15"/>
      <c r="BT53" s="15"/>
      <c r="BX53" s="15"/>
      <c r="CR53" s="15"/>
      <c r="CS53" s="15"/>
      <c r="CV53" s="1">
        <v>1</v>
      </c>
      <c r="CX53" s="15">
        <v>1</v>
      </c>
      <c r="CY53" s="15"/>
      <c r="CZ53" s="1">
        <v>1</v>
      </c>
      <c r="DB53" s="1">
        <v>2</v>
      </c>
      <c r="DC53" s="15"/>
      <c r="DH53" s="1">
        <f t="shared" si="0"/>
        <v>5</v>
      </c>
      <c r="DI53" s="1">
        <f t="shared" si="1"/>
        <v>9</v>
      </c>
    </row>
    <row r="54" spans="1:113" ht="15.75" customHeight="1" x14ac:dyDescent="0.3">
      <c r="A54" s="15" t="s">
        <v>141</v>
      </c>
      <c r="B54" s="26" t="s">
        <v>180</v>
      </c>
      <c r="C54" s="26" t="s">
        <v>122</v>
      </c>
      <c r="D54" s="27" t="s">
        <v>142</v>
      </c>
      <c r="E54" s="28">
        <v>83</v>
      </c>
      <c r="F54" s="15"/>
      <c r="G54" s="15"/>
      <c r="H54" s="30">
        <v>99</v>
      </c>
      <c r="I54" s="29">
        <v>47.9</v>
      </c>
      <c r="J54" s="30">
        <v>24.1</v>
      </c>
      <c r="K54" s="30">
        <v>0.5</v>
      </c>
      <c r="L54" s="15"/>
      <c r="M54" s="30"/>
      <c r="N54" s="21">
        <v>5</v>
      </c>
      <c r="AC54" s="15"/>
      <c r="AL54" s="15"/>
      <c r="AR54" s="15"/>
      <c r="AS54" s="15"/>
      <c r="AV54" s="15"/>
      <c r="AX54" s="15"/>
      <c r="AY54" s="15"/>
      <c r="BL54" s="15"/>
      <c r="BQ54" s="15"/>
      <c r="BS54" s="15"/>
      <c r="BT54" s="15"/>
      <c r="BX54" s="15"/>
      <c r="CR54" s="15"/>
      <c r="CS54" s="15"/>
      <c r="CV54" s="1">
        <v>1</v>
      </c>
      <c r="CX54" s="15"/>
      <c r="CY54" s="15"/>
      <c r="DC54" s="15"/>
      <c r="DH54" s="1">
        <f t="shared" si="0"/>
        <v>1</v>
      </c>
      <c r="DI54" s="1">
        <f t="shared" si="1"/>
        <v>1</v>
      </c>
    </row>
    <row r="55" spans="1:113" ht="15.75" customHeight="1" x14ac:dyDescent="0.3">
      <c r="A55" s="15" t="s">
        <v>141</v>
      </c>
      <c r="B55" s="26" t="s">
        <v>181</v>
      </c>
      <c r="C55" s="26" t="s">
        <v>120</v>
      </c>
      <c r="D55" s="27" t="s">
        <v>142</v>
      </c>
      <c r="E55" s="28">
        <v>83</v>
      </c>
      <c r="F55" s="15"/>
      <c r="G55" s="15"/>
      <c r="H55" s="30">
        <v>99</v>
      </c>
      <c r="I55" s="29">
        <v>53.2</v>
      </c>
      <c r="J55" s="30">
        <v>27.5</v>
      </c>
      <c r="K55" s="30">
        <v>0</v>
      </c>
      <c r="L55" s="15"/>
      <c r="M55" s="30">
        <v>480</v>
      </c>
      <c r="N55" s="21">
        <v>3</v>
      </c>
      <c r="W55" s="1">
        <v>1</v>
      </c>
      <c r="AC55" s="15"/>
      <c r="AL55" s="15"/>
      <c r="AR55" s="15"/>
      <c r="AS55" s="15"/>
      <c r="AV55" s="15"/>
      <c r="AX55" s="15"/>
      <c r="AY55" s="15">
        <v>1</v>
      </c>
      <c r="BL55" s="15"/>
      <c r="BQ55" s="15"/>
      <c r="BS55" s="15"/>
      <c r="BT55" s="15"/>
      <c r="BV55" s="1">
        <v>2</v>
      </c>
      <c r="BX55" s="15">
        <v>3</v>
      </c>
      <c r="CR55" s="15"/>
      <c r="CS55" s="15"/>
      <c r="CX55" s="15"/>
      <c r="CY55" s="15"/>
      <c r="DC55" s="15"/>
      <c r="DH55" s="1">
        <f t="shared" si="0"/>
        <v>4</v>
      </c>
      <c r="DI55" s="1">
        <f t="shared" si="1"/>
        <v>7</v>
      </c>
    </row>
    <row r="56" spans="1:113" ht="15.75" customHeight="1" x14ac:dyDescent="0.3">
      <c r="A56" s="15" t="s">
        <v>141</v>
      </c>
      <c r="B56" s="26" t="s">
        <v>181</v>
      </c>
      <c r="C56" s="26" t="s">
        <v>122</v>
      </c>
      <c r="D56" s="27" t="s">
        <v>142</v>
      </c>
      <c r="E56" s="28">
        <v>83</v>
      </c>
      <c r="F56" s="15"/>
      <c r="G56" s="15"/>
      <c r="H56" s="30">
        <v>99</v>
      </c>
      <c r="I56" s="29">
        <v>8.23</v>
      </c>
      <c r="J56" s="30">
        <v>23.7</v>
      </c>
      <c r="K56" s="30">
        <v>0</v>
      </c>
      <c r="L56" s="15"/>
      <c r="M56" s="30"/>
      <c r="N56" s="21">
        <v>3</v>
      </c>
      <c r="AC56" s="15"/>
      <c r="AL56" s="15"/>
      <c r="AR56" s="15"/>
      <c r="AS56" s="15"/>
      <c r="AV56" s="15"/>
      <c r="AX56" s="15"/>
      <c r="AY56" s="15">
        <v>2</v>
      </c>
      <c r="BL56" s="15"/>
      <c r="BQ56" s="15"/>
      <c r="BS56" s="15"/>
      <c r="BT56" s="15"/>
      <c r="BX56" s="15">
        <v>2</v>
      </c>
      <c r="CR56" s="15"/>
      <c r="CS56" s="15"/>
      <c r="CX56" s="15"/>
      <c r="CY56" s="15"/>
      <c r="DC56" s="15"/>
      <c r="DH56" s="1">
        <f t="shared" si="0"/>
        <v>2</v>
      </c>
      <c r="DI56" s="1">
        <f t="shared" si="1"/>
        <v>4</v>
      </c>
    </row>
    <row r="57" spans="1:113" ht="15.75" customHeight="1" x14ac:dyDescent="0.3">
      <c r="A57" s="15" t="s">
        <v>141</v>
      </c>
      <c r="B57" s="26" t="s">
        <v>198</v>
      </c>
      <c r="C57" s="26" t="s">
        <v>120</v>
      </c>
      <c r="D57" s="27" t="s">
        <v>142</v>
      </c>
      <c r="E57" s="28">
        <v>83</v>
      </c>
      <c r="F57" s="15"/>
      <c r="G57" s="15"/>
      <c r="H57" s="30">
        <v>77</v>
      </c>
      <c r="I57" s="29">
        <v>8.5399999999999991</v>
      </c>
      <c r="J57" s="30">
        <v>28</v>
      </c>
      <c r="K57" s="30">
        <v>1.75</v>
      </c>
      <c r="L57" s="15"/>
      <c r="M57" s="30">
        <v>480</v>
      </c>
      <c r="N57" s="21">
        <v>3</v>
      </c>
      <c r="T57" s="1">
        <v>2</v>
      </c>
      <c r="AC57" s="15"/>
      <c r="AL57" s="15"/>
      <c r="AR57" s="15"/>
      <c r="AS57" s="15"/>
      <c r="AV57" s="15"/>
      <c r="AX57" s="15"/>
      <c r="AY57" s="15"/>
      <c r="BL57" s="15"/>
      <c r="BQ57" s="15"/>
      <c r="BS57" s="15"/>
      <c r="BT57" s="15">
        <v>3</v>
      </c>
      <c r="BX57" s="15">
        <v>1</v>
      </c>
      <c r="CG57" s="1">
        <v>1</v>
      </c>
      <c r="CR57" s="15"/>
      <c r="CS57" s="15"/>
      <c r="CX57" s="15"/>
      <c r="CY57" s="15"/>
      <c r="DC57" s="15"/>
      <c r="DD57" s="1">
        <v>4</v>
      </c>
      <c r="DF57" s="1">
        <v>1</v>
      </c>
      <c r="DH57" s="1">
        <f t="shared" si="0"/>
        <v>6</v>
      </c>
      <c r="DI57" s="1">
        <f t="shared" si="1"/>
        <v>12</v>
      </c>
    </row>
    <row r="58" spans="1:113" ht="15.75" customHeight="1" x14ac:dyDescent="0.3">
      <c r="A58" s="15" t="s">
        <v>141</v>
      </c>
      <c r="B58" s="26" t="s">
        <v>198</v>
      </c>
      <c r="C58" s="26" t="s">
        <v>122</v>
      </c>
      <c r="D58" s="27" t="s">
        <v>142</v>
      </c>
      <c r="E58" s="28">
        <v>83</v>
      </c>
      <c r="F58" s="15"/>
      <c r="G58" s="15"/>
      <c r="H58" s="30">
        <v>99</v>
      </c>
      <c r="I58" s="29">
        <v>7.51</v>
      </c>
      <c r="J58" s="30">
        <v>23.7</v>
      </c>
      <c r="K58" s="30">
        <v>0</v>
      </c>
      <c r="L58" s="15"/>
      <c r="M58" s="30"/>
      <c r="N58" s="21">
        <v>3</v>
      </c>
      <c r="AC58" s="15"/>
      <c r="AL58" s="15"/>
      <c r="AR58" s="15"/>
      <c r="AS58" s="15"/>
      <c r="AV58" s="15"/>
      <c r="AX58" s="15"/>
      <c r="AY58" s="15">
        <v>3</v>
      </c>
      <c r="BL58" s="15"/>
      <c r="BQ58" s="15"/>
      <c r="BS58" s="15"/>
      <c r="BT58" s="15">
        <v>2</v>
      </c>
      <c r="BX58" s="15">
        <v>2</v>
      </c>
      <c r="CR58" s="15"/>
      <c r="CS58" s="15"/>
      <c r="CX58" s="15"/>
      <c r="CY58" s="15"/>
      <c r="DC58" s="15"/>
      <c r="DE58" s="1">
        <v>8</v>
      </c>
      <c r="DH58" s="1">
        <f t="shared" si="0"/>
        <v>4</v>
      </c>
      <c r="DI58" s="1">
        <f t="shared" si="1"/>
        <v>15</v>
      </c>
    </row>
    <row r="59" spans="1:113" ht="15.75" customHeight="1" x14ac:dyDescent="0.3">
      <c r="A59" s="15" t="s">
        <v>141</v>
      </c>
      <c r="B59" s="27" t="s">
        <v>183</v>
      </c>
      <c r="C59" s="27" t="s">
        <v>120</v>
      </c>
      <c r="D59" s="27" t="s">
        <v>144</v>
      </c>
      <c r="E59" s="28">
        <v>86</v>
      </c>
      <c r="F59" s="15"/>
      <c r="G59" s="15"/>
      <c r="H59" s="30">
        <v>79</v>
      </c>
      <c r="I59" s="29">
        <v>73.7</v>
      </c>
      <c r="J59" s="30">
        <v>29.1</v>
      </c>
      <c r="K59" s="30">
        <v>1</v>
      </c>
      <c r="L59" s="15"/>
      <c r="M59" s="26"/>
      <c r="N59" s="21">
        <v>3</v>
      </c>
      <c r="AC59" s="15"/>
      <c r="AL59" s="15"/>
      <c r="AR59" s="15"/>
      <c r="AS59" s="15"/>
      <c r="AV59" s="15"/>
      <c r="AX59" s="15"/>
      <c r="AY59" s="15"/>
      <c r="BL59" s="15"/>
      <c r="BQ59" s="15"/>
      <c r="BS59" s="15"/>
      <c r="BT59" s="15"/>
      <c r="BX59" s="15"/>
      <c r="CR59" s="15"/>
      <c r="CS59" s="15"/>
      <c r="CX59" s="15"/>
      <c r="CY59" s="15"/>
      <c r="DC59" s="15"/>
      <c r="DH59" s="1">
        <f t="shared" si="0"/>
        <v>0</v>
      </c>
      <c r="DI59" s="1">
        <f t="shared" si="1"/>
        <v>0</v>
      </c>
    </row>
    <row r="60" spans="1:113" ht="15.75" customHeight="1" x14ac:dyDescent="0.3">
      <c r="A60" s="15" t="s">
        <v>141</v>
      </c>
      <c r="B60" s="27" t="s">
        <v>185</v>
      </c>
      <c r="C60" s="27" t="s">
        <v>120</v>
      </c>
      <c r="D60" s="27" t="s">
        <v>145</v>
      </c>
      <c r="E60" s="28">
        <v>90</v>
      </c>
      <c r="F60" s="15"/>
      <c r="G60" s="15"/>
      <c r="H60" s="33">
        <v>73</v>
      </c>
      <c r="I60" s="29">
        <v>50.3</v>
      </c>
      <c r="J60" s="30">
        <v>17</v>
      </c>
      <c r="K60" s="30">
        <v>0</v>
      </c>
      <c r="L60" s="15"/>
      <c r="M60" s="26"/>
      <c r="N60" s="21"/>
      <c r="AC60" s="15"/>
      <c r="AL60" s="15"/>
      <c r="AR60" s="15"/>
      <c r="AS60" s="15"/>
      <c r="AV60" s="15"/>
      <c r="AX60" s="15"/>
      <c r="AY60" s="15"/>
      <c r="BL60" s="15"/>
      <c r="BQ60" s="15"/>
      <c r="BS60" s="15"/>
      <c r="BT60" s="15"/>
      <c r="BX60" s="15"/>
      <c r="CI60" s="1">
        <v>1</v>
      </c>
      <c r="CJ60" s="1">
        <v>1</v>
      </c>
      <c r="CR60" s="15"/>
      <c r="CS60" s="15"/>
      <c r="CX60" s="15"/>
      <c r="CY60" s="15"/>
      <c r="DC60" s="15"/>
      <c r="DH60" s="1">
        <f t="shared" si="0"/>
        <v>2</v>
      </c>
      <c r="DI60" s="1">
        <f t="shared" si="1"/>
        <v>2</v>
      </c>
    </row>
    <row r="61" spans="1:113" ht="15.75" customHeight="1" x14ac:dyDescent="0.3">
      <c r="A61" s="15" t="s">
        <v>141</v>
      </c>
      <c r="B61" s="27" t="s">
        <v>185</v>
      </c>
      <c r="C61" s="27" t="s">
        <v>120</v>
      </c>
      <c r="D61" s="27" t="s">
        <v>144</v>
      </c>
      <c r="E61" s="28">
        <v>86</v>
      </c>
      <c r="F61" s="15"/>
      <c r="G61" s="15"/>
      <c r="H61" s="30">
        <v>72</v>
      </c>
      <c r="I61" s="29">
        <v>50.4</v>
      </c>
      <c r="J61" s="30">
        <v>30.4</v>
      </c>
      <c r="K61" s="30">
        <v>0</v>
      </c>
      <c r="L61" s="15"/>
      <c r="M61" s="26"/>
      <c r="N61" s="21">
        <v>1</v>
      </c>
      <c r="T61" s="1">
        <v>2</v>
      </c>
      <c r="AC61" s="15"/>
      <c r="AL61" s="15"/>
      <c r="AR61" s="15"/>
      <c r="AS61" s="15"/>
      <c r="AV61" s="15"/>
      <c r="AX61" s="15"/>
      <c r="AY61" s="15"/>
      <c r="BL61" s="15"/>
      <c r="BN61" s="1">
        <v>2</v>
      </c>
      <c r="BO61" s="1">
        <v>3</v>
      </c>
      <c r="BQ61" s="15"/>
      <c r="BS61" s="15"/>
      <c r="BT61" s="15"/>
      <c r="BX61" s="15"/>
      <c r="CR61" s="15"/>
      <c r="CS61" s="15"/>
      <c r="CX61" s="15"/>
      <c r="CY61" s="15"/>
      <c r="DC61" s="15"/>
      <c r="DH61" s="1">
        <f t="shared" si="0"/>
        <v>3</v>
      </c>
      <c r="DI61" s="1">
        <f t="shared" si="1"/>
        <v>7</v>
      </c>
    </row>
    <row r="62" spans="1:113" ht="15.75" customHeight="1" x14ac:dyDescent="0.3">
      <c r="A62" s="15" t="s">
        <v>141</v>
      </c>
      <c r="B62" s="27" t="s">
        <v>186</v>
      </c>
      <c r="C62" s="27" t="s">
        <v>122</v>
      </c>
      <c r="D62" s="27" t="s">
        <v>144</v>
      </c>
      <c r="E62" s="28">
        <v>86</v>
      </c>
      <c r="F62" s="15"/>
      <c r="G62" s="15"/>
      <c r="H62" s="30">
        <v>75</v>
      </c>
      <c r="I62" s="35">
        <v>0.71899999999999997</v>
      </c>
      <c r="J62" s="30">
        <v>25.8</v>
      </c>
      <c r="K62" s="30">
        <v>0</v>
      </c>
      <c r="L62" s="15"/>
      <c r="M62" s="26"/>
      <c r="N62" s="21">
        <v>6</v>
      </c>
      <c r="AC62" s="15"/>
      <c r="AL62" s="15"/>
      <c r="AR62" s="15"/>
      <c r="AS62" s="15"/>
      <c r="AV62" s="15"/>
      <c r="AX62" s="15"/>
      <c r="AY62" s="15"/>
      <c r="BL62" s="15"/>
      <c r="BQ62" s="15"/>
      <c r="BS62" s="15"/>
      <c r="BT62" s="15"/>
      <c r="BX62" s="15"/>
      <c r="CR62" s="15"/>
      <c r="CS62" s="15"/>
      <c r="CX62" s="15"/>
      <c r="CY62" s="15"/>
      <c r="DC62" s="15"/>
      <c r="DH62" s="1">
        <f t="shared" si="0"/>
        <v>0</v>
      </c>
      <c r="DI62" s="1">
        <f t="shared" si="1"/>
        <v>0</v>
      </c>
    </row>
    <row r="63" spans="1:113" ht="15.75" customHeight="1" x14ac:dyDescent="0.3">
      <c r="A63" s="15"/>
      <c r="B63" s="16"/>
      <c r="C63" s="16"/>
      <c r="D63" s="15"/>
      <c r="F63" s="15"/>
      <c r="G63" s="15"/>
      <c r="H63" s="15"/>
      <c r="I63" s="18"/>
      <c r="J63" s="15"/>
      <c r="K63" s="15"/>
      <c r="L63" s="15"/>
      <c r="M63" s="15"/>
      <c r="N63" s="17"/>
      <c r="AC63" s="15"/>
      <c r="AL63" s="15"/>
      <c r="AR63" s="15"/>
      <c r="AS63" s="15"/>
      <c r="AV63" s="15"/>
      <c r="AX63" s="15"/>
      <c r="AY63" s="15"/>
      <c r="BL63" s="15"/>
      <c r="BQ63" s="15"/>
      <c r="BS63" s="15"/>
      <c r="BT63" s="15"/>
      <c r="BX63" s="15"/>
      <c r="CR63" s="15"/>
      <c r="CS63" s="15"/>
      <c r="CX63" s="15"/>
      <c r="CY63" s="15"/>
      <c r="DC63" s="15"/>
      <c r="DH63" s="1">
        <f t="shared" si="0"/>
        <v>0</v>
      </c>
      <c r="DI63" s="1">
        <f t="shared" si="1"/>
        <v>0</v>
      </c>
    </row>
    <row r="64" spans="1:113" ht="15.75" customHeight="1" x14ac:dyDescent="0.3">
      <c r="A64" s="15" t="s">
        <v>146</v>
      </c>
      <c r="B64" s="23" t="s">
        <v>176</v>
      </c>
      <c r="C64" s="23" t="s">
        <v>122</v>
      </c>
      <c r="D64" s="15" t="s">
        <v>147</v>
      </c>
      <c r="E64" s="17">
        <v>117</v>
      </c>
      <c r="F64" s="15"/>
      <c r="G64" s="15"/>
      <c r="H64" s="15">
        <v>99</v>
      </c>
      <c r="I64" s="36">
        <v>0.27700000000000002</v>
      </c>
      <c r="J64" s="15">
        <v>26.4</v>
      </c>
      <c r="K64" s="15">
        <v>0</v>
      </c>
      <c r="L64" s="15">
        <v>100</v>
      </c>
      <c r="M64" s="15"/>
      <c r="N64" s="17">
        <v>4</v>
      </c>
      <c r="AC64" s="15">
        <v>2</v>
      </c>
      <c r="AK64" s="1">
        <v>1</v>
      </c>
      <c r="AL64" s="15"/>
      <c r="AR64" s="15"/>
      <c r="AS64" s="15"/>
      <c r="AV64" s="15"/>
      <c r="AX64" s="15"/>
      <c r="AY64" s="15"/>
      <c r="BL64" s="15">
        <v>1</v>
      </c>
      <c r="BQ64" s="15"/>
      <c r="BS64" s="15"/>
      <c r="BT64" s="15">
        <v>3</v>
      </c>
      <c r="BX64" s="15"/>
      <c r="CM64" s="1">
        <v>4</v>
      </c>
      <c r="CO64" s="1">
        <v>11</v>
      </c>
      <c r="CR64" s="15"/>
      <c r="CS64" s="15"/>
      <c r="CX64" s="15"/>
      <c r="CY64" s="15"/>
      <c r="DC64" s="15"/>
      <c r="DH64" s="1">
        <f t="shared" si="0"/>
        <v>6</v>
      </c>
      <c r="DI64" s="1">
        <f t="shared" si="1"/>
        <v>22</v>
      </c>
    </row>
    <row r="65" spans="1:113" ht="15.75" customHeight="1" x14ac:dyDescent="0.3">
      <c r="A65" s="15" t="s">
        <v>146</v>
      </c>
      <c r="B65" s="23" t="s">
        <v>177</v>
      </c>
      <c r="C65" s="23" t="s">
        <v>120</v>
      </c>
      <c r="D65" s="15" t="s">
        <v>148</v>
      </c>
      <c r="E65" s="17">
        <v>119</v>
      </c>
      <c r="F65" s="15"/>
      <c r="G65" s="15"/>
      <c r="H65" s="15">
        <v>92</v>
      </c>
      <c r="I65" s="18">
        <v>0.78</v>
      </c>
      <c r="J65" s="15">
        <v>24.6</v>
      </c>
      <c r="K65" s="15">
        <v>0</v>
      </c>
      <c r="L65" s="15">
        <v>5</v>
      </c>
      <c r="M65" s="15"/>
      <c r="N65" s="17">
        <v>3</v>
      </c>
      <c r="P65" s="1">
        <v>1</v>
      </c>
      <c r="AC65" s="15">
        <v>3</v>
      </c>
      <c r="AL65" s="15">
        <v>1</v>
      </c>
      <c r="AR65" s="15"/>
      <c r="AS65" s="15"/>
      <c r="AV65" s="15"/>
      <c r="AX65" s="15"/>
      <c r="AY65" s="15"/>
      <c r="BH65" s="1">
        <v>1</v>
      </c>
      <c r="BL65" s="15"/>
      <c r="BQ65" s="15"/>
      <c r="BS65" s="15"/>
      <c r="BT65" s="15">
        <v>4</v>
      </c>
      <c r="BX65" s="15"/>
      <c r="BY65" s="1">
        <v>1</v>
      </c>
      <c r="CF65" s="1">
        <v>1</v>
      </c>
      <c r="CI65" s="1">
        <v>1</v>
      </c>
      <c r="CP65" s="1">
        <v>1</v>
      </c>
      <c r="CR65" s="15"/>
      <c r="CS65" s="15"/>
      <c r="CX65" s="15"/>
      <c r="CY65" s="15"/>
      <c r="DC65" s="15"/>
      <c r="DH65" s="1">
        <f t="shared" si="0"/>
        <v>9</v>
      </c>
      <c r="DI65" s="1">
        <f t="shared" si="1"/>
        <v>14</v>
      </c>
    </row>
    <row r="66" spans="1:113" ht="15.75" customHeight="1" x14ac:dyDescent="0.3">
      <c r="A66" s="15" t="s">
        <v>146</v>
      </c>
      <c r="B66" s="23" t="s">
        <v>200</v>
      </c>
      <c r="C66" s="23" t="s">
        <v>120</v>
      </c>
      <c r="D66" s="15" t="s">
        <v>148</v>
      </c>
      <c r="E66" s="17">
        <v>119</v>
      </c>
      <c r="F66" s="15"/>
      <c r="G66" s="15"/>
      <c r="H66" s="15">
        <v>94</v>
      </c>
      <c r="I66" s="36">
        <v>0.50800000000000001</v>
      </c>
      <c r="J66" s="15">
        <v>24.8</v>
      </c>
      <c r="K66" s="15">
        <v>0</v>
      </c>
      <c r="L66" s="15">
        <v>5</v>
      </c>
      <c r="M66" s="15"/>
      <c r="N66" s="17">
        <v>5</v>
      </c>
      <c r="AC66" s="15"/>
      <c r="AE66" s="1">
        <v>1</v>
      </c>
      <c r="AL66" s="15"/>
      <c r="AR66" s="15"/>
      <c r="AS66" s="15"/>
      <c r="AV66" s="15"/>
      <c r="AX66" s="15"/>
      <c r="AY66" s="15"/>
      <c r="AZ66" s="1">
        <v>1</v>
      </c>
      <c r="BC66" s="1">
        <v>1</v>
      </c>
      <c r="BD66" s="1">
        <v>1</v>
      </c>
      <c r="BL66" s="15">
        <v>1</v>
      </c>
      <c r="BQ66" s="15"/>
      <c r="BS66" s="15"/>
      <c r="BT66" s="15"/>
      <c r="BX66" s="15"/>
      <c r="CC66" s="1">
        <v>1</v>
      </c>
      <c r="CE66" s="1">
        <v>1</v>
      </c>
      <c r="CF66" s="1">
        <v>1</v>
      </c>
      <c r="CR66" s="15"/>
      <c r="CS66" s="15"/>
      <c r="CX66" s="15"/>
      <c r="CY66" s="15"/>
      <c r="DC66" s="15"/>
      <c r="DH66" s="1">
        <f t="shared" si="0"/>
        <v>8</v>
      </c>
      <c r="DI66" s="1">
        <f t="shared" si="1"/>
        <v>8</v>
      </c>
    </row>
    <row r="67" spans="1:113" ht="15.75" customHeight="1" x14ac:dyDescent="0.3">
      <c r="A67" s="15" t="s">
        <v>146</v>
      </c>
      <c r="B67" s="23" t="s">
        <v>200</v>
      </c>
      <c r="C67" s="23" t="s">
        <v>120</v>
      </c>
      <c r="D67" s="15" t="s">
        <v>149</v>
      </c>
      <c r="E67" s="17">
        <v>105</v>
      </c>
      <c r="F67" s="15"/>
      <c r="G67" s="15"/>
      <c r="H67" s="15">
        <v>94</v>
      </c>
      <c r="I67" s="36">
        <v>0.5</v>
      </c>
      <c r="J67" s="15">
        <v>24.8</v>
      </c>
      <c r="K67" s="15">
        <v>0</v>
      </c>
      <c r="L67" s="15">
        <v>100</v>
      </c>
      <c r="M67" s="15">
        <v>870</v>
      </c>
      <c r="N67" s="17">
        <v>5</v>
      </c>
      <c r="AC67" s="15"/>
      <c r="AL67" s="15"/>
      <c r="AR67" s="15"/>
      <c r="AS67" s="15"/>
      <c r="AV67" s="15"/>
      <c r="AX67" s="15"/>
      <c r="AY67" s="15"/>
      <c r="BL67" s="15"/>
      <c r="BQ67" s="15"/>
      <c r="BS67" s="15"/>
      <c r="BT67" s="15"/>
      <c r="BX67" s="15"/>
      <c r="CK67" s="1">
        <v>5</v>
      </c>
      <c r="CR67" s="15"/>
      <c r="CS67" s="15"/>
      <c r="CX67" s="15">
        <v>1</v>
      </c>
      <c r="CY67" s="15"/>
      <c r="DC67" s="15"/>
      <c r="DH67" s="1">
        <f t="shared" si="0"/>
        <v>2</v>
      </c>
      <c r="DI67" s="1">
        <f t="shared" si="1"/>
        <v>6</v>
      </c>
    </row>
    <row r="68" spans="1:113" ht="15.75" customHeight="1" x14ac:dyDescent="0.3">
      <c r="A68" s="15" t="s">
        <v>146</v>
      </c>
      <c r="B68" s="23" t="s">
        <v>200</v>
      </c>
      <c r="C68" s="23" t="s">
        <v>120</v>
      </c>
      <c r="D68" s="15" t="s">
        <v>150</v>
      </c>
      <c r="E68" s="17">
        <v>108</v>
      </c>
      <c r="F68" s="15"/>
      <c r="G68" s="15"/>
      <c r="H68" s="20">
        <v>94</v>
      </c>
      <c r="I68" s="36">
        <v>0.5</v>
      </c>
      <c r="J68" s="15">
        <v>23</v>
      </c>
      <c r="K68" s="15">
        <v>0</v>
      </c>
      <c r="L68" s="15">
        <v>100</v>
      </c>
      <c r="M68" s="15"/>
      <c r="N68" s="17">
        <v>5</v>
      </c>
      <c r="AC68" s="15"/>
      <c r="AE68" s="1">
        <v>1</v>
      </c>
      <c r="AL68" s="15"/>
      <c r="AM68" s="1">
        <v>1</v>
      </c>
      <c r="AR68" s="15"/>
      <c r="AS68" s="15"/>
      <c r="AV68" s="15"/>
      <c r="AX68" s="15">
        <v>1</v>
      </c>
      <c r="AY68" s="15"/>
      <c r="BL68" s="15"/>
      <c r="BQ68" s="15"/>
      <c r="BS68" s="15"/>
      <c r="BT68" s="15"/>
      <c r="BX68" s="15"/>
      <c r="CC68" s="1">
        <v>1</v>
      </c>
      <c r="CF68" s="1">
        <v>1</v>
      </c>
      <c r="CR68" s="15"/>
      <c r="CS68" s="15"/>
      <c r="CX68" s="15"/>
      <c r="CY68" s="15"/>
      <c r="DC68" s="15"/>
      <c r="DH68" s="1">
        <f t="shared" si="0"/>
        <v>5</v>
      </c>
      <c r="DI68" s="1">
        <f t="shared" si="1"/>
        <v>5</v>
      </c>
    </row>
    <row r="69" spans="1:113" ht="15.75" customHeight="1" x14ac:dyDescent="0.3">
      <c r="A69" s="15" t="s">
        <v>146</v>
      </c>
      <c r="B69" s="23" t="s">
        <v>200</v>
      </c>
      <c r="C69" s="23" t="s">
        <v>120</v>
      </c>
      <c r="D69" s="15" t="s">
        <v>151</v>
      </c>
      <c r="E69" s="17">
        <v>111</v>
      </c>
      <c r="F69" s="15"/>
      <c r="G69" s="15"/>
      <c r="H69" s="20">
        <v>94</v>
      </c>
      <c r="I69" s="36">
        <v>0.5</v>
      </c>
      <c r="J69" s="15">
        <v>22</v>
      </c>
      <c r="K69" s="15">
        <v>0</v>
      </c>
      <c r="L69" s="15">
        <v>100</v>
      </c>
      <c r="M69" s="15"/>
      <c r="N69" s="17">
        <v>5</v>
      </c>
      <c r="AC69" s="15"/>
      <c r="AL69" s="15">
        <v>1</v>
      </c>
      <c r="AR69" s="15"/>
      <c r="AS69" s="15"/>
      <c r="AV69" s="15"/>
      <c r="AX69" s="15"/>
      <c r="AY69" s="15"/>
      <c r="BL69" s="15"/>
      <c r="BQ69" s="15"/>
      <c r="BS69" s="15"/>
      <c r="BT69" s="15"/>
      <c r="BX69" s="15"/>
      <c r="CR69" s="15"/>
      <c r="CS69" s="15"/>
      <c r="CX69" s="15"/>
      <c r="CY69" s="15"/>
      <c r="DC69" s="15"/>
      <c r="DH69" s="1">
        <f t="shared" si="0"/>
        <v>1</v>
      </c>
      <c r="DI69" s="1">
        <f t="shared" si="1"/>
        <v>1</v>
      </c>
    </row>
    <row r="70" spans="1:113" ht="15.75" customHeight="1" x14ac:dyDescent="0.3">
      <c r="A70" s="15" t="s">
        <v>146</v>
      </c>
      <c r="B70" s="23" t="s">
        <v>181</v>
      </c>
      <c r="C70" s="23" t="s">
        <v>120</v>
      </c>
      <c r="D70" s="15" t="s">
        <v>149</v>
      </c>
      <c r="E70" s="17">
        <v>105</v>
      </c>
      <c r="F70" s="15"/>
      <c r="G70" s="15"/>
      <c r="H70" s="15">
        <v>99</v>
      </c>
      <c r="I70" s="18">
        <v>7.59</v>
      </c>
      <c r="J70" s="15">
        <v>23.9</v>
      </c>
      <c r="K70" s="15">
        <v>0</v>
      </c>
      <c r="L70" s="15">
        <v>100</v>
      </c>
      <c r="M70" s="15">
        <v>870</v>
      </c>
      <c r="N70" s="17">
        <v>3</v>
      </c>
      <c r="AC70" s="15"/>
      <c r="AL70" s="15"/>
      <c r="AR70" s="15"/>
      <c r="AS70" s="15"/>
      <c r="AV70" s="15"/>
      <c r="AX70" s="15"/>
      <c r="AY70" s="15"/>
      <c r="BL70" s="15"/>
      <c r="BQ70" s="15"/>
      <c r="BS70" s="15"/>
      <c r="BT70" s="15"/>
      <c r="BX70" s="15"/>
      <c r="CF70" s="1">
        <v>1</v>
      </c>
      <c r="CH70" s="1">
        <v>1</v>
      </c>
      <c r="CI70" s="1">
        <v>1</v>
      </c>
      <c r="CR70" s="15"/>
      <c r="CS70" s="15"/>
      <c r="CV70" s="1">
        <v>2</v>
      </c>
      <c r="CX70" s="15"/>
      <c r="CY70" s="15"/>
      <c r="CZ70" s="1">
        <v>1</v>
      </c>
      <c r="DC70" s="15"/>
      <c r="DH70" s="1">
        <f t="shared" ref="DH70:DH133" si="2">COUNT(O70:DG70)</f>
        <v>5</v>
      </c>
      <c r="DI70" s="1">
        <f t="shared" ref="DI70:DI133" si="3">SUM(O70:DG70)</f>
        <v>6</v>
      </c>
    </row>
    <row r="71" spans="1:113" ht="15.75" customHeight="1" x14ac:dyDescent="0.3">
      <c r="A71" s="15" t="s">
        <v>146</v>
      </c>
      <c r="B71" s="23" t="s">
        <v>198</v>
      </c>
      <c r="C71" s="23" t="s">
        <v>120</v>
      </c>
      <c r="D71" s="15" t="s">
        <v>149</v>
      </c>
      <c r="E71" s="17">
        <v>105</v>
      </c>
      <c r="F71" s="15"/>
      <c r="G71" s="15"/>
      <c r="H71" s="15">
        <v>99</v>
      </c>
      <c r="I71" s="18">
        <v>13.05</v>
      </c>
      <c r="J71" s="15">
        <v>25.9</v>
      </c>
      <c r="K71" s="15">
        <v>0.45</v>
      </c>
      <c r="L71" s="15">
        <v>100</v>
      </c>
      <c r="M71" s="15">
        <v>870</v>
      </c>
      <c r="N71" s="17">
        <v>3</v>
      </c>
      <c r="AC71" s="15"/>
      <c r="AL71" s="15"/>
      <c r="AR71" s="15"/>
      <c r="AS71" s="15"/>
      <c r="AV71" s="15"/>
      <c r="AX71" s="15"/>
      <c r="AY71" s="15"/>
      <c r="BL71" s="15"/>
      <c r="BQ71" s="15"/>
      <c r="BS71" s="15"/>
      <c r="BT71" s="15"/>
      <c r="BX71" s="15">
        <v>1</v>
      </c>
      <c r="CI71" s="1">
        <v>1</v>
      </c>
      <c r="CJ71" s="1">
        <v>1</v>
      </c>
      <c r="CR71" s="15"/>
      <c r="CS71" s="15"/>
      <c r="CV71" s="1">
        <v>1</v>
      </c>
      <c r="CX71" s="15"/>
      <c r="CY71" s="15"/>
      <c r="DC71" s="15"/>
      <c r="DH71" s="1">
        <f t="shared" si="2"/>
        <v>4</v>
      </c>
      <c r="DI71" s="1">
        <f t="shared" si="3"/>
        <v>4</v>
      </c>
    </row>
    <row r="72" spans="1:113" ht="15.75" customHeight="1" x14ac:dyDescent="0.3">
      <c r="A72" s="15" t="s">
        <v>146</v>
      </c>
      <c r="B72" s="23" t="s">
        <v>199</v>
      </c>
      <c r="C72" s="23" t="s">
        <v>120</v>
      </c>
      <c r="D72" s="15" t="s">
        <v>149</v>
      </c>
      <c r="E72" s="17">
        <v>105</v>
      </c>
      <c r="F72" s="15"/>
      <c r="G72" s="15"/>
      <c r="H72" s="15">
        <v>93</v>
      </c>
      <c r="I72" s="18">
        <v>6.64</v>
      </c>
      <c r="J72" s="15">
        <v>26</v>
      </c>
      <c r="K72" s="15">
        <v>0</v>
      </c>
      <c r="L72" s="15">
        <v>100</v>
      </c>
      <c r="M72" s="15">
        <v>870</v>
      </c>
      <c r="N72" s="17">
        <v>2</v>
      </c>
      <c r="X72" s="1">
        <v>1</v>
      </c>
      <c r="AC72" s="15"/>
      <c r="AL72" s="15"/>
      <c r="AR72" s="15"/>
      <c r="AS72" s="15"/>
      <c r="AU72" s="1">
        <v>2</v>
      </c>
      <c r="AV72" s="15"/>
      <c r="AX72" s="15"/>
      <c r="AY72" s="15"/>
      <c r="BF72" s="1">
        <v>3</v>
      </c>
      <c r="BH72" s="1">
        <v>2</v>
      </c>
      <c r="BL72" s="15"/>
      <c r="BM72" s="1">
        <v>3</v>
      </c>
      <c r="BQ72" s="15"/>
      <c r="BS72" s="15"/>
      <c r="BT72" s="15"/>
      <c r="BX72" s="15"/>
      <c r="BZ72" s="1">
        <v>1</v>
      </c>
      <c r="CA72" s="1">
        <v>1</v>
      </c>
      <c r="CR72" s="15"/>
      <c r="CS72" s="15"/>
      <c r="CX72" s="15"/>
      <c r="CY72" s="15"/>
      <c r="DC72" s="15"/>
      <c r="DH72" s="1">
        <f t="shared" si="2"/>
        <v>7</v>
      </c>
      <c r="DI72" s="1">
        <f t="shared" si="3"/>
        <v>13</v>
      </c>
    </row>
    <row r="73" spans="1:113" ht="15.75" customHeight="1" x14ac:dyDescent="0.3">
      <c r="A73" s="15" t="s">
        <v>146</v>
      </c>
      <c r="B73" s="23" t="s">
        <v>199</v>
      </c>
      <c r="C73" s="23" t="s">
        <v>120</v>
      </c>
      <c r="D73" s="15" t="s">
        <v>152</v>
      </c>
      <c r="E73" s="17">
        <v>118</v>
      </c>
      <c r="F73" s="15"/>
      <c r="G73" s="15"/>
      <c r="H73" s="15">
        <v>59</v>
      </c>
      <c r="I73" s="18">
        <v>39.5</v>
      </c>
      <c r="J73" s="15">
        <v>31.13</v>
      </c>
      <c r="K73" s="15">
        <v>2.1</v>
      </c>
      <c r="L73" s="15">
        <v>100</v>
      </c>
      <c r="M73" s="15"/>
      <c r="N73" s="17">
        <v>2</v>
      </c>
      <c r="AC73" s="15"/>
      <c r="AL73" s="15"/>
      <c r="AR73" s="15">
        <v>3</v>
      </c>
      <c r="AS73" s="15"/>
      <c r="AT73" s="1">
        <v>3</v>
      </c>
      <c r="AU73" s="1">
        <v>1</v>
      </c>
      <c r="AV73" s="15"/>
      <c r="AX73" s="15"/>
      <c r="AY73" s="15"/>
      <c r="BL73" s="15"/>
      <c r="BM73" s="1">
        <v>2</v>
      </c>
      <c r="BQ73" s="15"/>
      <c r="BS73" s="15"/>
      <c r="BT73" s="15"/>
      <c r="BX73" s="15"/>
      <c r="CR73" s="15"/>
      <c r="CS73" s="15"/>
      <c r="CX73" s="15"/>
      <c r="CY73" s="15"/>
      <c r="DC73" s="15"/>
      <c r="DH73" s="1">
        <f t="shared" si="2"/>
        <v>4</v>
      </c>
      <c r="DI73" s="1">
        <f t="shared" si="3"/>
        <v>9</v>
      </c>
    </row>
    <row r="74" spans="1:113" ht="15.75" customHeight="1" x14ac:dyDescent="0.3">
      <c r="A74" s="15" t="s">
        <v>146</v>
      </c>
      <c r="B74" s="23" t="s">
        <v>199</v>
      </c>
      <c r="C74" s="23" t="s">
        <v>122</v>
      </c>
      <c r="D74" s="15" t="s">
        <v>152</v>
      </c>
      <c r="E74" s="17">
        <v>118</v>
      </c>
      <c r="F74" s="15"/>
      <c r="G74" s="15"/>
      <c r="H74" s="15">
        <v>80</v>
      </c>
      <c r="I74" s="18">
        <v>6.56</v>
      </c>
      <c r="J74" s="15">
        <v>23.9</v>
      </c>
      <c r="K74" s="15">
        <v>0</v>
      </c>
      <c r="L74" s="15">
        <v>100</v>
      </c>
      <c r="M74" s="15"/>
      <c r="N74" s="17">
        <v>2</v>
      </c>
      <c r="AC74" s="15"/>
      <c r="AL74" s="15"/>
      <c r="AR74" s="15"/>
      <c r="AS74" s="15"/>
      <c r="AV74" s="15"/>
      <c r="AX74" s="15"/>
      <c r="AY74" s="15"/>
      <c r="BL74" s="15"/>
      <c r="BQ74" s="15"/>
      <c r="BS74" s="15"/>
      <c r="BT74" s="15"/>
      <c r="BX74" s="15"/>
      <c r="CR74" s="15"/>
      <c r="CS74" s="15"/>
      <c r="CX74" s="15"/>
      <c r="CY74" s="15"/>
      <c r="DC74" s="15"/>
      <c r="DH74" s="1">
        <f t="shared" si="2"/>
        <v>0</v>
      </c>
      <c r="DI74" s="1">
        <f t="shared" si="3"/>
        <v>0</v>
      </c>
    </row>
    <row r="75" spans="1:113" ht="15.75" customHeight="1" x14ac:dyDescent="0.3">
      <c r="A75" s="15" t="s">
        <v>146</v>
      </c>
      <c r="B75" s="23" t="s">
        <v>183</v>
      </c>
      <c r="C75" s="23" t="s">
        <v>120</v>
      </c>
      <c r="D75" s="15" t="s">
        <v>152</v>
      </c>
      <c r="E75" s="17">
        <v>118</v>
      </c>
      <c r="F75" s="15"/>
      <c r="G75" s="15"/>
      <c r="H75" s="15">
        <v>79</v>
      </c>
      <c r="I75" s="18">
        <v>15.5</v>
      </c>
      <c r="J75" s="15">
        <v>28.3</v>
      </c>
      <c r="K75" s="15">
        <v>0</v>
      </c>
      <c r="L75" s="15">
        <v>100</v>
      </c>
      <c r="M75" s="15">
        <v>1360</v>
      </c>
      <c r="N75" s="17">
        <v>3</v>
      </c>
      <c r="V75" s="1">
        <v>1</v>
      </c>
      <c r="X75" s="1">
        <v>1</v>
      </c>
      <c r="AC75" s="15"/>
      <c r="AL75" s="15"/>
      <c r="AR75" s="15"/>
      <c r="AS75" s="15"/>
      <c r="AV75" s="15"/>
      <c r="AX75" s="15"/>
      <c r="AY75" s="15"/>
      <c r="BL75" s="15"/>
      <c r="BQ75" s="15"/>
      <c r="BS75" s="15"/>
      <c r="BT75" s="15"/>
      <c r="BX75" s="15"/>
      <c r="CR75" s="15"/>
      <c r="CS75" s="15"/>
      <c r="CX75" s="15"/>
      <c r="CY75" s="15"/>
      <c r="CZ75" s="1">
        <v>1</v>
      </c>
      <c r="DC75" s="15"/>
      <c r="DH75" s="1">
        <f t="shared" si="2"/>
        <v>3</v>
      </c>
      <c r="DI75" s="1">
        <f t="shared" si="3"/>
        <v>3</v>
      </c>
    </row>
    <row r="76" spans="1:113" ht="15.75" customHeight="1" x14ac:dyDescent="0.3">
      <c r="A76" s="15" t="s">
        <v>146</v>
      </c>
      <c r="B76" s="23" t="s">
        <v>183</v>
      </c>
      <c r="C76" s="23" t="s">
        <v>122</v>
      </c>
      <c r="D76" s="15" t="s">
        <v>152</v>
      </c>
      <c r="E76" s="17">
        <v>118</v>
      </c>
      <c r="F76" s="15"/>
      <c r="G76" s="15"/>
      <c r="H76" s="15">
        <v>79</v>
      </c>
      <c r="I76" s="18">
        <v>4.87</v>
      </c>
      <c r="J76" s="15">
        <v>25.2</v>
      </c>
      <c r="K76" s="15">
        <v>0</v>
      </c>
      <c r="L76" s="15">
        <v>100</v>
      </c>
      <c r="M76" s="15"/>
      <c r="N76" s="17">
        <v>3</v>
      </c>
      <c r="AC76" s="15"/>
      <c r="AL76" s="15"/>
      <c r="AR76" s="15"/>
      <c r="AS76" s="15"/>
      <c r="AV76" s="15"/>
      <c r="AX76" s="15"/>
      <c r="AY76" s="15"/>
      <c r="BL76" s="15"/>
      <c r="BQ76" s="15"/>
      <c r="BS76" s="15"/>
      <c r="BT76" s="15"/>
      <c r="BX76" s="15"/>
      <c r="CR76" s="15"/>
      <c r="CS76" s="15"/>
      <c r="CX76" s="15"/>
      <c r="CY76" s="15"/>
      <c r="DC76" s="15"/>
      <c r="DH76" s="1">
        <f t="shared" si="2"/>
        <v>0</v>
      </c>
      <c r="DI76" s="1">
        <f t="shared" si="3"/>
        <v>0</v>
      </c>
    </row>
    <row r="77" spans="1:113" ht="15.75" customHeight="1" x14ac:dyDescent="0.3">
      <c r="A77" s="15" t="s">
        <v>146</v>
      </c>
      <c r="B77" s="23" t="s">
        <v>185</v>
      </c>
      <c r="C77" s="23" t="s">
        <v>120</v>
      </c>
      <c r="D77" s="15" t="s">
        <v>152</v>
      </c>
      <c r="E77" s="17">
        <v>118</v>
      </c>
      <c r="F77" s="15"/>
      <c r="G77" s="15"/>
      <c r="H77" s="15">
        <v>86</v>
      </c>
      <c r="I77" s="18">
        <v>19.5</v>
      </c>
      <c r="J77" s="15">
        <v>27.4</v>
      </c>
      <c r="K77" s="15">
        <v>2.9</v>
      </c>
      <c r="L77" s="15">
        <v>100</v>
      </c>
      <c r="M77" s="15">
        <v>1360</v>
      </c>
      <c r="N77" s="17">
        <v>1</v>
      </c>
      <c r="X77" s="1">
        <v>2</v>
      </c>
      <c r="AC77" s="15"/>
      <c r="AL77" s="15"/>
      <c r="AR77" s="15">
        <v>2</v>
      </c>
      <c r="AS77" s="15"/>
      <c r="AV77" s="15"/>
      <c r="AX77" s="15"/>
      <c r="AY77" s="15"/>
      <c r="BL77" s="15"/>
      <c r="BQ77" s="15"/>
      <c r="BS77" s="15"/>
      <c r="BT77" s="15"/>
      <c r="BX77" s="15"/>
      <c r="CR77" s="15"/>
      <c r="CS77" s="15"/>
      <c r="CX77" s="15"/>
      <c r="CY77" s="15"/>
      <c r="CZ77" s="1">
        <v>1</v>
      </c>
      <c r="DC77" s="15"/>
      <c r="DH77" s="1">
        <f t="shared" si="2"/>
        <v>3</v>
      </c>
      <c r="DI77" s="1">
        <f t="shared" si="3"/>
        <v>5</v>
      </c>
    </row>
    <row r="78" spans="1:113" ht="15.75" customHeight="1" x14ac:dyDescent="0.3">
      <c r="A78" s="15" t="s">
        <v>146</v>
      </c>
      <c r="B78" s="23" t="s">
        <v>186</v>
      </c>
      <c r="C78" s="23" t="s">
        <v>120</v>
      </c>
      <c r="D78" s="15" t="s">
        <v>152</v>
      </c>
      <c r="E78" s="17">
        <v>118</v>
      </c>
      <c r="F78" s="15"/>
      <c r="G78" s="15"/>
      <c r="H78" s="15">
        <v>79</v>
      </c>
      <c r="I78" s="18">
        <v>0.56999999999999995</v>
      </c>
      <c r="J78" s="15">
        <v>24.8</v>
      </c>
      <c r="K78" s="15">
        <v>0</v>
      </c>
      <c r="L78" s="15">
        <v>100</v>
      </c>
      <c r="M78" s="15">
        <v>1360</v>
      </c>
      <c r="N78" s="17">
        <v>6</v>
      </c>
      <c r="V78" s="1">
        <v>1</v>
      </c>
      <c r="X78" s="1">
        <v>1</v>
      </c>
      <c r="AC78" s="15"/>
      <c r="AL78" s="15"/>
      <c r="AR78" s="15">
        <v>2</v>
      </c>
      <c r="AS78" s="15"/>
      <c r="AV78" s="15"/>
      <c r="AX78" s="15"/>
      <c r="AY78" s="15"/>
      <c r="BL78" s="15"/>
      <c r="BQ78" s="15"/>
      <c r="BS78" s="15"/>
      <c r="BT78" s="15"/>
      <c r="BX78" s="15"/>
      <c r="CR78" s="15"/>
      <c r="CS78" s="15"/>
      <c r="CX78" s="15"/>
      <c r="CY78" s="15"/>
      <c r="DC78" s="15"/>
      <c r="DH78" s="1">
        <f t="shared" si="2"/>
        <v>3</v>
      </c>
      <c r="DI78" s="1">
        <f t="shared" si="3"/>
        <v>4</v>
      </c>
    </row>
    <row r="79" spans="1:113" ht="15.75" customHeight="1" x14ac:dyDescent="0.3">
      <c r="A79" s="15" t="s">
        <v>146</v>
      </c>
      <c r="B79" s="23" t="s">
        <v>186</v>
      </c>
      <c r="C79" s="23" t="s">
        <v>122</v>
      </c>
      <c r="D79" s="15" t="s">
        <v>149</v>
      </c>
      <c r="E79" s="17">
        <v>105</v>
      </c>
      <c r="F79" s="15"/>
      <c r="G79" s="15"/>
      <c r="H79" s="15">
        <v>96</v>
      </c>
      <c r="I79" s="18">
        <v>15.05</v>
      </c>
      <c r="J79" s="15">
        <v>30.2</v>
      </c>
      <c r="K79" s="15">
        <v>0</v>
      </c>
      <c r="L79" s="15">
        <v>100</v>
      </c>
      <c r="M79" s="15"/>
      <c r="N79" s="17">
        <v>6</v>
      </c>
      <c r="AC79" s="15"/>
      <c r="AL79" s="15"/>
      <c r="AR79" s="15"/>
      <c r="AS79" s="15"/>
      <c r="AV79" s="15"/>
      <c r="AX79" s="15"/>
      <c r="AY79" s="15"/>
      <c r="BC79" s="1">
        <v>1</v>
      </c>
      <c r="BL79" s="15"/>
      <c r="BQ79" s="15"/>
      <c r="BS79" s="15"/>
      <c r="BT79" s="15"/>
      <c r="BX79" s="15"/>
      <c r="CL79" s="1">
        <v>5</v>
      </c>
      <c r="CR79" s="15"/>
      <c r="CS79" s="15"/>
      <c r="CX79" s="15"/>
      <c r="CY79" s="15"/>
      <c r="DC79" s="15"/>
      <c r="DH79" s="1">
        <f t="shared" si="2"/>
        <v>2</v>
      </c>
      <c r="DI79" s="1">
        <f t="shared" si="3"/>
        <v>6</v>
      </c>
    </row>
    <row r="80" spans="1:113" ht="15.75" customHeight="1" x14ac:dyDescent="0.3">
      <c r="A80" s="15" t="s">
        <v>146</v>
      </c>
      <c r="B80" s="15" t="s">
        <v>186</v>
      </c>
      <c r="C80" s="15" t="s">
        <v>122</v>
      </c>
      <c r="D80" s="15" t="s">
        <v>152</v>
      </c>
      <c r="E80" s="17">
        <v>118</v>
      </c>
      <c r="F80" s="15"/>
      <c r="G80" s="15"/>
      <c r="H80" s="15">
        <v>57</v>
      </c>
      <c r="I80" s="18">
        <v>153.19999999999999</v>
      </c>
      <c r="J80" s="15">
        <v>30.2</v>
      </c>
      <c r="K80" s="15">
        <v>0.4</v>
      </c>
      <c r="L80" s="15">
        <v>100</v>
      </c>
      <c r="M80" s="15"/>
      <c r="N80" s="17">
        <v>6</v>
      </c>
      <c r="AC80" s="15"/>
      <c r="AL80" s="15"/>
      <c r="AR80" s="15"/>
      <c r="AS80" s="15"/>
      <c r="AV80" s="15"/>
      <c r="AX80" s="15"/>
      <c r="AY80" s="15"/>
      <c r="BL80" s="15"/>
      <c r="BO80" s="1">
        <v>1</v>
      </c>
      <c r="BP80" s="1">
        <v>2</v>
      </c>
      <c r="BQ80" s="15"/>
      <c r="BS80" s="15"/>
      <c r="BT80" s="15"/>
      <c r="BX80" s="15"/>
      <c r="CR80" s="15"/>
      <c r="CS80" s="15"/>
      <c r="CX80" s="15"/>
      <c r="CY80" s="15"/>
      <c r="DC80" s="15"/>
      <c r="DH80" s="1">
        <f t="shared" si="2"/>
        <v>2</v>
      </c>
      <c r="DI80" s="1">
        <f t="shared" si="3"/>
        <v>3</v>
      </c>
    </row>
    <row r="81" spans="1:113" ht="15.75" customHeight="1" x14ac:dyDescent="0.3">
      <c r="A81" s="15"/>
      <c r="B81" s="37"/>
      <c r="C81" s="27"/>
      <c r="E81" s="17"/>
      <c r="F81" s="15"/>
      <c r="G81" s="15"/>
      <c r="H81" s="15"/>
      <c r="I81" s="18"/>
      <c r="J81" s="15"/>
      <c r="K81" s="15"/>
      <c r="L81" s="15"/>
      <c r="M81" s="15"/>
      <c r="N81" s="17"/>
      <c r="AC81" s="15"/>
      <c r="AL81" s="15"/>
      <c r="AR81" s="15"/>
      <c r="AS81" s="15"/>
      <c r="AV81" s="15"/>
      <c r="AX81" s="15"/>
      <c r="AY81" s="15"/>
      <c r="BL81" s="15"/>
      <c r="BQ81" s="15"/>
      <c r="BS81" s="15"/>
      <c r="BT81" s="15"/>
      <c r="BX81" s="15"/>
      <c r="CR81" s="15"/>
      <c r="CS81" s="15"/>
      <c r="CX81" s="15"/>
      <c r="CY81" s="15"/>
      <c r="DC81" s="15"/>
      <c r="DH81" s="1">
        <f t="shared" si="2"/>
        <v>0</v>
      </c>
      <c r="DI81" s="1">
        <f t="shared" si="3"/>
        <v>0</v>
      </c>
    </row>
    <row r="82" spans="1:113" ht="15.75" customHeight="1" x14ac:dyDescent="0.3">
      <c r="A82" s="15" t="s">
        <v>153</v>
      </c>
      <c r="B82" s="23" t="s">
        <v>176</v>
      </c>
      <c r="C82" s="23" t="s">
        <v>120</v>
      </c>
      <c r="D82" s="19">
        <v>44877</v>
      </c>
      <c r="E82" s="17">
        <v>133</v>
      </c>
      <c r="F82" s="15"/>
      <c r="G82" s="15"/>
      <c r="H82" s="15">
        <v>98</v>
      </c>
      <c r="I82" s="18">
        <v>7.54</v>
      </c>
      <c r="J82" s="15">
        <v>25.8</v>
      </c>
      <c r="K82" s="15">
        <v>0</v>
      </c>
      <c r="L82" s="15">
        <v>100</v>
      </c>
      <c r="M82" s="15"/>
      <c r="N82" s="17">
        <v>4</v>
      </c>
      <c r="R82" s="1">
        <v>1</v>
      </c>
      <c r="W82" s="1">
        <v>1</v>
      </c>
      <c r="AC82" s="15"/>
      <c r="AL82" s="15"/>
      <c r="AR82" s="15"/>
      <c r="AS82" s="15"/>
      <c r="AV82" s="15"/>
      <c r="AX82" s="15">
        <v>1</v>
      </c>
      <c r="AY82" s="15"/>
      <c r="BL82" s="15"/>
      <c r="BQ82" s="15"/>
      <c r="BS82" s="15"/>
      <c r="BT82" s="15">
        <v>2</v>
      </c>
      <c r="BX82" s="15"/>
      <c r="CR82" s="15"/>
      <c r="CS82" s="15"/>
      <c r="CV82" s="1">
        <v>2</v>
      </c>
      <c r="CX82" s="15"/>
      <c r="CY82" s="15"/>
      <c r="DC82" s="15"/>
      <c r="DH82" s="1">
        <f t="shared" si="2"/>
        <v>5</v>
      </c>
      <c r="DI82" s="1">
        <f t="shared" si="3"/>
        <v>7</v>
      </c>
    </row>
    <row r="83" spans="1:113" ht="15.75" customHeight="1" x14ac:dyDescent="0.3">
      <c r="A83" s="15" t="s">
        <v>153</v>
      </c>
      <c r="B83" s="23" t="s">
        <v>176</v>
      </c>
      <c r="C83" s="23" t="s">
        <v>120</v>
      </c>
      <c r="D83" s="15" t="s">
        <v>154</v>
      </c>
      <c r="E83" s="17">
        <v>146</v>
      </c>
      <c r="F83" s="15"/>
      <c r="G83" s="15"/>
      <c r="H83" s="15">
        <v>99</v>
      </c>
      <c r="I83" s="18">
        <v>6.06</v>
      </c>
      <c r="J83" s="15">
        <v>25.35</v>
      </c>
      <c r="K83" s="15">
        <v>0</v>
      </c>
      <c r="L83" s="15">
        <v>100</v>
      </c>
      <c r="M83" s="15">
        <v>580</v>
      </c>
      <c r="N83" s="17">
        <v>4</v>
      </c>
      <c r="Q83" s="1">
        <v>1</v>
      </c>
      <c r="AC83" s="15"/>
      <c r="AL83" s="15"/>
      <c r="AR83" s="15"/>
      <c r="AS83" s="15"/>
      <c r="AV83" s="15"/>
      <c r="AX83" s="15"/>
      <c r="AY83" s="15"/>
      <c r="BL83" s="15">
        <v>1</v>
      </c>
      <c r="BQ83" s="15"/>
      <c r="BS83" s="15"/>
      <c r="BT83" s="15"/>
      <c r="BX83" s="15">
        <v>1</v>
      </c>
      <c r="CC83" s="1">
        <v>1</v>
      </c>
      <c r="CJ83" s="1">
        <v>1</v>
      </c>
      <c r="CR83" s="15">
        <v>1</v>
      </c>
      <c r="CS83" s="15"/>
      <c r="CX83" s="15">
        <v>1</v>
      </c>
      <c r="CY83" s="15"/>
      <c r="CZ83" s="1">
        <v>1</v>
      </c>
      <c r="DC83" s="15">
        <v>1</v>
      </c>
      <c r="DH83" s="1">
        <f t="shared" si="2"/>
        <v>9</v>
      </c>
      <c r="DI83" s="1">
        <f t="shared" si="3"/>
        <v>9</v>
      </c>
    </row>
    <row r="84" spans="1:113" ht="15.75" customHeight="1" x14ac:dyDescent="0.3">
      <c r="A84" s="15" t="s">
        <v>153</v>
      </c>
      <c r="B84" s="23" t="s">
        <v>177</v>
      </c>
      <c r="C84" s="23" t="s">
        <v>120</v>
      </c>
      <c r="D84" s="15" t="s">
        <v>154</v>
      </c>
      <c r="E84" s="17">
        <v>146</v>
      </c>
      <c r="F84" s="15"/>
      <c r="G84" s="15"/>
      <c r="H84" s="15">
        <v>98</v>
      </c>
      <c r="I84" s="18">
        <v>0.77</v>
      </c>
      <c r="J84" s="15">
        <v>22.6</v>
      </c>
      <c r="K84" s="15">
        <v>0</v>
      </c>
      <c r="L84" s="15">
        <v>100</v>
      </c>
      <c r="M84" s="15">
        <v>580</v>
      </c>
      <c r="N84" s="17">
        <v>3</v>
      </c>
      <c r="AC84" s="15">
        <v>3</v>
      </c>
      <c r="AH84" s="1">
        <v>1</v>
      </c>
      <c r="AL84" s="15"/>
      <c r="AR84" s="15"/>
      <c r="AS84" s="15"/>
      <c r="AV84" s="15"/>
      <c r="AX84" s="15"/>
      <c r="AY84" s="15">
        <v>1</v>
      </c>
      <c r="BL84" s="15"/>
      <c r="BQ84" s="15"/>
      <c r="BS84" s="15"/>
      <c r="BT84" s="15">
        <v>1</v>
      </c>
      <c r="BX84" s="15">
        <v>1</v>
      </c>
      <c r="CF84" s="1">
        <v>1</v>
      </c>
      <c r="CM84" s="1">
        <v>5</v>
      </c>
      <c r="CR84" s="15"/>
      <c r="CS84" s="15"/>
      <c r="CX84" s="15">
        <v>1</v>
      </c>
      <c r="CY84" s="15"/>
      <c r="DC84" s="15"/>
      <c r="DH84" s="1">
        <f t="shared" si="2"/>
        <v>8</v>
      </c>
      <c r="DI84" s="1">
        <f t="shared" si="3"/>
        <v>14</v>
      </c>
    </row>
    <row r="85" spans="1:113" ht="15.75" customHeight="1" x14ac:dyDescent="0.3">
      <c r="A85" s="15" t="s">
        <v>153</v>
      </c>
      <c r="B85" s="23" t="s">
        <v>177</v>
      </c>
      <c r="C85" s="23" t="s">
        <v>122</v>
      </c>
      <c r="D85" s="19">
        <v>44846</v>
      </c>
      <c r="E85" s="17">
        <v>132</v>
      </c>
      <c r="F85" s="15"/>
      <c r="G85" s="15"/>
      <c r="H85" s="15">
        <v>82</v>
      </c>
      <c r="I85" s="36">
        <v>0.19800000000000001</v>
      </c>
      <c r="J85" s="15">
        <v>24.3</v>
      </c>
      <c r="K85" s="15">
        <v>0</v>
      </c>
      <c r="L85" s="15">
        <v>20</v>
      </c>
      <c r="M85" s="15"/>
      <c r="N85" s="17">
        <v>3</v>
      </c>
      <c r="AC85" s="15">
        <v>1</v>
      </c>
      <c r="AE85" s="1">
        <v>1</v>
      </c>
      <c r="AL85" s="15"/>
      <c r="AR85" s="15"/>
      <c r="AS85" s="15"/>
      <c r="AV85" s="15"/>
      <c r="AX85" s="15"/>
      <c r="AY85" s="15">
        <v>1</v>
      </c>
      <c r="BH85" s="1">
        <v>1</v>
      </c>
      <c r="BL85" s="15">
        <v>1</v>
      </c>
      <c r="BQ85" s="15"/>
      <c r="BS85" s="15"/>
      <c r="BT85" s="15"/>
      <c r="BX85" s="15"/>
      <c r="CM85" s="1">
        <v>3</v>
      </c>
      <c r="CN85" s="1">
        <v>1</v>
      </c>
      <c r="CR85" s="15"/>
      <c r="CS85" s="15">
        <v>1</v>
      </c>
      <c r="CV85" s="1">
        <v>2</v>
      </c>
      <c r="CX85" s="15"/>
      <c r="CY85" s="15"/>
      <c r="DC85" s="15"/>
      <c r="DH85" s="1">
        <f t="shared" si="2"/>
        <v>9</v>
      </c>
      <c r="DI85" s="1">
        <f t="shared" si="3"/>
        <v>12</v>
      </c>
    </row>
    <row r="86" spans="1:113" ht="15.75" customHeight="1" x14ac:dyDescent="0.3">
      <c r="A86" s="15" t="s">
        <v>153</v>
      </c>
      <c r="B86" s="23" t="s">
        <v>200</v>
      </c>
      <c r="C86" s="23" t="s">
        <v>120</v>
      </c>
      <c r="D86" s="19" t="s">
        <v>155</v>
      </c>
      <c r="E86" s="17">
        <v>144</v>
      </c>
      <c r="F86" s="15"/>
      <c r="G86" s="15"/>
      <c r="H86" s="15">
        <v>98</v>
      </c>
      <c r="I86" s="18">
        <v>3.69</v>
      </c>
      <c r="J86" s="15">
        <v>22.35</v>
      </c>
      <c r="K86" s="15">
        <v>0</v>
      </c>
      <c r="L86" s="15">
        <v>0</v>
      </c>
      <c r="M86" s="15">
        <v>870</v>
      </c>
      <c r="N86" s="17">
        <v>5</v>
      </c>
      <c r="AC86" s="15"/>
      <c r="AL86" s="15"/>
      <c r="AR86" s="15"/>
      <c r="AS86" s="15"/>
      <c r="AV86" s="15"/>
      <c r="AX86" s="15"/>
      <c r="AY86" s="15">
        <v>1</v>
      </c>
      <c r="BL86" s="15"/>
      <c r="BQ86" s="15"/>
      <c r="BS86" s="15"/>
      <c r="BT86" s="15"/>
      <c r="BX86" s="15"/>
      <c r="CF86" s="1">
        <v>1</v>
      </c>
      <c r="CK86" s="1">
        <v>5</v>
      </c>
      <c r="CR86" s="15"/>
      <c r="CS86" s="15"/>
      <c r="CX86" s="15"/>
      <c r="CY86" s="15"/>
      <c r="DC86" s="15"/>
      <c r="DH86" s="1">
        <f t="shared" si="2"/>
        <v>3</v>
      </c>
      <c r="DI86" s="1">
        <f t="shared" si="3"/>
        <v>7</v>
      </c>
    </row>
    <row r="87" spans="1:113" ht="15.75" customHeight="1" x14ac:dyDescent="0.3">
      <c r="A87" s="15" t="s">
        <v>153</v>
      </c>
      <c r="B87" s="23" t="s">
        <v>200</v>
      </c>
      <c r="C87" s="23" t="s">
        <v>120</v>
      </c>
      <c r="D87" s="15" t="s">
        <v>155</v>
      </c>
      <c r="E87" s="17">
        <v>144</v>
      </c>
      <c r="F87" s="15"/>
      <c r="G87" s="15"/>
      <c r="H87" s="15">
        <v>98</v>
      </c>
      <c r="I87" s="18">
        <v>3.69</v>
      </c>
      <c r="J87" s="15">
        <v>22.35</v>
      </c>
      <c r="K87" s="15">
        <v>0</v>
      </c>
      <c r="L87" s="15">
        <v>0</v>
      </c>
      <c r="M87" s="15">
        <v>870</v>
      </c>
      <c r="N87" s="17">
        <v>5</v>
      </c>
      <c r="AC87" s="15"/>
      <c r="AL87" s="15">
        <v>1</v>
      </c>
      <c r="AM87" s="1">
        <v>1</v>
      </c>
      <c r="AR87" s="15"/>
      <c r="AS87" s="15"/>
      <c r="AV87" s="15"/>
      <c r="AX87" s="15"/>
      <c r="AY87" s="15"/>
      <c r="BH87" s="1">
        <v>1</v>
      </c>
      <c r="BK87" s="1">
        <v>1</v>
      </c>
      <c r="BL87" s="15"/>
      <c r="BQ87" s="15"/>
      <c r="BS87" s="15">
        <v>1</v>
      </c>
      <c r="BT87" s="15"/>
      <c r="BX87" s="15"/>
      <c r="BY87" s="1">
        <v>1</v>
      </c>
      <c r="CC87" s="1">
        <v>1</v>
      </c>
      <c r="CF87" s="1">
        <v>1</v>
      </c>
      <c r="CH87" s="1">
        <v>2</v>
      </c>
      <c r="CI87" s="1">
        <v>1</v>
      </c>
      <c r="CR87" s="15"/>
      <c r="CS87" s="15"/>
      <c r="CT87" s="1">
        <v>1</v>
      </c>
      <c r="CX87" s="15">
        <v>1</v>
      </c>
      <c r="CY87" s="15"/>
      <c r="CZ87" s="1">
        <v>1</v>
      </c>
      <c r="DC87" s="15"/>
      <c r="DH87" s="1">
        <f t="shared" si="2"/>
        <v>13</v>
      </c>
      <c r="DI87" s="1">
        <f t="shared" si="3"/>
        <v>14</v>
      </c>
    </row>
    <row r="88" spans="1:113" ht="15.75" customHeight="1" x14ac:dyDescent="0.3">
      <c r="A88" s="15" t="s">
        <v>153</v>
      </c>
      <c r="B88" s="23" t="s">
        <v>200</v>
      </c>
      <c r="C88" s="23" t="s">
        <v>122</v>
      </c>
      <c r="D88" s="19">
        <v>44846</v>
      </c>
      <c r="E88" s="17">
        <v>132</v>
      </c>
      <c r="F88" s="15"/>
      <c r="G88" s="15"/>
      <c r="H88" s="15">
        <v>90</v>
      </c>
      <c r="I88" s="36">
        <v>3.5000000000000003E-2</v>
      </c>
      <c r="J88" s="15">
        <v>24.2</v>
      </c>
      <c r="K88" s="15">
        <v>0</v>
      </c>
      <c r="L88" s="15">
        <v>20</v>
      </c>
      <c r="M88" s="15"/>
      <c r="N88" s="17">
        <v>5</v>
      </c>
      <c r="AC88" s="15"/>
      <c r="AL88" s="15"/>
      <c r="AM88" s="1">
        <v>1</v>
      </c>
      <c r="AR88" s="15"/>
      <c r="AS88" s="15"/>
      <c r="AV88" s="15"/>
      <c r="AX88" s="15"/>
      <c r="AY88" s="15"/>
      <c r="BL88" s="15"/>
      <c r="BQ88" s="15"/>
      <c r="BS88" s="15"/>
      <c r="BT88" s="15"/>
      <c r="BX88" s="15"/>
      <c r="CR88" s="15"/>
      <c r="CS88" s="15"/>
      <c r="CX88" s="15"/>
      <c r="CY88" s="15"/>
      <c r="DC88" s="15"/>
      <c r="DH88" s="1">
        <f t="shared" si="2"/>
        <v>1</v>
      </c>
      <c r="DI88" s="1">
        <f t="shared" si="3"/>
        <v>1</v>
      </c>
    </row>
    <row r="89" spans="1:113" ht="15.75" customHeight="1" x14ac:dyDescent="0.3">
      <c r="A89" s="15" t="s">
        <v>153</v>
      </c>
      <c r="B89" s="23" t="s">
        <v>200</v>
      </c>
      <c r="C89" s="23" t="s">
        <v>122</v>
      </c>
      <c r="D89" s="19">
        <v>44877</v>
      </c>
      <c r="E89" s="17">
        <v>133</v>
      </c>
      <c r="F89" s="15"/>
      <c r="G89" s="15"/>
      <c r="H89" s="15">
        <v>61</v>
      </c>
      <c r="I89" s="36">
        <v>9.4E-2</v>
      </c>
      <c r="J89" s="15">
        <v>25.5</v>
      </c>
      <c r="K89" s="15">
        <v>0</v>
      </c>
      <c r="L89" s="15">
        <v>15</v>
      </c>
      <c r="M89" s="15"/>
      <c r="N89" s="17">
        <v>5</v>
      </c>
      <c r="AC89" s="15"/>
      <c r="AE89" s="1">
        <v>1</v>
      </c>
      <c r="AJ89" s="1">
        <v>1</v>
      </c>
      <c r="AL89" s="15"/>
      <c r="AR89" s="15"/>
      <c r="AS89" s="15"/>
      <c r="AV89" s="15"/>
      <c r="AX89" s="15"/>
      <c r="AY89" s="15">
        <v>2</v>
      </c>
      <c r="BC89" s="1">
        <v>2</v>
      </c>
      <c r="BL89" s="15"/>
      <c r="BQ89" s="15"/>
      <c r="BS89" s="15"/>
      <c r="BT89" s="15"/>
      <c r="BX89" s="15"/>
      <c r="CC89" s="1">
        <v>1</v>
      </c>
      <c r="CJ89" s="1">
        <v>1</v>
      </c>
      <c r="CR89" s="15"/>
      <c r="CS89" s="15"/>
      <c r="CX89" s="15"/>
      <c r="CY89" s="15"/>
      <c r="DC89" s="15"/>
      <c r="DH89" s="1">
        <f t="shared" si="2"/>
        <v>6</v>
      </c>
      <c r="DI89" s="1">
        <f t="shared" si="3"/>
        <v>8</v>
      </c>
    </row>
    <row r="90" spans="1:113" ht="15.75" customHeight="1" x14ac:dyDescent="0.3">
      <c r="A90" s="15" t="s">
        <v>153</v>
      </c>
      <c r="B90" s="23" t="s">
        <v>200</v>
      </c>
      <c r="C90" s="23" t="s">
        <v>122</v>
      </c>
      <c r="D90" s="19" t="s">
        <v>156</v>
      </c>
      <c r="E90" s="17">
        <v>145</v>
      </c>
      <c r="F90" s="15"/>
      <c r="G90" s="15"/>
      <c r="H90" s="15">
        <v>65</v>
      </c>
      <c r="I90" s="36">
        <v>3.5000000000000003E-2</v>
      </c>
      <c r="J90" s="15">
        <v>25.7</v>
      </c>
      <c r="K90" s="15">
        <v>0</v>
      </c>
      <c r="L90" s="15">
        <v>100</v>
      </c>
      <c r="M90" s="15"/>
      <c r="N90" s="17">
        <v>5</v>
      </c>
      <c r="AC90" s="15"/>
      <c r="AL90" s="15"/>
      <c r="AR90" s="15"/>
      <c r="AS90" s="15"/>
      <c r="AV90" s="15"/>
      <c r="AX90" s="15"/>
      <c r="AY90" s="15">
        <v>1</v>
      </c>
      <c r="BL90" s="15"/>
      <c r="BQ90" s="15"/>
      <c r="BS90" s="15"/>
      <c r="BT90" s="15"/>
      <c r="BX90" s="15"/>
      <c r="CF90" s="1">
        <v>1</v>
      </c>
      <c r="CI90" s="1">
        <v>1</v>
      </c>
      <c r="CR90" s="15"/>
      <c r="CS90" s="15"/>
      <c r="CX90" s="15"/>
      <c r="CY90" s="15"/>
      <c r="DC90" s="15"/>
      <c r="DH90" s="1">
        <f t="shared" si="2"/>
        <v>3</v>
      </c>
      <c r="DI90" s="1">
        <f t="shared" si="3"/>
        <v>3</v>
      </c>
    </row>
    <row r="91" spans="1:113" ht="15.75" customHeight="1" x14ac:dyDescent="0.3">
      <c r="A91" s="15" t="s">
        <v>153</v>
      </c>
      <c r="B91" s="23" t="s">
        <v>180</v>
      </c>
      <c r="C91" s="23" t="s">
        <v>120</v>
      </c>
      <c r="D91" s="15" t="s">
        <v>155</v>
      </c>
      <c r="E91" s="17">
        <v>144</v>
      </c>
      <c r="F91" s="15"/>
      <c r="G91" s="15"/>
      <c r="H91" s="15">
        <v>85</v>
      </c>
      <c r="I91" s="18">
        <v>3.81</v>
      </c>
      <c r="J91" s="15">
        <v>25</v>
      </c>
      <c r="K91" s="15">
        <v>0</v>
      </c>
      <c r="L91" s="15">
        <v>78.33</v>
      </c>
      <c r="M91" s="15">
        <v>870</v>
      </c>
      <c r="N91" s="17">
        <v>5</v>
      </c>
      <c r="W91" s="1">
        <v>1</v>
      </c>
      <c r="AC91" s="15"/>
      <c r="AL91" s="15"/>
      <c r="AR91" s="15"/>
      <c r="AS91" s="15"/>
      <c r="AV91" s="15"/>
      <c r="AX91" s="15"/>
      <c r="AY91" s="15"/>
      <c r="BL91" s="15"/>
      <c r="BQ91" s="15"/>
      <c r="BS91" s="15"/>
      <c r="BT91" s="15"/>
      <c r="BX91" s="15"/>
      <c r="CF91" s="1">
        <v>1</v>
      </c>
      <c r="CR91" s="15"/>
      <c r="CS91" s="15"/>
      <c r="CX91" s="15"/>
      <c r="CY91" s="15"/>
      <c r="CZ91" s="1">
        <v>1</v>
      </c>
      <c r="DC91" s="15"/>
      <c r="DH91" s="1">
        <f t="shared" si="2"/>
        <v>3</v>
      </c>
      <c r="DI91" s="1">
        <f t="shared" si="3"/>
        <v>3</v>
      </c>
    </row>
    <row r="92" spans="1:113" ht="15.75" customHeight="1" x14ac:dyDescent="0.3">
      <c r="A92" s="15" t="s">
        <v>153</v>
      </c>
      <c r="B92" s="23" t="s">
        <v>180</v>
      </c>
      <c r="C92" s="23" t="s">
        <v>122</v>
      </c>
      <c r="D92" s="19">
        <v>44877</v>
      </c>
      <c r="E92" s="17">
        <v>133</v>
      </c>
      <c r="F92" s="15"/>
      <c r="G92" s="15"/>
      <c r="H92" s="15">
        <v>61</v>
      </c>
      <c r="I92" s="18">
        <v>4.78</v>
      </c>
      <c r="J92" s="15">
        <v>28.7</v>
      </c>
      <c r="K92" s="15">
        <v>0</v>
      </c>
      <c r="L92" s="15">
        <v>100</v>
      </c>
      <c r="M92" s="15"/>
      <c r="N92" s="17">
        <v>5</v>
      </c>
      <c r="AC92" s="15"/>
      <c r="AL92" s="15"/>
      <c r="AR92" s="15"/>
      <c r="AS92" s="15"/>
      <c r="AV92" s="15"/>
      <c r="AX92" s="15"/>
      <c r="AY92" s="15"/>
      <c r="BL92" s="15"/>
      <c r="BQ92" s="15"/>
      <c r="BS92" s="15"/>
      <c r="BT92" s="15"/>
      <c r="BX92" s="15"/>
      <c r="CR92" s="15"/>
      <c r="CS92" s="15"/>
      <c r="CX92" s="15"/>
      <c r="CY92" s="15"/>
      <c r="DC92" s="15"/>
      <c r="DH92" s="1">
        <f t="shared" si="2"/>
        <v>0</v>
      </c>
      <c r="DI92" s="1">
        <f t="shared" si="3"/>
        <v>0</v>
      </c>
    </row>
    <row r="93" spans="1:113" ht="15.75" customHeight="1" x14ac:dyDescent="0.3">
      <c r="A93" s="15" t="s">
        <v>153</v>
      </c>
      <c r="B93" s="23" t="s">
        <v>180</v>
      </c>
      <c r="C93" s="23" t="s">
        <v>122</v>
      </c>
      <c r="D93" s="19">
        <v>44877</v>
      </c>
      <c r="E93" s="17">
        <v>133</v>
      </c>
      <c r="F93" s="15"/>
      <c r="G93" s="15"/>
      <c r="H93" s="15">
        <v>47</v>
      </c>
      <c r="I93" s="36">
        <v>0.74399999999999999</v>
      </c>
      <c r="J93" s="15">
        <v>29.9</v>
      </c>
      <c r="K93" s="15">
        <v>0</v>
      </c>
      <c r="L93" s="15">
        <v>2</v>
      </c>
      <c r="M93" s="15"/>
      <c r="N93" s="17">
        <v>5</v>
      </c>
      <c r="AC93" s="15"/>
      <c r="AL93" s="15"/>
      <c r="AR93" s="15"/>
      <c r="AS93" s="15"/>
      <c r="AV93" s="15"/>
      <c r="AX93" s="15"/>
      <c r="AY93" s="15">
        <v>1</v>
      </c>
      <c r="BA93" s="1">
        <v>1</v>
      </c>
      <c r="BL93" s="15"/>
      <c r="BQ93" s="15"/>
      <c r="BS93" s="15"/>
      <c r="BT93" s="15"/>
      <c r="BX93" s="15"/>
      <c r="CR93" s="15"/>
      <c r="CS93" s="15"/>
      <c r="CX93" s="15"/>
      <c r="CY93" s="15"/>
      <c r="DC93" s="15"/>
      <c r="DH93" s="1">
        <f t="shared" si="2"/>
        <v>2</v>
      </c>
      <c r="DI93" s="1">
        <f t="shared" si="3"/>
        <v>2</v>
      </c>
    </row>
    <row r="94" spans="1:113" ht="15.75" customHeight="1" x14ac:dyDescent="0.3">
      <c r="A94" s="15" t="s">
        <v>153</v>
      </c>
      <c r="B94" s="23" t="s">
        <v>180</v>
      </c>
      <c r="C94" s="23" t="s">
        <v>122</v>
      </c>
      <c r="D94" s="19" t="s">
        <v>156</v>
      </c>
      <c r="E94" s="17">
        <v>145</v>
      </c>
      <c r="F94" s="15"/>
      <c r="G94" s="15"/>
      <c r="H94" s="15">
        <v>50</v>
      </c>
      <c r="I94" s="36">
        <v>0.7</v>
      </c>
      <c r="J94" s="15">
        <v>26.3</v>
      </c>
      <c r="K94" s="15">
        <v>0</v>
      </c>
      <c r="L94" s="15">
        <v>100</v>
      </c>
      <c r="M94" s="15"/>
      <c r="N94" s="17">
        <v>5</v>
      </c>
      <c r="AC94" s="15"/>
      <c r="AE94" s="1">
        <v>4</v>
      </c>
      <c r="AL94" s="15"/>
      <c r="AR94" s="15"/>
      <c r="AS94" s="15"/>
      <c r="AV94" s="15"/>
      <c r="AX94" s="15"/>
      <c r="AY94" s="15">
        <v>1</v>
      </c>
      <c r="BL94" s="15"/>
      <c r="BQ94" s="15"/>
      <c r="BS94" s="15"/>
      <c r="BT94" s="15"/>
      <c r="BX94" s="15"/>
      <c r="CR94" s="15"/>
      <c r="CS94" s="15"/>
      <c r="CX94" s="15"/>
      <c r="CY94" s="15"/>
      <c r="DC94" s="15"/>
      <c r="DH94" s="1">
        <f t="shared" si="2"/>
        <v>2</v>
      </c>
      <c r="DI94" s="1">
        <f t="shared" si="3"/>
        <v>5</v>
      </c>
    </row>
    <row r="95" spans="1:113" ht="15.75" customHeight="1" x14ac:dyDescent="0.3">
      <c r="A95" s="15" t="s">
        <v>153</v>
      </c>
      <c r="B95" s="23" t="s">
        <v>181</v>
      </c>
      <c r="C95" s="23" t="s">
        <v>120</v>
      </c>
      <c r="D95" s="15" t="s">
        <v>155</v>
      </c>
      <c r="E95" s="17">
        <v>144</v>
      </c>
      <c r="F95" s="15"/>
      <c r="G95" s="15"/>
      <c r="H95" s="15">
        <v>85</v>
      </c>
      <c r="I95" s="18">
        <v>13.84</v>
      </c>
      <c r="J95" s="15">
        <v>26.7</v>
      </c>
      <c r="K95" s="15">
        <v>0</v>
      </c>
      <c r="L95" s="15">
        <v>100</v>
      </c>
      <c r="M95" s="15">
        <v>870</v>
      </c>
      <c r="N95" s="17">
        <v>3</v>
      </c>
      <c r="AC95" s="15"/>
      <c r="AL95" s="15"/>
      <c r="AR95" s="15"/>
      <c r="AS95" s="15"/>
      <c r="AT95" s="1">
        <v>2</v>
      </c>
      <c r="AV95" s="15"/>
      <c r="AX95" s="15"/>
      <c r="AY95" s="15"/>
      <c r="BL95" s="15"/>
      <c r="BQ95" s="15"/>
      <c r="BS95" s="15"/>
      <c r="BT95" s="15"/>
      <c r="BX95" s="15"/>
      <c r="CF95" s="1">
        <v>1</v>
      </c>
      <c r="CH95" s="1">
        <v>2</v>
      </c>
      <c r="CR95" s="15"/>
      <c r="CS95" s="15"/>
      <c r="CX95" s="15"/>
      <c r="CY95" s="15"/>
      <c r="CZ95" s="1">
        <v>1</v>
      </c>
      <c r="DC95" s="15"/>
      <c r="DH95" s="1">
        <f t="shared" si="2"/>
        <v>4</v>
      </c>
      <c r="DI95" s="1">
        <f t="shared" si="3"/>
        <v>6</v>
      </c>
    </row>
    <row r="96" spans="1:113" ht="15.75" customHeight="1" x14ac:dyDescent="0.3">
      <c r="A96" s="15" t="s">
        <v>153</v>
      </c>
      <c r="B96" s="23" t="s">
        <v>181</v>
      </c>
      <c r="C96" s="23" t="s">
        <v>122</v>
      </c>
      <c r="D96" s="19">
        <v>44877</v>
      </c>
      <c r="E96" s="17">
        <v>133</v>
      </c>
      <c r="F96" s="15"/>
      <c r="G96" s="15"/>
      <c r="H96" s="15">
        <v>55</v>
      </c>
      <c r="I96" s="18">
        <v>55.3</v>
      </c>
      <c r="J96" s="15">
        <v>30.2</v>
      </c>
      <c r="K96" s="15">
        <v>0</v>
      </c>
      <c r="L96" s="15">
        <v>100</v>
      </c>
      <c r="M96" s="15"/>
      <c r="N96" s="17">
        <v>3</v>
      </c>
      <c r="AC96" s="15"/>
      <c r="AL96" s="15"/>
      <c r="AR96" s="15"/>
      <c r="AS96" s="15"/>
      <c r="AV96" s="15"/>
      <c r="AX96" s="15"/>
      <c r="AY96" s="15"/>
      <c r="BL96" s="15"/>
      <c r="BQ96" s="15"/>
      <c r="BS96" s="15"/>
      <c r="BT96" s="15"/>
      <c r="BX96" s="15"/>
      <c r="CR96" s="15"/>
      <c r="CS96" s="15"/>
      <c r="CX96" s="15"/>
      <c r="CY96" s="15"/>
      <c r="DC96" s="15"/>
      <c r="DH96" s="1">
        <f t="shared" si="2"/>
        <v>0</v>
      </c>
      <c r="DI96" s="1">
        <f t="shared" si="3"/>
        <v>0</v>
      </c>
    </row>
    <row r="97" spans="1:113" ht="15.75" customHeight="1" x14ac:dyDescent="0.3">
      <c r="A97" s="15" t="s">
        <v>153</v>
      </c>
      <c r="B97" s="23" t="s">
        <v>181</v>
      </c>
      <c r="C97" s="23" t="s">
        <v>122</v>
      </c>
      <c r="D97" s="19">
        <v>44877</v>
      </c>
      <c r="E97" s="17">
        <v>133</v>
      </c>
      <c r="F97" s="15"/>
      <c r="G97" s="15"/>
      <c r="H97" s="15">
        <v>51</v>
      </c>
      <c r="I97" s="18">
        <v>26.78</v>
      </c>
      <c r="J97" s="15">
        <v>30.7</v>
      </c>
      <c r="K97" s="15">
        <v>0</v>
      </c>
      <c r="L97" s="15">
        <v>23.33</v>
      </c>
      <c r="M97" s="15"/>
      <c r="N97" s="17">
        <v>3</v>
      </c>
      <c r="AC97" s="15"/>
      <c r="AK97" s="1">
        <v>1</v>
      </c>
      <c r="AL97" s="15"/>
      <c r="AR97" s="15"/>
      <c r="AS97" s="15"/>
      <c r="AV97" s="15"/>
      <c r="AX97" s="15"/>
      <c r="AY97" s="15">
        <v>1</v>
      </c>
      <c r="BL97" s="15"/>
      <c r="BQ97" s="15"/>
      <c r="BS97" s="15"/>
      <c r="BT97" s="15"/>
      <c r="BX97" s="15"/>
      <c r="CR97" s="15"/>
      <c r="CS97" s="15"/>
      <c r="CX97" s="15"/>
      <c r="CY97" s="15"/>
      <c r="DC97" s="15"/>
      <c r="DH97" s="1">
        <f t="shared" si="2"/>
        <v>2</v>
      </c>
      <c r="DI97" s="1">
        <f t="shared" si="3"/>
        <v>2</v>
      </c>
    </row>
    <row r="98" spans="1:113" ht="15.75" customHeight="1" x14ac:dyDescent="0.3">
      <c r="A98" s="15" t="s">
        <v>153</v>
      </c>
      <c r="B98" s="23" t="s">
        <v>198</v>
      </c>
      <c r="C98" s="23" t="s">
        <v>120</v>
      </c>
      <c r="D98" s="15" t="s">
        <v>155</v>
      </c>
      <c r="E98" s="17">
        <v>144</v>
      </c>
      <c r="F98" s="15"/>
      <c r="G98" s="15"/>
      <c r="H98" s="15">
        <v>90</v>
      </c>
      <c r="I98" s="18">
        <v>8.44</v>
      </c>
      <c r="J98" s="15">
        <v>27.4</v>
      </c>
      <c r="K98" s="15">
        <v>0.8</v>
      </c>
      <c r="L98" s="15">
        <v>100</v>
      </c>
      <c r="M98" s="15">
        <v>870</v>
      </c>
      <c r="N98" s="17">
        <v>3</v>
      </c>
      <c r="V98" s="1">
        <v>1</v>
      </c>
      <c r="X98" s="1">
        <v>1</v>
      </c>
      <c r="AC98" s="15"/>
      <c r="AL98" s="15"/>
      <c r="AR98" s="15"/>
      <c r="AS98" s="15">
        <v>3</v>
      </c>
      <c r="AT98" s="1">
        <v>2</v>
      </c>
      <c r="AU98" s="1">
        <v>2</v>
      </c>
      <c r="AV98" s="15"/>
      <c r="AX98" s="15"/>
      <c r="AY98" s="15"/>
      <c r="AZ98" s="1">
        <v>1</v>
      </c>
      <c r="BI98" s="1">
        <v>1</v>
      </c>
      <c r="BL98" s="15"/>
      <c r="BM98" s="1">
        <v>2</v>
      </c>
      <c r="BQ98" s="15"/>
      <c r="BS98" s="15">
        <v>1</v>
      </c>
      <c r="BT98" s="15"/>
      <c r="BX98" s="15">
        <v>1</v>
      </c>
      <c r="CH98" s="1">
        <v>1</v>
      </c>
      <c r="CR98" s="15"/>
      <c r="CS98" s="15"/>
      <c r="CX98" s="15"/>
      <c r="CY98" s="15"/>
      <c r="CZ98" s="1">
        <v>1</v>
      </c>
      <c r="DC98" s="15"/>
      <c r="DH98" s="1">
        <f t="shared" si="2"/>
        <v>12</v>
      </c>
      <c r="DI98" s="1">
        <f t="shared" si="3"/>
        <v>17</v>
      </c>
    </row>
    <row r="99" spans="1:113" ht="15.75" customHeight="1" x14ac:dyDescent="0.3">
      <c r="A99" s="15" t="s">
        <v>153</v>
      </c>
      <c r="B99" s="16" t="s">
        <v>198</v>
      </c>
      <c r="C99" s="16" t="s">
        <v>122</v>
      </c>
      <c r="D99" s="19">
        <v>44877</v>
      </c>
      <c r="E99" s="17">
        <v>133</v>
      </c>
      <c r="F99" s="15"/>
      <c r="G99" s="15"/>
      <c r="H99" s="15">
        <v>58</v>
      </c>
      <c r="I99" s="18">
        <v>30.1</v>
      </c>
      <c r="J99" s="15">
        <v>29.1</v>
      </c>
      <c r="K99" s="15">
        <v>0</v>
      </c>
      <c r="L99" s="15">
        <v>98.75</v>
      </c>
      <c r="M99" s="15"/>
      <c r="N99" s="17">
        <v>3</v>
      </c>
      <c r="AC99" s="15"/>
      <c r="AL99" s="15"/>
      <c r="AR99" s="15"/>
      <c r="AS99" s="15"/>
      <c r="AU99" s="1">
        <v>1</v>
      </c>
      <c r="AV99" s="15"/>
      <c r="AX99" s="15"/>
      <c r="AY99" s="15"/>
      <c r="BL99" s="15"/>
      <c r="BQ99" s="15"/>
      <c r="BS99" s="15">
        <v>1</v>
      </c>
      <c r="BT99" s="15"/>
      <c r="BX99" s="15"/>
      <c r="CR99" s="15"/>
      <c r="CS99" s="15"/>
      <c r="CX99" s="15"/>
      <c r="CY99" s="15"/>
      <c r="DC99" s="15"/>
      <c r="DH99" s="1">
        <f t="shared" si="2"/>
        <v>2</v>
      </c>
      <c r="DI99" s="1">
        <f t="shared" si="3"/>
        <v>2</v>
      </c>
    </row>
    <row r="100" spans="1:113" ht="15.75" customHeight="1" x14ac:dyDescent="0.3">
      <c r="A100" s="15" t="s">
        <v>153</v>
      </c>
      <c r="B100" s="23" t="s">
        <v>199</v>
      </c>
      <c r="C100" s="23" t="s">
        <v>120</v>
      </c>
      <c r="D100" s="19" t="s">
        <v>157</v>
      </c>
      <c r="E100" s="17">
        <v>143</v>
      </c>
      <c r="F100" s="15"/>
      <c r="G100" s="15"/>
      <c r="H100" s="15">
        <v>77</v>
      </c>
      <c r="I100" s="36">
        <v>1.79</v>
      </c>
      <c r="J100" s="15">
        <v>23.98</v>
      </c>
      <c r="K100" s="15">
        <v>0.83</v>
      </c>
      <c r="L100" s="15">
        <v>100</v>
      </c>
      <c r="M100" s="15">
        <v>1100</v>
      </c>
      <c r="N100" s="17">
        <v>2</v>
      </c>
      <c r="X100" s="1">
        <v>1</v>
      </c>
      <c r="AC100" s="15"/>
      <c r="AL100" s="15"/>
      <c r="AR100" s="15"/>
      <c r="AS100" s="15"/>
      <c r="AU100" s="1">
        <v>1</v>
      </c>
      <c r="AV100" s="15"/>
      <c r="AX100" s="15"/>
      <c r="AY100" s="15"/>
      <c r="BL100" s="15"/>
      <c r="BQ100" s="15"/>
      <c r="BS100" s="15"/>
      <c r="BT100" s="15"/>
      <c r="BX100" s="15"/>
      <c r="CA100" s="1">
        <v>1</v>
      </c>
      <c r="CR100" s="15"/>
      <c r="CS100" s="15"/>
      <c r="CX100" s="15"/>
      <c r="CY100" s="15"/>
      <c r="DC100" s="15"/>
      <c r="DH100" s="1">
        <f t="shared" si="2"/>
        <v>3</v>
      </c>
      <c r="DI100" s="1">
        <f t="shared" si="3"/>
        <v>3</v>
      </c>
    </row>
    <row r="101" spans="1:113" ht="15.75" customHeight="1" x14ac:dyDescent="0.3">
      <c r="A101" s="15" t="s">
        <v>153</v>
      </c>
      <c r="B101" s="23" t="s">
        <v>199</v>
      </c>
      <c r="C101" s="23" t="s">
        <v>120</v>
      </c>
      <c r="D101" s="19" t="s">
        <v>156</v>
      </c>
      <c r="E101" s="17">
        <v>145</v>
      </c>
      <c r="F101" s="15"/>
      <c r="G101" s="15"/>
      <c r="H101" s="15">
        <v>78</v>
      </c>
      <c r="I101" s="36">
        <v>20.350000000000001</v>
      </c>
      <c r="J101" s="15">
        <v>22.55</v>
      </c>
      <c r="K101" s="15">
        <v>0</v>
      </c>
      <c r="L101" s="15">
        <v>38.33</v>
      </c>
      <c r="M101" s="1">
        <v>1420</v>
      </c>
      <c r="N101" s="17">
        <v>2</v>
      </c>
      <c r="X101" s="1">
        <v>1</v>
      </c>
      <c r="AC101" s="15"/>
      <c r="AL101" s="15"/>
      <c r="AR101" s="15">
        <v>5</v>
      </c>
      <c r="AS101" s="15"/>
      <c r="AT101" s="1">
        <v>3</v>
      </c>
      <c r="AU101" s="1">
        <v>1</v>
      </c>
      <c r="AV101" s="15"/>
      <c r="AX101" s="15"/>
      <c r="AY101" s="15"/>
      <c r="BL101" s="15"/>
      <c r="BM101" s="1">
        <v>3</v>
      </c>
      <c r="BQ101" s="15"/>
      <c r="BS101" s="15"/>
      <c r="BT101" s="15"/>
      <c r="BX101" s="15"/>
      <c r="CR101" s="15"/>
      <c r="CS101" s="15"/>
      <c r="CX101" s="15"/>
      <c r="CY101" s="15"/>
      <c r="CZ101" s="1">
        <v>1</v>
      </c>
      <c r="DC101" s="15"/>
      <c r="DH101" s="1">
        <f t="shared" si="2"/>
        <v>6</v>
      </c>
      <c r="DI101" s="1">
        <f t="shared" si="3"/>
        <v>14</v>
      </c>
    </row>
    <row r="102" spans="1:113" ht="15.75" customHeight="1" x14ac:dyDescent="0.3">
      <c r="A102" s="15" t="s">
        <v>153</v>
      </c>
      <c r="B102" s="23" t="s">
        <v>199</v>
      </c>
      <c r="C102" s="23" t="s">
        <v>122</v>
      </c>
      <c r="D102" s="19" t="s">
        <v>157</v>
      </c>
      <c r="E102" s="17">
        <v>143</v>
      </c>
      <c r="F102" s="15"/>
      <c r="G102" s="15"/>
      <c r="H102" s="15">
        <v>98</v>
      </c>
      <c r="I102" s="36">
        <v>3.05</v>
      </c>
      <c r="J102" s="15">
        <v>21.7</v>
      </c>
      <c r="K102" s="15">
        <v>0.9</v>
      </c>
      <c r="L102" s="15">
        <v>100</v>
      </c>
      <c r="M102" s="15"/>
      <c r="N102" s="17">
        <v>2</v>
      </c>
      <c r="AC102" s="15"/>
      <c r="AL102" s="15"/>
      <c r="AR102" s="15"/>
      <c r="AS102" s="15"/>
      <c r="AV102" s="15"/>
      <c r="AX102" s="15"/>
      <c r="AY102" s="15"/>
      <c r="BL102" s="15"/>
      <c r="BQ102" s="15"/>
      <c r="BS102" s="15"/>
      <c r="BT102" s="15"/>
      <c r="BX102" s="15"/>
      <c r="CR102" s="15"/>
      <c r="CS102" s="15"/>
      <c r="CX102" s="15"/>
      <c r="CY102" s="15"/>
      <c r="CZ102" s="1">
        <v>1</v>
      </c>
      <c r="DC102" s="15"/>
      <c r="DH102" s="1">
        <f t="shared" si="2"/>
        <v>1</v>
      </c>
      <c r="DI102" s="1">
        <f t="shared" si="3"/>
        <v>1</v>
      </c>
    </row>
    <row r="103" spans="1:113" ht="15.75" customHeight="1" x14ac:dyDescent="0.3">
      <c r="A103" s="15" t="s">
        <v>153</v>
      </c>
      <c r="B103" s="23" t="s">
        <v>199</v>
      </c>
      <c r="C103" s="23" t="s">
        <v>122</v>
      </c>
      <c r="D103" s="19" t="s">
        <v>156</v>
      </c>
      <c r="E103" s="17">
        <v>145</v>
      </c>
      <c r="F103" s="15"/>
      <c r="G103" s="15"/>
      <c r="H103" s="15">
        <v>77</v>
      </c>
      <c r="I103" s="36">
        <v>12.54</v>
      </c>
      <c r="J103" s="15">
        <v>25.3</v>
      </c>
      <c r="K103" s="15">
        <v>1</v>
      </c>
      <c r="L103" s="15">
        <v>100</v>
      </c>
      <c r="M103" s="15"/>
      <c r="N103" s="17">
        <v>2</v>
      </c>
      <c r="X103" s="1">
        <v>5</v>
      </c>
      <c r="AC103" s="15"/>
      <c r="AL103" s="15"/>
      <c r="AR103" s="15"/>
      <c r="AS103" s="15"/>
      <c r="AV103" s="15"/>
      <c r="AX103" s="15"/>
      <c r="AY103" s="15"/>
      <c r="BL103" s="15"/>
      <c r="BQ103" s="15"/>
      <c r="BS103" s="15"/>
      <c r="BT103" s="15"/>
      <c r="BX103" s="15"/>
      <c r="CR103" s="15"/>
      <c r="CS103" s="15"/>
      <c r="CX103" s="15"/>
      <c r="CY103" s="15"/>
      <c r="DC103" s="15"/>
      <c r="DH103" s="1">
        <f t="shared" si="2"/>
        <v>1</v>
      </c>
      <c r="DI103" s="1">
        <f t="shared" si="3"/>
        <v>5</v>
      </c>
    </row>
    <row r="104" spans="1:113" ht="15.75" customHeight="1" x14ac:dyDescent="0.3">
      <c r="A104" s="15" t="s">
        <v>153</v>
      </c>
      <c r="B104" s="23" t="s">
        <v>183</v>
      </c>
      <c r="C104" s="23" t="s">
        <v>120</v>
      </c>
      <c r="D104" s="19" t="s">
        <v>157</v>
      </c>
      <c r="E104" s="17">
        <v>143</v>
      </c>
      <c r="F104" s="15"/>
      <c r="G104" s="15"/>
      <c r="H104" s="15">
        <v>95</v>
      </c>
      <c r="I104" s="18">
        <v>10.69</v>
      </c>
      <c r="J104" s="15">
        <v>22.8</v>
      </c>
      <c r="K104" s="15">
        <v>1.2</v>
      </c>
      <c r="L104" s="15">
        <v>100</v>
      </c>
      <c r="M104" s="15">
        <v>1100</v>
      </c>
      <c r="N104" s="17">
        <v>3</v>
      </c>
      <c r="AC104" s="15"/>
      <c r="AL104" s="15"/>
      <c r="AR104" s="15"/>
      <c r="AS104" s="15"/>
      <c r="AT104" s="1">
        <v>1</v>
      </c>
      <c r="AU104" s="1">
        <v>4</v>
      </c>
      <c r="AV104" s="15"/>
      <c r="AX104" s="15"/>
      <c r="AY104" s="15"/>
      <c r="BL104" s="15"/>
      <c r="BM104" s="1">
        <v>1</v>
      </c>
      <c r="BQ104" s="15"/>
      <c r="BS104" s="15"/>
      <c r="BT104" s="15"/>
      <c r="BX104" s="15"/>
      <c r="CR104" s="15"/>
      <c r="CS104" s="15"/>
      <c r="CX104" s="15"/>
      <c r="CY104" s="15"/>
      <c r="CZ104" s="1">
        <v>1</v>
      </c>
      <c r="DC104" s="15"/>
      <c r="DH104" s="1">
        <f t="shared" si="2"/>
        <v>4</v>
      </c>
      <c r="DI104" s="1">
        <f t="shared" si="3"/>
        <v>7</v>
      </c>
    </row>
    <row r="105" spans="1:113" ht="15.75" customHeight="1" x14ac:dyDescent="0.3">
      <c r="A105" s="15" t="s">
        <v>153</v>
      </c>
      <c r="B105" s="23" t="s">
        <v>183</v>
      </c>
      <c r="C105" s="23" t="s">
        <v>120</v>
      </c>
      <c r="D105" s="19" t="s">
        <v>156</v>
      </c>
      <c r="E105" s="17">
        <v>145</v>
      </c>
      <c r="F105" s="15"/>
      <c r="G105" s="15"/>
      <c r="H105" s="15">
        <v>95</v>
      </c>
      <c r="I105" s="18">
        <v>5.99</v>
      </c>
      <c r="J105" s="15">
        <v>25.7</v>
      </c>
      <c r="K105" s="15">
        <v>0</v>
      </c>
      <c r="L105" s="15">
        <v>100</v>
      </c>
      <c r="M105" s="15">
        <v>1420</v>
      </c>
      <c r="N105" s="17">
        <v>3</v>
      </c>
      <c r="W105" s="1">
        <v>3</v>
      </c>
      <c r="AC105" s="15"/>
      <c r="AL105" s="15"/>
      <c r="AR105" s="15"/>
      <c r="AS105" s="15"/>
      <c r="AV105" s="15"/>
      <c r="AX105" s="15"/>
      <c r="AY105" s="15"/>
      <c r="BI105" s="1">
        <v>1</v>
      </c>
      <c r="BL105" s="15"/>
      <c r="BQ105" s="15"/>
      <c r="BS105" s="15">
        <v>1</v>
      </c>
      <c r="BT105" s="15"/>
      <c r="BX105" s="15"/>
      <c r="CF105" s="1">
        <v>1</v>
      </c>
      <c r="CJ105" s="1">
        <v>1</v>
      </c>
      <c r="CR105" s="15"/>
      <c r="CS105" s="15"/>
      <c r="CX105" s="15"/>
      <c r="CY105" s="15"/>
      <c r="DC105" s="15"/>
      <c r="DH105" s="1">
        <f t="shared" si="2"/>
        <v>5</v>
      </c>
      <c r="DI105" s="1">
        <f t="shared" si="3"/>
        <v>7</v>
      </c>
    </row>
    <row r="106" spans="1:113" ht="15.75" customHeight="1" x14ac:dyDescent="0.3">
      <c r="A106" s="15" t="s">
        <v>153</v>
      </c>
      <c r="B106" s="16" t="s">
        <v>183</v>
      </c>
      <c r="C106" s="16" t="s">
        <v>122</v>
      </c>
      <c r="D106" s="19" t="s">
        <v>157</v>
      </c>
      <c r="E106" s="17">
        <v>143</v>
      </c>
      <c r="F106" s="15"/>
      <c r="G106" s="15"/>
      <c r="H106" s="15">
        <v>98</v>
      </c>
      <c r="I106" s="18">
        <v>3.61</v>
      </c>
      <c r="J106" s="15">
        <v>23</v>
      </c>
      <c r="K106" s="15">
        <v>0</v>
      </c>
      <c r="L106" s="15">
        <v>100</v>
      </c>
      <c r="M106" s="15"/>
      <c r="N106" s="17">
        <v>3</v>
      </c>
      <c r="AC106" s="15"/>
      <c r="AL106" s="15"/>
      <c r="AR106" s="15"/>
      <c r="AS106" s="15"/>
      <c r="AV106" s="15"/>
      <c r="AX106" s="15"/>
      <c r="AY106" s="15"/>
      <c r="BL106" s="15"/>
      <c r="BQ106" s="15"/>
      <c r="BS106" s="15"/>
      <c r="BT106" s="15"/>
      <c r="BX106" s="15"/>
      <c r="CR106" s="15"/>
      <c r="CS106" s="15"/>
      <c r="CX106" s="15"/>
      <c r="CY106" s="15"/>
      <c r="DC106" s="15"/>
      <c r="DH106" s="1">
        <f t="shared" si="2"/>
        <v>0</v>
      </c>
      <c r="DI106" s="1">
        <f t="shared" si="3"/>
        <v>0</v>
      </c>
    </row>
    <row r="107" spans="1:113" ht="15.75" customHeight="1" x14ac:dyDescent="0.3">
      <c r="A107" s="15" t="s">
        <v>153</v>
      </c>
      <c r="B107" s="23" t="s">
        <v>183</v>
      </c>
      <c r="C107" s="23" t="s">
        <v>122</v>
      </c>
      <c r="D107" s="19" t="s">
        <v>156</v>
      </c>
      <c r="E107" s="17">
        <v>145</v>
      </c>
      <c r="F107" s="15"/>
      <c r="G107" s="15"/>
      <c r="H107" s="15">
        <v>80</v>
      </c>
      <c r="I107" s="18">
        <v>6.89</v>
      </c>
      <c r="J107" s="15">
        <v>24.3</v>
      </c>
      <c r="K107" s="15">
        <v>0.87</v>
      </c>
      <c r="L107" s="15">
        <v>100</v>
      </c>
      <c r="M107" s="15"/>
      <c r="N107" s="17">
        <v>3</v>
      </c>
      <c r="W107" s="1">
        <v>1</v>
      </c>
      <c r="AC107" s="15"/>
      <c r="AL107" s="15"/>
      <c r="AR107" s="15"/>
      <c r="AS107" s="15"/>
      <c r="AV107" s="15"/>
      <c r="AX107" s="15"/>
      <c r="AY107" s="15"/>
      <c r="BL107" s="15"/>
      <c r="BQ107" s="15"/>
      <c r="BS107" s="15"/>
      <c r="BT107" s="15"/>
      <c r="BX107" s="15"/>
      <c r="CF107" s="1">
        <v>1</v>
      </c>
      <c r="CR107" s="15"/>
      <c r="CS107" s="15"/>
      <c r="CX107" s="15"/>
      <c r="CY107" s="15"/>
      <c r="DC107" s="15"/>
      <c r="DH107" s="1">
        <f t="shared" si="2"/>
        <v>2</v>
      </c>
      <c r="DI107" s="1">
        <f t="shared" si="3"/>
        <v>2</v>
      </c>
    </row>
    <row r="108" spans="1:113" ht="15.75" customHeight="1" x14ac:dyDescent="0.3">
      <c r="A108" s="15" t="s">
        <v>153</v>
      </c>
      <c r="B108" s="23" t="s">
        <v>185</v>
      </c>
      <c r="C108" s="23" t="s">
        <v>120</v>
      </c>
      <c r="D108" s="19" t="s">
        <v>157</v>
      </c>
      <c r="E108" s="17">
        <v>143</v>
      </c>
      <c r="F108" s="15"/>
      <c r="G108" s="15"/>
      <c r="H108" s="15">
        <v>80</v>
      </c>
      <c r="I108" s="36">
        <v>14.7</v>
      </c>
      <c r="J108" s="15">
        <v>24.13</v>
      </c>
      <c r="K108" s="15">
        <v>2.1</v>
      </c>
      <c r="L108" s="15">
        <v>100</v>
      </c>
      <c r="M108" s="15">
        <v>1420</v>
      </c>
      <c r="N108" s="17">
        <v>1</v>
      </c>
      <c r="AC108" s="15"/>
      <c r="AL108" s="15"/>
      <c r="AR108" s="15"/>
      <c r="AS108" s="15"/>
      <c r="AT108" s="1">
        <v>1</v>
      </c>
      <c r="AU108" s="1">
        <v>5</v>
      </c>
      <c r="AV108" s="15"/>
      <c r="AX108" s="15"/>
      <c r="AY108" s="15"/>
      <c r="BL108" s="15"/>
      <c r="BQ108" s="15"/>
      <c r="BS108" s="15"/>
      <c r="BT108" s="15"/>
      <c r="BX108" s="15"/>
      <c r="CD108" s="1">
        <v>5</v>
      </c>
      <c r="CR108" s="15"/>
      <c r="CS108" s="15"/>
      <c r="CX108" s="15"/>
      <c r="CY108" s="15"/>
      <c r="DC108" s="15"/>
      <c r="DH108" s="1">
        <f t="shared" si="2"/>
        <v>3</v>
      </c>
      <c r="DI108" s="1">
        <f t="shared" si="3"/>
        <v>11</v>
      </c>
    </row>
    <row r="109" spans="1:113" ht="15.75" customHeight="1" x14ac:dyDescent="0.3">
      <c r="A109" s="15" t="s">
        <v>153</v>
      </c>
      <c r="B109" s="23" t="s">
        <v>185</v>
      </c>
      <c r="C109" s="23" t="s">
        <v>120</v>
      </c>
      <c r="D109" s="19" t="s">
        <v>156</v>
      </c>
      <c r="E109" s="17">
        <v>145</v>
      </c>
      <c r="F109" s="15"/>
      <c r="G109" s="15"/>
      <c r="H109" s="15">
        <v>99</v>
      </c>
      <c r="I109" s="36">
        <v>12.46</v>
      </c>
      <c r="J109" s="15">
        <v>22.9</v>
      </c>
      <c r="K109" s="15">
        <v>0</v>
      </c>
      <c r="L109" s="15">
        <v>100</v>
      </c>
      <c r="M109" s="15">
        <v>1420</v>
      </c>
      <c r="N109" s="17">
        <v>1</v>
      </c>
      <c r="AC109" s="15"/>
      <c r="AL109" s="15"/>
      <c r="AR109" s="15"/>
      <c r="AS109" s="15"/>
      <c r="AT109" s="1">
        <v>1</v>
      </c>
      <c r="AV109" s="15"/>
      <c r="AX109" s="15"/>
      <c r="AY109" s="15"/>
      <c r="BL109" s="15"/>
      <c r="BM109" s="1">
        <v>1</v>
      </c>
      <c r="BN109" s="1">
        <v>1</v>
      </c>
      <c r="BO109" s="1">
        <v>2</v>
      </c>
      <c r="BQ109" s="15"/>
      <c r="BS109" s="15"/>
      <c r="BT109" s="15"/>
      <c r="BX109" s="15"/>
      <c r="CR109" s="15"/>
      <c r="CS109" s="15"/>
      <c r="CX109" s="15"/>
      <c r="CY109" s="15"/>
      <c r="DC109" s="15"/>
      <c r="DH109" s="1">
        <f t="shared" si="2"/>
        <v>4</v>
      </c>
      <c r="DI109" s="1">
        <f t="shared" si="3"/>
        <v>5</v>
      </c>
    </row>
    <row r="110" spans="1:113" ht="15.75" customHeight="1" x14ac:dyDescent="0.3">
      <c r="A110" s="15" t="s">
        <v>153</v>
      </c>
      <c r="B110" s="16" t="s">
        <v>185</v>
      </c>
      <c r="C110" s="16" t="s">
        <v>122</v>
      </c>
      <c r="D110" s="19" t="s">
        <v>157</v>
      </c>
      <c r="E110" s="17">
        <v>143</v>
      </c>
      <c r="F110" s="15"/>
      <c r="G110" s="15"/>
      <c r="H110" s="15">
        <v>99</v>
      </c>
      <c r="I110" s="18">
        <v>8.2799999999999994</v>
      </c>
      <c r="J110" s="15">
        <v>24.2</v>
      </c>
      <c r="K110" s="15">
        <v>0</v>
      </c>
      <c r="L110" s="15">
        <v>100</v>
      </c>
      <c r="M110" s="15"/>
      <c r="N110" s="17">
        <v>1</v>
      </c>
      <c r="AC110" s="15"/>
      <c r="AL110" s="15"/>
      <c r="AR110" s="15"/>
      <c r="AS110" s="15"/>
      <c r="AV110" s="15"/>
      <c r="AX110" s="15"/>
      <c r="AY110" s="15"/>
      <c r="BL110" s="15"/>
      <c r="BQ110" s="15"/>
      <c r="BS110" s="15"/>
      <c r="BT110" s="15"/>
      <c r="BX110" s="15"/>
      <c r="CR110" s="15"/>
      <c r="CS110" s="15"/>
      <c r="CX110" s="15"/>
      <c r="CY110" s="15"/>
      <c r="DC110" s="15"/>
      <c r="DH110" s="1">
        <f t="shared" si="2"/>
        <v>0</v>
      </c>
      <c r="DI110" s="1">
        <f t="shared" si="3"/>
        <v>0</v>
      </c>
    </row>
    <row r="111" spans="1:113" ht="15.75" customHeight="1" x14ac:dyDescent="0.3">
      <c r="A111" s="15" t="s">
        <v>153</v>
      </c>
      <c r="B111" s="16" t="s">
        <v>185</v>
      </c>
      <c r="C111" s="16" t="s">
        <v>122</v>
      </c>
      <c r="D111" s="19" t="s">
        <v>156</v>
      </c>
      <c r="E111" s="17">
        <v>145</v>
      </c>
      <c r="F111" s="15"/>
      <c r="G111" s="15"/>
      <c r="H111" s="15">
        <v>99</v>
      </c>
      <c r="I111" s="18">
        <v>7.19</v>
      </c>
      <c r="J111" s="15">
        <v>23.4</v>
      </c>
      <c r="K111" s="15">
        <v>1.5</v>
      </c>
      <c r="L111" s="15">
        <v>100</v>
      </c>
      <c r="M111" s="15"/>
      <c r="N111" s="17">
        <v>1</v>
      </c>
      <c r="AC111" s="15"/>
      <c r="AL111" s="15"/>
      <c r="AR111" s="15"/>
      <c r="AS111" s="15"/>
      <c r="AV111" s="15"/>
      <c r="AX111" s="15"/>
      <c r="AY111" s="15"/>
      <c r="BL111" s="15"/>
      <c r="BQ111" s="15"/>
      <c r="BS111" s="15"/>
      <c r="BT111" s="15"/>
      <c r="BX111" s="15"/>
      <c r="CR111" s="15"/>
      <c r="CS111" s="15"/>
      <c r="CX111" s="15"/>
      <c r="CY111" s="15"/>
      <c r="DC111" s="15"/>
      <c r="DH111" s="1">
        <f t="shared" si="2"/>
        <v>0</v>
      </c>
      <c r="DI111" s="1">
        <f t="shared" si="3"/>
        <v>0</v>
      </c>
    </row>
    <row r="112" spans="1:113" ht="15.75" customHeight="1" x14ac:dyDescent="0.3">
      <c r="A112" s="15" t="s">
        <v>153</v>
      </c>
      <c r="B112" s="23" t="s">
        <v>186</v>
      </c>
      <c r="C112" s="23" t="s">
        <v>120</v>
      </c>
      <c r="D112" s="19" t="s">
        <v>157</v>
      </c>
      <c r="E112" s="17">
        <v>143</v>
      </c>
      <c r="F112" s="15"/>
      <c r="G112" s="15"/>
      <c r="H112" s="15">
        <v>95</v>
      </c>
      <c r="I112" s="18">
        <v>1.44</v>
      </c>
      <c r="J112" s="15">
        <v>25.1</v>
      </c>
      <c r="K112" s="15">
        <v>0</v>
      </c>
      <c r="L112" s="15">
        <v>100</v>
      </c>
      <c r="M112" s="15">
        <v>1420</v>
      </c>
      <c r="N112" s="17">
        <v>6</v>
      </c>
      <c r="AC112" s="15"/>
      <c r="AL112" s="15"/>
      <c r="AR112" s="15">
        <v>4</v>
      </c>
      <c r="AS112" s="15"/>
      <c r="AT112" s="1">
        <v>3</v>
      </c>
      <c r="AV112" s="15"/>
      <c r="AX112" s="15"/>
      <c r="AY112" s="15"/>
      <c r="BL112" s="15"/>
      <c r="BQ112" s="15"/>
      <c r="BS112" s="15"/>
      <c r="BT112" s="15"/>
      <c r="BX112" s="15"/>
      <c r="CR112" s="15"/>
      <c r="CS112" s="15"/>
      <c r="CX112" s="15"/>
      <c r="CY112" s="15"/>
      <c r="DC112" s="15"/>
      <c r="DH112" s="1">
        <f t="shared" si="2"/>
        <v>2</v>
      </c>
      <c r="DI112" s="1">
        <f t="shared" si="3"/>
        <v>7</v>
      </c>
    </row>
    <row r="113" spans="1:113" ht="15.75" customHeight="1" x14ac:dyDescent="0.3">
      <c r="A113" s="15" t="s">
        <v>153</v>
      </c>
      <c r="B113" s="23" t="s">
        <v>186</v>
      </c>
      <c r="C113" s="23" t="s">
        <v>120</v>
      </c>
      <c r="D113" s="19" t="s">
        <v>156</v>
      </c>
      <c r="E113" s="17">
        <v>145</v>
      </c>
      <c r="F113" s="15"/>
      <c r="G113" s="15"/>
      <c r="H113" s="15">
        <v>99</v>
      </c>
      <c r="I113" s="18">
        <v>0.54</v>
      </c>
      <c r="J113" s="15">
        <v>21.9</v>
      </c>
      <c r="K113" s="15">
        <v>0</v>
      </c>
      <c r="L113" s="15">
        <v>100</v>
      </c>
      <c r="M113" s="15">
        <v>1420</v>
      </c>
      <c r="N113" s="17">
        <v>6</v>
      </c>
      <c r="AC113" s="15"/>
      <c r="AL113" s="15"/>
      <c r="AO113" s="1">
        <v>1</v>
      </c>
      <c r="AR113" s="15"/>
      <c r="AS113" s="15"/>
      <c r="AV113" s="15"/>
      <c r="AX113" s="15"/>
      <c r="AY113" s="15"/>
      <c r="BL113" s="15"/>
      <c r="BQ113" s="15"/>
      <c r="BS113" s="15"/>
      <c r="BT113" s="15"/>
      <c r="BW113" s="1">
        <v>1</v>
      </c>
      <c r="BX113" s="15"/>
      <c r="CR113" s="15"/>
      <c r="CS113" s="15"/>
      <c r="CX113" s="15"/>
      <c r="CY113" s="15"/>
      <c r="CZ113" s="1">
        <v>1</v>
      </c>
      <c r="DC113" s="15"/>
      <c r="DH113" s="1">
        <f t="shared" si="2"/>
        <v>3</v>
      </c>
      <c r="DI113" s="1">
        <f t="shared" si="3"/>
        <v>3</v>
      </c>
    </row>
    <row r="114" spans="1:113" ht="15.75" customHeight="1" x14ac:dyDescent="0.3">
      <c r="A114" s="15" t="s">
        <v>153</v>
      </c>
      <c r="B114" s="23" t="s">
        <v>186</v>
      </c>
      <c r="C114" s="23" t="s">
        <v>122</v>
      </c>
      <c r="D114" s="19" t="s">
        <v>157</v>
      </c>
      <c r="E114" s="17">
        <v>143</v>
      </c>
      <c r="F114" s="15"/>
      <c r="G114" s="15"/>
      <c r="H114" s="15">
        <v>99</v>
      </c>
      <c r="I114" s="18">
        <v>0.63</v>
      </c>
      <c r="J114" s="15">
        <v>25.1</v>
      </c>
      <c r="K114" s="15">
        <v>0</v>
      </c>
      <c r="L114" s="15">
        <v>100</v>
      </c>
      <c r="M114" s="15"/>
      <c r="N114" s="17">
        <v>6</v>
      </c>
      <c r="X114" s="1">
        <v>1</v>
      </c>
      <c r="AC114" s="15"/>
      <c r="AL114" s="15"/>
      <c r="AR114" s="15">
        <v>4</v>
      </c>
      <c r="AS114" s="15"/>
      <c r="AT114" s="1">
        <v>3</v>
      </c>
      <c r="AV114" s="15"/>
      <c r="AX114" s="15"/>
      <c r="AY114" s="15"/>
      <c r="BL114" s="15"/>
      <c r="BQ114" s="15"/>
      <c r="BS114" s="15"/>
      <c r="BT114" s="15"/>
      <c r="BX114" s="15"/>
      <c r="CR114" s="15"/>
      <c r="CS114" s="15"/>
      <c r="CX114" s="15"/>
      <c r="CY114" s="15"/>
      <c r="DC114" s="15"/>
      <c r="DH114" s="1">
        <f t="shared" si="2"/>
        <v>3</v>
      </c>
      <c r="DI114" s="1">
        <f t="shared" si="3"/>
        <v>8</v>
      </c>
    </row>
    <row r="115" spans="1:113" ht="15.75" customHeight="1" x14ac:dyDescent="0.3">
      <c r="A115" s="15" t="s">
        <v>153</v>
      </c>
      <c r="B115" s="23" t="s">
        <v>186</v>
      </c>
      <c r="C115" s="23" t="s">
        <v>122</v>
      </c>
      <c r="D115" s="19" t="s">
        <v>156</v>
      </c>
      <c r="E115" s="17">
        <v>145</v>
      </c>
      <c r="F115" s="15"/>
      <c r="G115" s="15"/>
      <c r="H115" s="15">
        <v>99</v>
      </c>
      <c r="I115" s="18">
        <v>1.67</v>
      </c>
      <c r="J115" s="15">
        <v>25.2</v>
      </c>
      <c r="K115" s="15">
        <v>0</v>
      </c>
      <c r="L115" s="15">
        <v>100</v>
      </c>
      <c r="M115" s="15"/>
      <c r="N115" s="17">
        <v>6</v>
      </c>
      <c r="AC115" s="15"/>
      <c r="AL115" s="15"/>
      <c r="AR115" s="15"/>
      <c r="AS115" s="15"/>
      <c r="AV115" s="15"/>
      <c r="AX115" s="15"/>
      <c r="AY115" s="15"/>
      <c r="BL115" s="15"/>
      <c r="BQ115" s="15"/>
      <c r="BS115" s="15"/>
      <c r="BT115" s="15"/>
      <c r="BX115" s="15"/>
      <c r="CE115" s="1">
        <v>1</v>
      </c>
      <c r="CJ115" s="1">
        <v>1</v>
      </c>
      <c r="CR115" s="15"/>
      <c r="CS115" s="15"/>
      <c r="CX115" s="15"/>
      <c r="CY115" s="15"/>
      <c r="DC115" s="15"/>
      <c r="DG115" s="1">
        <v>2</v>
      </c>
      <c r="DH115" s="1">
        <f t="shared" si="2"/>
        <v>3</v>
      </c>
      <c r="DI115" s="1">
        <f t="shared" si="3"/>
        <v>4</v>
      </c>
    </row>
    <row r="116" spans="1:113" ht="15.75" customHeight="1" x14ac:dyDescent="0.3">
      <c r="A116" s="15"/>
      <c r="C116" s="23"/>
      <c r="D116" s="19"/>
      <c r="E116" s="38"/>
      <c r="F116" s="15"/>
      <c r="G116" s="15"/>
      <c r="H116" s="15"/>
      <c r="I116" s="18"/>
      <c r="J116" s="15"/>
      <c r="K116" s="15"/>
      <c r="L116" s="15"/>
      <c r="M116" s="15"/>
      <c r="N116" s="17"/>
      <c r="AC116" s="15"/>
      <c r="AL116" s="15"/>
      <c r="AR116" s="15"/>
      <c r="AS116" s="15"/>
      <c r="AV116" s="15"/>
      <c r="AX116" s="15"/>
      <c r="AY116" s="15"/>
      <c r="BL116" s="15"/>
      <c r="BQ116" s="15"/>
      <c r="BS116" s="15"/>
      <c r="BT116" s="15"/>
      <c r="BX116" s="15"/>
      <c r="CR116" s="15"/>
      <c r="CS116" s="15"/>
      <c r="CX116" s="15"/>
      <c r="CY116" s="15"/>
      <c r="DC116" s="15"/>
      <c r="DH116" s="1">
        <f t="shared" si="2"/>
        <v>0</v>
      </c>
      <c r="DI116" s="1">
        <f t="shared" si="3"/>
        <v>0</v>
      </c>
    </row>
    <row r="117" spans="1:113" ht="15.75" customHeight="1" x14ac:dyDescent="0.3">
      <c r="A117" s="15" t="s">
        <v>158</v>
      </c>
      <c r="B117" s="23" t="s">
        <v>176</v>
      </c>
      <c r="C117" s="23" t="s">
        <v>120</v>
      </c>
      <c r="D117" s="19">
        <v>45108</v>
      </c>
      <c r="E117" s="5">
        <v>160</v>
      </c>
      <c r="F117" s="15"/>
      <c r="G117" s="15"/>
      <c r="H117" s="15">
        <v>96</v>
      </c>
      <c r="I117" s="18">
        <v>1.1399999999999999</v>
      </c>
      <c r="J117" s="15">
        <v>26.4</v>
      </c>
      <c r="K117" s="15">
        <v>0</v>
      </c>
      <c r="L117" s="15">
        <v>22</v>
      </c>
      <c r="M117" s="15">
        <v>550</v>
      </c>
      <c r="N117" s="17">
        <v>4</v>
      </c>
      <c r="R117" s="1">
        <v>1</v>
      </c>
      <c r="AC117" s="15"/>
      <c r="AL117" s="15"/>
      <c r="AR117" s="15">
        <v>4</v>
      </c>
      <c r="AS117" s="15"/>
      <c r="AV117" s="15"/>
      <c r="AX117" s="15"/>
      <c r="AY117" s="15"/>
      <c r="BL117" s="15"/>
      <c r="BQ117" s="15"/>
      <c r="BS117" s="15"/>
      <c r="BT117" s="15"/>
      <c r="BX117" s="15"/>
      <c r="CC117" s="1">
        <v>1</v>
      </c>
      <c r="CI117" s="1">
        <v>1</v>
      </c>
      <c r="CR117" s="15"/>
      <c r="CS117" s="15"/>
      <c r="CX117" s="15"/>
      <c r="CY117" s="15"/>
      <c r="DC117" s="15"/>
      <c r="DH117" s="1">
        <f t="shared" si="2"/>
        <v>4</v>
      </c>
      <c r="DI117" s="1">
        <f t="shared" si="3"/>
        <v>7</v>
      </c>
    </row>
    <row r="118" spans="1:113" ht="15.75" customHeight="1" x14ac:dyDescent="0.3">
      <c r="A118" s="15" t="s">
        <v>158</v>
      </c>
      <c r="B118" s="23" t="s">
        <v>176</v>
      </c>
      <c r="C118" s="23" t="s">
        <v>120</v>
      </c>
      <c r="D118" s="19" t="s">
        <v>159</v>
      </c>
      <c r="E118" s="5">
        <v>169</v>
      </c>
      <c r="F118" s="15"/>
      <c r="G118" s="15"/>
      <c r="H118" s="15">
        <v>99</v>
      </c>
      <c r="I118" s="18">
        <v>8.51</v>
      </c>
      <c r="J118" s="15">
        <v>26.5</v>
      </c>
      <c r="K118" s="15">
        <v>0</v>
      </c>
      <c r="L118" s="15">
        <v>36.659999999999997</v>
      </c>
      <c r="M118" s="15"/>
      <c r="N118" s="17">
        <v>4</v>
      </c>
      <c r="AC118" s="15"/>
      <c r="AL118" s="15">
        <v>1</v>
      </c>
      <c r="AR118" s="15"/>
      <c r="AS118" s="15"/>
      <c r="AV118" s="15"/>
      <c r="AX118" s="15">
        <v>1</v>
      </c>
      <c r="AY118" s="15"/>
      <c r="BL118" s="15"/>
      <c r="BQ118" s="15"/>
      <c r="BS118" s="15"/>
      <c r="BT118" s="15"/>
      <c r="BX118" s="15"/>
      <c r="CC118" s="1">
        <v>1</v>
      </c>
      <c r="CI118" s="1">
        <v>1</v>
      </c>
      <c r="CK118" s="1">
        <v>1</v>
      </c>
      <c r="CR118" s="15"/>
      <c r="CS118" s="15"/>
      <c r="CU118" s="1">
        <v>1</v>
      </c>
      <c r="CX118" s="15"/>
      <c r="CY118" s="15"/>
      <c r="CZ118" s="1">
        <v>1</v>
      </c>
      <c r="DA118" s="1">
        <v>1</v>
      </c>
      <c r="DC118" s="15"/>
      <c r="DF118" s="1">
        <v>1</v>
      </c>
      <c r="DH118" s="1">
        <f t="shared" si="2"/>
        <v>9</v>
      </c>
      <c r="DI118" s="1">
        <f t="shared" si="3"/>
        <v>9</v>
      </c>
    </row>
    <row r="119" spans="1:113" ht="15.75" customHeight="1" x14ac:dyDescent="0.3">
      <c r="A119" s="15" t="s">
        <v>158</v>
      </c>
      <c r="B119" s="23" t="s">
        <v>176</v>
      </c>
      <c r="C119" s="23" t="s">
        <v>120</v>
      </c>
      <c r="D119" s="19" t="s">
        <v>160</v>
      </c>
      <c r="E119" s="5">
        <v>174</v>
      </c>
      <c r="F119" s="15"/>
      <c r="G119" s="15"/>
      <c r="H119" s="15">
        <v>99</v>
      </c>
      <c r="I119" s="18">
        <v>8.52</v>
      </c>
      <c r="J119" s="15">
        <v>26.5</v>
      </c>
      <c r="K119" s="15">
        <v>0</v>
      </c>
      <c r="L119" s="15">
        <v>100</v>
      </c>
      <c r="M119" s="15"/>
      <c r="N119" s="17">
        <v>4</v>
      </c>
      <c r="AC119" s="15"/>
      <c r="AL119" s="15"/>
      <c r="AR119" s="15"/>
      <c r="AS119" s="15"/>
      <c r="AV119" s="15"/>
      <c r="AX119" s="15"/>
      <c r="AY119" s="15"/>
      <c r="BC119" s="1">
        <v>1</v>
      </c>
      <c r="BI119" s="1">
        <v>1</v>
      </c>
      <c r="BL119" s="15"/>
      <c r="BQ119" s="15"/>
      <c r="BS119" s="15"/>
      <c r="BT119" s="15"/>
      <c r="BV119" s="1">
        <v>1</v>
      </c>
      <c r="BX119" s="15"/>
      <c r="CI119" s="1">
        <v>1</v>
      </c>
      <c r="CJ119" s="1">
        <v>2</v>
      </c>
      <c r="CR119" s="15"/>
      <c r="CS119" s="15"/>
      <c r="CX119" s="15"/>
      <c r="CY119" s="15"/>
      <c r="DC119" s="15"/>
      <c r="DH119" s="1">
        <f t="shared" si="2"/>
        <v>5</v>
      </c>
      <c r="DI119" s="1">
        <f t="shared" si="3"/>
        <v>6</v>
      </c>
    </row>
    <row r="120" spans="1:113" ht="15.75" customHeight="1" x14ac:dyDescent="0.3">
      <c r="A120" s="15" t="s">
        <v>158</v>
      </c>
      <c r="B120" s="23" t="s">
        <v>178</v>
      </c>
      <c r="C120" s="23" t="s">
        <v>120</v>
      </c>
      <c r="D120" s="19" t="s">
        <v>159</v>
      </c>
      <c r="E120" s="5">
        <v>169</v>
      </c>
      <c r="F120" s="15"/>
      <c r="G120" s="15"/>
      <c r="H120" s="15">
        <v>99</v>
      </c>
      <c r="I120" s="18">
        <v>6.93</v>
      </c>
      <c r="J120" s="15">
        <v>23.5</v>
      </c>
      <c r="K120" s="15">
        <v>0</v>
      </c>
      <c r="L120" s="15">
        <v>98</v>
      </c>
      <c r="M120" s="15"/>
      <c r="N120" s="17">
        <v>3</v>
      </c>
      <c r="W120" s="1">
        <v>1</v>
      </c>
      <c r="AC120" s="15">
        <v>1</v>
      </c>
      <c r="AE120" s="1">
        <v>1</v>
      </c>
      <c r="AL120" s="15"/>
      <c r="AR120" s="15"/>
      <c r="AS120" s="15"/>
      <c r="AV120" s="15"/>
      <c r="AX120" s="15">
        <v>1</v>
      </c>
      <c r="AY120" s="15"/>
      <c r="BB120" s="1">
        <v>1</v>
      </c>
      <c r="BI120" s="1">
        <v>1</v>
      </c>
      <c r="BL120" s="15"/>
      <c r="BQ120" s="15"/>
      <c r="BS120" s="15"/>
      <c r="BT120" s="15"/>
      <c r="BX120" s="15"/>
      <c r="CI120" s="1">
        <v>1</v>
      </c>
      <c r="CR120" s="15"/>
      <c r="CS120" s="15"/>
      <c r="CX120" s="15"/>
      <c r="CY120" s="15"/>
      <c r="DC120" s="15"/>
      <c r="DH120" s="1">
        <f t="shared" si="2"/>
        <v>7</v>
      </c>
      <c r="DI120" s="1">
        <f t="shared" si="3"/>
        <v>7</v>
      </c>
    </row>
    <row r="121" spans="1:113" ht="15.75" customHeight="1" x14ac:dyDescent="0.3">
      <c r="A121" s="15" t="s">
        <v>158</v>
      </c>
      <c r="B121" s="23" t="s">
        <v>178</v>
      </c>
      <c r="C121" s="23" t="s">
        <v>120</v>
      </c>
      <c r="D121" s="19" t="s">
        <v>161</v>
      </c>
      <c r="E121" s="5">
        <v>175</v>
      </c>
      <c r="F121" s="15"/>
      <c r="G121" s="15"/>
      <c r="H121" s="15">
        <v>99</v>
      </c>
      <c r="I121" s="18">
        <v>6.8</v>
      </c>
      <c r="J121" s="15">
        <v>23.5</v>
      </c>
      <c r="K121" s="15">
        <v>0</v>
      </c>
      <c r="L121" s="15">
        <v>100</v>
      </c>
      <c r="M121" s="15"/>
      <c r="N121" s="17">
        <v>3</v>
      </c>
      <c r="AC121" s="15"/>
      <c r="AL121" s="15"/>
      <c r="AR121" s="15"/>
      <c r="AS121" s="15"/>
      <c r="AV121" s="15"/>
      <c r="AX121" s="15"/>
      <c r="AY121" s="15"/>
      <c r="BL121" s="15"/>
      <c r="BQ121" s="15"/>
      <c r="BS121" s="15">
        <v>1</v>
      </c>
      <c r="BT121" s="15"/>
      <c r="BX121" s="15"/>
      <c r="CR121" s="15"/>
      <c r="CS121" s="15"/>
      <c r="CX121" s="15"/>
      <c r="CY121" s="15"/>
      <c r="DC121" s="15"/>
      <c r="DH121" s="1">
        <f t="shared" si="2"/>
        <v>1</v>
      </c>
      <c r="DI121" s="1">
        <f t="shared" si="3"/>
        <v>1</v>
      </c>
    </row>
    <row r="122" spans="1:113" ht="15.75" customHeight="1" x14ac:dyDescent="0.3">
      <c r="A122" s="15" t="s">
        <v>158</v>
      </c>
      <c r="B122" s="23" t="s">
        <v>200</v>
      </c>
      <c r="C122" s="23" t="s">
        <v>120</v>
      </c>
      <c r="D122" s="19" t="s">
        <v>162</v>
      </c>
      <c r="E122" s="5">
        <v>167</v>
      </c>
      <c r="F122" s="15"/>
      <c r="G122" s="15"/>
      <c r="H122" s="15">
        <v>89</v>
      </c>
      <c r="I122" s="18">
        <v>2.74</v>
      </c>
      <c r="J122" s="15">
        <v>23.5</v>
      </c>
      <c r="K122" s="15">
        <v>0</v>
      </c>
      <c r="L122" s="15">
        <v>0</v>
      </c>
      <c r="M122" s="15">
        <v>700</v>
      </c>
      <c r="N122" s="17">
        <v>5</v>
      </c>
      <c r="AC122" s="15"/>
      <c r="AE122" s="1">
        <v>1</v>
      </c>
      <c r="AL122" s="15"/>
      <c r="AM122" s="1">
        <v>1</v>
      </c>
      <c r="AR122" s="15"/>
      <c r="AS122" s="15"/>
      <c r="AV122" s="15"/>
      <c r="AW122" s="1">
        <v>2</v>
      </c>
      <c r="AX122" s="15">
        <v>1</v>
      </c>
      <c r="AY122" s="15">
        <v>2</v>
      </c>
      <c r="BL122" s="15"/>
      <c r="BQ122" s="15">
        <v>1</v>
      </c>
      <c r="BS122" s="15">
        <v>1</v>
      </c>
      <c r="BT122" s="15"/>
      <c r="BX122" s="15">
        <v>1</v>
      </c>
      <c r="CH122" s="1">
        <v>1</v>
      </c>
      <c r="CR122" s="15"/>
      <c r="CS122" s="15"/>
      <c r="CV122" s="1">
        <v>1</v>
      </c>
      <c r="CX122" s="15"/>
      <c r="CY122" s="15"/>
      <c r="CZ122" s="1">
        <v>1</v>
      </c>
      <c r="DA122" s="1">
        <v>1</v>
      </c>
      <c r="DC122" s="15"/>
      <c r="DF122" s="1">
        <v>2</v>
      </c>
      <c r="DH122" s="1">
        <f t="shared" si="2"/>
        <v>13</v>
      </c>
      <c r="DI122" s="1">
        <f t="shared" si="3"/>
        <v>16</v>
      </c>
    </row>
    <row r="123" spans="1:113" ht="15.75" customHeight="1" x14ac:dyDescent="0.3">
      <c r="A123" s="15" t="s">
        <v>158</v>
      </c>
      <c r="B123" s="23" t="s">
        <v>200</v>
      </c>
      <c r="C123" s="23" t="s">
        <v>120</v>
      </c>
      <c r="D123" s="19" t="s">
        <v>159</v>
      </c>
      <c r="E123" s="5">
        <v>169</v>
      </c>
      <c r="F123" s="15"/>
      <c r="G123" s="15"/>
      <c r="H123" s="15">
        <v>99</v>
      </c>
      <c r="I123" s="18">
        <v>0.32</v>
      </c>
      <c r="J123" s="15">
        <v>21.5</v>
      </c>
      <c r="K123" s="15">
        <v>0</v>
      </c>
      <c r="L123" s="15">
        <v>100</v>
      </c>
      <c r="M123" s="15"/>
      <c r="N123" s="17">
        <v>5</v>
      </c>
      <c r="AC123" s="15"/>
      <c r="AL123" s="15"/>
      <c r="AR123" s="15"/>
      <c r="AS123" s="15"/>
      <c r="AV123" s="15"/>
      <c r="AX123" s="15"/>
      <c r="AY123" s="15">
        <v>1</v>
      </c>
      <c r="BL123" s="15"/>
      <c r="BQ123" s="15"/>
      <c r="BS123" s="15"/>
      <c r="BT123" s="15"/>
      <c r="BX123" s="15"/>
      <c r="CR123" s="15"/>
      <c r="CS123" s="15"/>
      <c r="CU123" s="1">
        <v>1</v>
      </c>
      <c r="CX123" s="15">
        <v>1</v>
      </c>
      <c r="CY123" s="15"/>
      <c r="DC123" s="15"/>
      <c r="DH123" s="1">
        <f t="shared" si="2"/>
        <v>3</v>
      </c>
      <c r="DI123" s="1">
        <f t="shared" si="3"/>
        <v>3</v>
      </c>
    </row>
    <row r="124" spans="1:113" ht="15.75" customHeight="1" x14ac:dyDescent="0.3">
      <c r="A124" s="15" t="s">
        <v>158</v>
      </c>
      <c r="B124" s="23" t="s">
        <v>200</v>
      </c>
      <c r="C124" s="23" t="s">
        <v>122</v>
      </c>
      <c r="D124" s="19">
        <v>45108</v>
      </c>
      <c r="E124" s="5">
        <v>160</v>
      </c>
      <c r="F124" s="15"/>
      <c r="G124" s="15"/>
      <c r="H124" s="15">
        <v>87</v>
      </c>
      <c r="I124" s="18">
        <v>0.03</v>
      </c>
      <c r="J124" s="15">
        <v>23.2</v>
      </c>
      <c r="K124" s="15">
        <v>0</v>
      </c>
      <c r="L124" s="15">
        <v>100</v>
      </c>
      <c r="M124" s="15"/>
      <c r="N124" s="17">
        <v>5</v>
      </c>
      <c r="AC124" s="15"/>
      <c r="AL124" s="15">
        <v>1</v>
      </c>
      <c r="AR124" s="15"/>
      <c r="AS124" s="15"/>
      <c r="AV124" s="15"/>
      <c r="AX124" s="15"/>
      <c r="AY124" s="15">
        <v>1</v>
      </c>
      <c r="BL124" s="15"/>
      <c r="BQ124" s="15"/>
      <c r="BS124" s="15">
        <v>1</v>
      </c>
      <c r="BT124" s="15"/>
      <c r="BX124" s="15"/>
      <c r="CR124" s="15"/>
      <c r="CS124" s="15"/>
      <c r="CX124" s="15"/>
      <c r="CY124" s="15"/>
      <c r="DC124" s="15"/>
      <c r="DH124" s="1">
        <f t="shared" si="2"/>
        <v>3</v>
      </c>
      <c r="DI124" s="1">
        <f t="shared" si="3"/>
        <v>3</v>
      </c>
    </row>
    <row r="125" spans="1:113" ht="15.75" customHeight="1" x14ac:dyDescent="0.3">
      <c r="A125" s="15" t="s">
        <v>158</v>
      </c>
      <c r="B125" s="23" t="s">
        <v>200</v>
      </c>
      <c r="C125" s="23" t="s">
        <v>122</v>
      </c>
      <c r="D125" s="19" t="s">
        <v>163</v>
      </c>
      <c r="E125" s="5">
        <v>168</v>
      </c>
      <c r="F125" s="15"/>
      <c r="G125" s="15"/>
      <c r="H125" s="15">
        <v>85</v>
      </c>
      <c r="I125" s="18">
        <v>0.04</v>
      </c>
      <c r="J125" s="15">
        <v>23.2</v>
      </c>
      <c r="K125" s="15">
        <v>0</v>
      </c>
      <c r="L125" s="15">
        <v>50</v>
      </c>
      <c r="M125" s="15"/>
      <c r="N125" s="17">
        <v>5</v>
      </c>
      <c r="AC125" s="15"/>
      <c r="AL125" s="15"/>
      <c r="AR125" s="15"/>
      <c r="AS125" s="15"/>
      <c r="AV125" s="15"/>
      <c r="AX125" s="15"/>
      <c r="AY125" s="15"/>
      <c r="BL125" s="15"/>
      <c r="BQ125" s="15"/>
      <c r="BS125" s="15"/>
      <c r="BT125" s="15"/>
      <c r="BX125" s="15"/>
      <c r="CH125" s="1">
        <v>1</v>
      </c>
      <c r="CR125" s="15"/>
      <c r="CS125" s="15"/>
      <c r="CX125" s="15"/>
      <c r="CY125" s="15"/>
      <c r="DC125" s="15"/>
      <c r="DH125" s="1">
        <f t="shared" si="2"/>
        <v>1</v>
      </c>
      <c r="DI125" s="1">
        <f t="shared" si="3"/>
        <v>1</v>
      </c>
    </row>
    <row r="126" spans="1:113" ht="15.75" customHeight="1" x14ac:dyDescent="0.3">
      <c r="A126" s="15" t="s">
        <v>158</v>
      </c>
      <c r="B126" s="23" t="s">
        <v>180</v>
      </c>
      <c r="C126" s="23" t="s">
        <v>120</v>
      </c>
      <c r="D126" s="19" t="s">
        <v>162</v>
      </c>
      <c r="E126" s="5">
        <v>167</v>
      </c>
      <c r="F126" s="15"/>
      <c r="G126" s="15"/>
      <c r="H126" s="15">
        <v>88</v>
      </c>
      <c r="I126" s="18">
        <v>0.69</v>
      </c>
      <c r="J126" s="15">
        <v>23.4</v>
      </c>
      <c r="K126" s="15">
        <v>6</v>
      </c>
      <c r="L126" s="15">
        <v>100</v>
      </c>
      <c r="M126" s="15">
        <v>700</v>
      </c>
      <c r="N126" s="17">
        <v>5</v>
      </c>
      <c r="AB126" s="1">
        <v>2</v>
      </c>
      <c r="AC126" s="15"/>
      <c r="AL126" s="15"/>
      <c r="AR126" s="15"/>
      <c r="AS126" s="15"/>
      <c r="AV126" s="15"/>
      <c r="AW126" s="1">
        <v>1</v>
      </c>
      <c r="AX126" s="15"/>
      <c r="AY126" s="15">
        <v>1</v>
      </c>
      <c r="BB126" s="1">
        <v>1</v>
      </c>
      <c r="BL126" s="15"/>
      <c r="BQ126" s="15"/>
      <c r="BS126" s="15"/>
      <c r="BT126" s="15"/>
      <c r="BX126" s="15"/>
      <c r="BZ126" s="1">
        <v>1</v>
      </c>
      <c r="CF126" s="1">
        <v>1</v>
      </c>
      <c r="CJ126" s="1">
        <v>1</v>
      </c>
      <c r="CK126" s="1">
        <v>1</v>
      </c>
      <c r="CR126" s="15"/>
      <c r="CS126" s="15"/>
      <c r="CX126" s="15"/>
      <c r="CY126" s="15"/>
      <c r="DC126" s="15"/>
      <c r="DH126" s="1">
        <f t="shared" si="2"/>
        <v>8</v>
      </c>
      <c r="DI126" s="1">
        <f t="shared" si="3"/>
        <v>9</v>
      </c>
    </row>
    <row r="127" spans="1:113" ht="15.75" customHeight="1" x14ac:dyDescent="0.3">
      <c r="A127" s="15" t="s">
        <v>158</v>
      </c>
      <c r="B127" s="23" t="s">
        <v>180</v>
      </c>
      <c r="C127" s="23" t="s">
        <v>122</v>
      </c>
      <c r="D127" s="15" t="s">
        <v>163</v>
      </c>
      <c r="E127" s="5">
        <v>168</v>
      </c>
      <c r="F127" s="15"/>
      <c r="G127" s="15"/>
      <c r="H127" s="15">
        <v>88</v>
      </c>
      <c r="I127" s="18">
        <v>1.86</v>
      </c>
      <c r="J127" s="15">
        <v>27.2</v>
      </c>
      <c r="K127" s="15">
        <v>0.6</v>
      </c>
      <c r="L127" s="15">
        <v>100</v>
      </c>
      <c r="M127" s="15"/>
      <c r="N127" s="17">
        <v>5</v>
      </c>
      <c r="AC127" s="15"/>
      <c r="AL127" s="15"/>
      <c r="AR127" s="15"/>
      <c r="AS127" s="15"/>
      <c r="AV127" s="15"/>
      <c r="AX127" s="15"/>
      <c r="AY127" s="15"/>
      <c r="BH127" s="1">
        <v>1</v>
      </c>
      <c r="BL127" s="15"/>
      <c r="BQ127" s="15"/>
      <c r="BS127" s="15">
        <v>1</v>
      </c>
      <c r="BT127" s="15"/>
      <c r="BX127" s="15"/>
      <c r="CH127" s="1">
        <v>1</v>
      </c>
      <c r="CR127" s="15"/>
      <c r="CS127" s="15"/>
      <c r="CV127" s="1">
        <v>1</v>
      </c>
      <c r="CX127" s="15"/>
      <c r="CY127" s="15"/>
      <c r="DC127" s="15"/>
      <c r="DH127" s="1">
        <f t="shared" si="2"/>
        <v>4</v>
      </c>
      <c r="DI127" s="1">
        <f t="shared" si="3"/>
        <v>4</v>
      </c>
    </row>
    <row r="128" spans="1:113" ht="15.75" customHeight="1" x14ac:dyDescent="0.3">
      <c r="A128" s="15" t="s">
        <v>158</v>
      </c>
      <c r="B128" s="23" t="s">
        <v>181</v>
      </c>
      <c r="C128" s="23" t="s">
        <v>120</v>
      </c>
      <c r="D128" s="19" t="s">
        <v>162</v>
      </c>
      <c r="E128" s="5">
        <v>167</v>
      </c>
      <c r="F128" s="15"/>
      <c r="G128" s="15"/>
      <c r="H128" s="15">
        <v>80</v>
      </c>
      <c r="I128" s="18">
        <v>51.6</v>
      </c>
      <c r="J128" s="15">
        <v>28.7</v>
      </c>
      <c r="K128" s="15">
        <v>2.5</v>
      </c>
      <c r="L128" s="15">
        <v>0</v>
      </c>
      <c r="M128" s="15">
        <v>700</v>
      </c>
      <c r="N128" s="17">
        <v>3</v>
      </c>
      <c r="AA128" s="1">
        <v>1</v>
      </c>
      <c r="AC128" s="15"/>
      <c r="AL128" s="15"/>
      <c r="AR128" s="15"/>
      <c r="AS128" s="15"/>
      <c r="AV128" s="15"/>
      <c r="AX128" s="15"/>
      <c r="AY128" s="15">
        <v>1</v>
      </c>
      <c r="BL128" s="15"/>
      <c r="BQ128" s="15"/>
      <c r="BS128" s="15"/>
      <c r="BT128" s="15"/>
      <c r="BX128" s="15">
        <v>1</v>
      </c>
      <c r="CF128" s="1">
        <v>1</v>
      </c>
      <c r="CR128" s="15"/>
      <c r="CS128" s="15"/>
      <c r="CX128" s="15"/>
      <c r="CY128" s="15"/>
      <c r="CZ128" s="1">
        <v>1</v>
      </c>
      <c r="DC128" s="15"/>
      <c r="DH128" s="1">
        <f t="shared" si="2"/>
        <v>5</v>
      </c>
      <c r="DI128" s="1">
        <f t="shared" si="3"/>
        <v>5</v>
      </c>
    </row>
    <row r="129" spans="1:113" ht="15.75" customHeight="1" x14ac:dyDescent="0.3">
      <c r="A129" s="15" t="s">
        <v>158</v>
      </c>
      <c r="B129" s="23" t="s">
        <v>198</v>
      </c>
      <c r="C129" s="23" t="s">
        <v>120</v>
      </c>
      <c r="D129" s="19" t="s">
        <v>162</v>
      </c>
      <c r="E129" s="5">
        <v>167</v>
      </c>
      <c r="F129" s="15"/>
      <c r="G129" s="15"/>
      <c r="H129" s="15">
        <v>71</v>
      </c>
      <c r="I129" s="18">
        <v>7.17</v>
      </c>
      <c r="J129" s="15">
        <v>26.1</v>
      </c>
      <c r="K129" s="15">
        <v>1.9</v>
      </c>
      <c r="L129" s="15">
        <v>0</v>
      </c>
      <c r="M129" s="15">
        <v>700</v>
      </c>
      <c r="N129" s="17">
        <v>3</v>
      </c>
      <c r="W129" s="1">
        <v>1</v>
      </c>
      <c r="AC129" s="15"/>
      <c r="AL129" s="15"/>
      <c r="AR129" s="15">
        <v>3</v>
      </c>
      <c r="AS129" s="15"/>
      <c r="AU129" s="1">
        <v>1</v>
      </c>
      <c r="AV129" s="15"/>
      <c r="AX129" s="15"/>
      <c r="AY129" s="15">
        <v>1</v>
      </c>
      <c r="BL129" s="15"/>
      <c r="BM129" s="1">
        <v>1</v>
      </c>
      <c r="BQ129" s="15"/>
      <c r="BS129" s="15"/>
      <c r="BT129" s="15"/>
      <c r="BX129" s="15"/>
      <c r="CA129" s="1">
        <v>1</v>
      </c>
      <c r="CR129" s="15"/>
      <c r="CS129" s="15"/>
      <c r="CW129" s="1">
        <v>1</v>
      </c>
      <c r="CX129" s="15"/>
      <c r="CY129" s="15"/>
      <c r="CZ129" s="1">
        <v>1</v>
      </c>
      <c r="DC129" s="15">
        <v>1</v>
      </c>
      <c r="DH129" s="1">
        <f t="shared" si="2"/>
        <v>9</v>
      </c>
      <c r="DI129" s="1">
        <f t="shared" si="3"/>
        <v>11</v>
      </c>
    </row>
    <row r="130" spans="1:113" ht="15.75" customHeight="1" x14ac:dyDescent="0.3">
      <c r="A130" s="15" t="s">
        <v>158</v>
      </c>
      <c r="B130" s="23" t="s">
        <v>198</v>
      </c>
      <c r="C130" s="23" t="s">
        <v>120</v>
      </c>
      <c r="D130" s="19" t="s">
        <v>160</v>
      </c>
      <c r="E130" s="5">
        <v>174</v>
      </c>
      <c r="F130" s="15"/>
      <c r="G130" s="15"/>
      <c r="H130" s="15">
        <v>74</v>
      </c>
      <c r="I130" s="18">
        <v>7.5</v>
      </c>
      <c r="J130" s="15">
        <v>26</v>
      </c>
      <c r="K130" s="15">
        <v>0</v>
      </c>
      <c r="L130" s="15">
        <v>100</v>
      </c>
      <c r="M130" s="15"/>
      <c r="N130" s="17">
        <v>3</v>
      </c>
      <c r="AC130" s="15"/>
      <c r="AL130" s="15"/>
      <c r="AR130" s="15"/>
      <c r="AS130" s="15"/>
      <c r="AV130" s="15"/>
      <c r="AX130" s="15"/>
      <c r="AY130" s="15"/>
      <c r="BL130" s="15"/>
      <c r="BP130" s="1">
        <v>1</v>
      </c>
      <c r="BQ130" s="15"/>
      <c r="BS130" s="15"/>
      <c r="BT130" s="15"/>
      <c r="BX130" s="15"/>
      <c r="CR130" s="15"/>
      <c r="CS130" s="15"/>
      <c r="CX130" s="15"/>
      <c r="CY130" s="15"/>
      <c r="DC130" s="15"/>
      <c r="DH130" s="1">
        <f t="shared" si="2"/>
        <v>1</v>
      </c>
      <c r="DI130" s="1">
        <f t="shared" si="3"/>
        <v>1</v>
      </c>
    </row>
    <row r="131" spans="1:113" ht="15.75" customHeight="1" x14ac:dyDescent="0.3">
      <c r="A131" s="15" t="s">
        <v>158</v>
      </c>
      <c r="B131" s="23" t="s">
        <v>198</v>
      </c>
      <c r="C131" s="23" t="s">
        <v>122</v>
      </c>
      <c r="D131" s="15" t="s">
        <v>163</v>
      </c>
      <c r="E131" s="5">
        <v>168</v>
      </c>
      <c r="F131" s="15"/>
      <c r="G131" s="15"/>
      <c r="H131" s="15">
        <v>54</v>
      </c>
      <c r="I131" s="18">
        <v>10.85</v>
      </c>
      <c r="J131" s="15">
        <v>28.3</v>
      </c>
      <c r="K131" s="15">
        <v>1.45</v>
      </c>
      <c r="L131" s="15">
        <v>35</v>
      </c>
      <c r="M131" s="15"/>
      <c r="N131" s="17">
        <v>3</v>
      </c>
      <c r="AC131" s="15"/>
      <c r="AL131" s="15"/>
      <c r="AR131" s="15"/>
      <c r="AS131" s="15"/>
      <c r="AV131" s="15"/>
      <c r="AX131" s="15"/>
      <c r="AY131" s="15">
        <v>1</v>
      </c>
      <c r="BL131" s="15"/>
      <c r="BQ131" s="15"/>
      <c r="BS131" s="15">
        <v>1</v>
      </c>
      <c r="BT131" s="15"/>
      <c r="BW131" s="1">
        <v>1</v>
      </c>
      <c r="BX131" s="15">
        <v>1</v>
      </c>
      <c r="CR131" s="15"/>
      <c r="CS131" s="15"/>
      <c r="CX131" s="15"/>
      <c r="CY131" s="15"/>
      <c r="DC131" s="15"/>
      <c r="DH131" s="1">
        <f t="shared" si="2"/>
        <v>4</v>
      </c>
      <c r="DI131" s="1">
        <f t="shared" si="3"/>
        <v>4</v>
      </c>
    </row>
    <row r="132" spans="1:113" ht="15.75" customHeight="1" x14ac:dyDescent="0.3">
      <c r="A132" s="15" t="s">
        <v>158</v>
      </c>
      <c r="B132" s="23" t="s">
        <v>199</v>
      </c>
      <c r="C132" s="23" t="s">
        <v>120</v>
      </c>
      <c r="D132" s="15" t="s">
        <v>163</v>
      </c>
      <c r="E132" s="5">
        <v>168</v>
      </c>
      <c r="H132" s="1">
        <v>72</v>
      </c>
      <c r="I132" s="1">
        <v>17.850000000000001</v>
      </c>
      <c r="J132" s="1">
        <v>26.9</v>
      </c>
      <c r="K132" s="1">
        <v>1.6</v>
      </c>
      <c r="L132" s="1">
        <v>90</v>
      </c>
      <c r="M132" s="15">
        <v>700</v>
      </c>
      <c r="N132" s="17">
        <v>2</v>
      </c>
      <c r="W132" s="1">
        <v>2</v>
      </c>
      <c r="CA132" s="1">
        <v>1</v>
      </c>
      <c r="DH132" s="1">
        <f t="shared" si="2"/>
        <v>2</v>
      </c>
      <c r="DI132" s="1">
        <f t="shared" si="3"/>
        <v>3</v>
      </c>
    </row>
    <row r="133" spans="1:113" ht="15.75" customHeight="1" x14ac:dyDescent="0.3">
      <c r="A133" s="15" t="s">
        <v>158</v>
      </c>
      <c r="B133" s="23" t="s">
        <v>199</v>
      </c>
      <c r="C133" s="23" t="s">
        <v>122</v>
      </c>
      <c r="D133" s="19" t="s">
        <v>162</v>
      </c>
      <c r="E133" s="5">
        <v>167</v>
      </c>
      <c r="F133" s="15"/>
      <c r="G133" s="15"/>
      <c r="H133" s="15">
        <v>66</v>
      </c>
      <c r="I133" s="18">
        <v>6.27</v>
      </c>
      <c r="J133" s="15">
        <v>26.2</v>
      </c>
      <c r="K133" s="15">
        <v>0.8</v>
      </c>
      <c r="L133" s="15">
        <v>100</v>
      </c>
      <c r="M133" s="15"/>
      <c r="N133" s="17">
        <v>2</v>
      </c>
      <c r="AC133" s="15"/>
      <c r="AE133" s="1">
        <v>1</v>
      </c>
      <c r="AL133" s="15"/>
      <c r="AR133" s="15"/>
      <c r="AS133" s="15"/>
      <c r="AV133" s="15"/>
      <c r="AX133" s="15"/>
      <c r="AY133" s="15"/>
      <c r="BL133" s="15"/>
      <c r="BQ133" s="15"/>
      <c r="BS133" s="15"/>
      <c r="BT133" s="15"/>
      <c r="BX133" s="15"/>
      <c r="CR133" s="15"/>
      <c r="CS133" s="15"/>
      <c r="CX133" s="15"/>
      <c r="CY133" s="15"/>
      <c r="DC133" s="15"/>
      <c r="DH133" s="1">
        <f t="shared" si="2"/>
        <v>1</v>
      </c>
      <c r="DI133" s="1">
        <f t="shared" si="3"/>
        <v>1</v>
      </c>
    </row>
    <row r="134" spans="1:113" ht="15.75" customHeight="1" x14ac:dyDescent="0.3">
      <c r="A134" s="15" t="s">
        <v>158</v>
      </c>
      <c r="B134" s="23" t="s">
        <v>183</v>
      </c>
      <c r="C134" s="23" t="s">
        <v>120</v>
      </c>
      <c r="D134" s="19">
        <v>45078</v>
      </c>
      <c r="E134" s="5">
        <v>159</v>
      </c>
      <c r="F134" s="15"/>
      <c r="G134" s="15"/>
      <c r="H134" s="15">
        <v>77</v>
      </c>
      <c r="I134" s="18">
        <v>19</v>
      </c>
      <c r="J134" s="15">
        <v>23.9</v>
      </c>
      <c r="K134" s="15">
        <v>0</v>
      </c>
      <c r="L134" s="15">
        <v>100</v>
      </c>
      <c r="M134" s="15"/>
      <c r="N134" s="17">
        <v>3</v>
      </c>
      <c r="T134" s="1">
        <v>1</v>
      </c>
      <c r="X134" s="1">
        <v>1</v>
      </c>
      <c r="AC134" s="15"/>
      <c r="AL134" s="15"/>
      <c r="AR134" s="15">
        <v>6</v>
      </c>
      <c r="AS134" s="15"/>
      <c r="AU134" s="1">
        <v>5</v>
      </c>
      <c r="AV134" s="15"/>
      <c r="AX134" s="15"/>
      <c r="AY134" s="15"/>
      <c r="BL134" s="15"/>
      <c r="BQ134" s="15"/>
      <c r="BS134" s="15"/>
      <c r="BT134" s="15"/>
      <c r="BX134" s="15"/>
      <c r="CR134" s="15"/>
      <c r="CS134" s="15"/>
      <c r="CX134" s="15"/>
      <c r="CY134" s="15"/>
      <c r="DC134" s="15"/>
      <c r="DH134" s="1">
        <f t="shared" ref="DH134:DH197" si="4">COUNT(O134:DG134)</f>
        <v>4</v>
      </c>
      <c r="DI134" s="1">
        <f t="shared" ref="DI134:DI197" si="5">SUM(O134:DG134)</f>
        <v>13</v>
      </c>
    </row>
    <row r="135" spans="1:113" ht="15.75" customHeight="1" x14ac:dyDescent="0.3">
      <c r="A135" s="15" t="s">
        <v>158</v>
      </c>
      <c r="B135" s="23" t="s">
        <v>183</v>
      </c>
      <c r="C135" s="23" t="s">
        <v>120</v>
      </c>
      <c r="D135" s="15" t="s">
        <v>163</v>
      </c>
      <c r="E135" s="5">
        <v>168</v>
      </c>
      <c r="F135" s="15"/>
      <c r="G135" s="15"/>
      <c r="H135" s="15">
        <v>99</v>
      </c>
      <c r="I135" s="18">
        <v>29.59</v>
      </c>
      <c r="J135" s="15">
        <v>24.9</v>
      </c>
      <c r="K135" s="15">
        <v>0.65</v>
      </c>
      <c r="L135" s="15">
        <v>99</v>
      </c>
      <c r="M135" s="15">
        <v>700</v>
      </c>
      <c r="N135" s="17">
        <v>3</v>
      </c>
      <c r="X135" s="1">
        <v>1</v>
      </c>
      <c r="AC135" s="15"/>
      <c r="AL135" s="15"/>
      <c r="AR135" s="15">
        <v>2</v>
      </c>
      <c r="AS135" s="15"/>
      <c r="AV135" s="15"/>
      <c r="AX135" s="15"/>
      <c r="AY135" s="15"/>
      <c r="BL135" s="15"/>
      <c r="BM135" s="1">
        <v>2</v>
      </c>
      <c r="BO135" s="1">
        <v>2</v>
      </c>
      <c r="BQ135" s="15"/>
      <c r="BS135" s="15"/>
      <c r="BT135" s="15"/>
      <c r="BX135" s="15"/>
      <c r="CR135" s="15"/>
      <c r="CS135" s="15"/>
      <c r="CX135" s="15"/>
      <c r="CY135" s="15"/>
      <c r="DC135" s="15"/>
      <c r="DH135" s="1">
        <f t="shared" si="4"/>
        <v>4</v>
      </c>
      <c r="DI135" s="1">
        <f t="shared" si="5"/>
        <v>7</v>
      </c>
    </row>
    <row r="136" spans="1:113" ht="15.75" customHeight="1" x14ac:dyDescent="0.3">
      <c r="A136" s="15" t="s">
        <v>158</v>
      </c>
      <c r="B136" s="23" t="s">
        <v>183</v>
      </c>
      <c r="C136" s="23" t="s">
        <v>122</v>
      </c>
      <c r="D136" s="19" t="s">
        <v>162</v>
      </c>
      <c r="E136" s="5">
        <v>167</v>
      </c>
      <c r="F136" s="15"/>
      <c r="G136" s="15"/>
      <c r="H136" s="15">
        <v>74</v>
      </c>
      <c r="I136" s="18">
        <v>1.52</v>
      </c>
      <c r="J136" s="15">
        <v>19.829999999999998</v>
      </c>
      <c r="K136" s="15">
        <v>0.85</v>
      </c>
      <c r="L136" s="15">
        <v>100</v>
      </c>
      <c r="M136" s="15"/>
      <c r="N136" s="17">
        <v>3</v>
      </c>
      <c r="AC136" s="15"/>
      <c r="AL136" s="15"/>
      <c r="AR136" s="15"/>
      <c r="AS136" s="15"/>
      <c r="AV136" s="15"/>
      <c r="AX136" s="15"/>
      <c r="AY136" s="15"/>
      <c r="BH136" s="1">
        <v>1</v>
      </c>
      <c r="BL136" s="15"/>
      <c r="BO136" s="1">
        <v>1</v>
      </c>
      <c r="BQ136" s="15"/>
      <c r="BS136" s="15"/>
      <c r="BT136" s="15"/>
      <c r="BX136" s="15"/>
      <c r="CR136" s="15"/>
      <c r="CS136" s="15"/>
      <c r="CX136" s="15"/>
      <c r="CY136" s="15"/>
      <c r="DC136" s="15"/>
      <c r="DH136" s="1">
        <f t="shared" si="4"/>
        <v>2</v>
      </c>
      <c r="DI136" s="1">
        <f t="shared" si="5"/>
        <v>2</v>
      </c>
    </row>
    <row r="137" spans="1:113" ht="15.75" customHeight="1" x14ac:dyDescent="0.3">
      <c r="A137" s="15" t="s">
        <v>158</v>
      </c>
      <c r="B137" s="23" t="s">
        <v>185</v>
      </c>
      <c r="C137" s="23" t="s">
        <v>120</v>
      </c>
      <c r="D137" s="15" t="s">
        <v>163</v>
      </c>
      <c r="E137" s="5">
        <v>168</v>
      </c>
      <c r="F137" s="15"/>
      <c r="G137" s="15"/>
      <c r="H137" s="15">
        <v>99</v>
      </c>
      <c r="I137" s="18">
        <v>27.94</v>
      </c>
      <c r="J137" s="15">
        <v>22.3</v>
      </c>
      <c r="K137" s="15">
        <v>1.2</v>
      </c>
      <c r="L137" s="15">
        <v>100</v>
      </c>
      <c r="M137" s="15">
        <v>700</v>
      </c>
      <c r="N137" s="17">
        <v>1</v>
      </c>
      <c r="X137" s="1">
        <v>1</v>
      </c>
      <c r="AC137" s="15"/>
      <c r="AL137" s="15"/>
      <c r="AR137" s="15">
        <v>6</v>
      </c>
      <c r="AS137" s="15"/>
      <c r="AT137" s="1">
        <v>2</v>
      </c>
      <c r="AU137" s="1">
        <v>1</v>
      </c>
      <c r="AV137" s="15"/>
      <c r="AX137" s="15"/>
      <c r="AY137" s="15"/>
      <c r="BL137" s="15"/>
      <c r="BM137" s="1">
        <v>5</v>
      </c>
      <c r="BQ137" s="15"/>
      <c r="BS137" s="15"/>
      <c r="BT137" s="15"/>
      <c r="BX137" s="15"/>
      <c r="CR137" s="15"/>
      <c r="CS137" s="15"/>
      <c r="CX137" s="15"/>
      <c r="CY137" s="15"/>
      <c r="DC137" s="15"/>
      <c r="DH137" s="1">
        <f t="shared" si="4"/>
        <v>5</v>
      </c>
      <c r="DI137" s="1">
        <f t="shared" si="5"/>
        <v>15</v>
      </c>
    </row>
    <row r="138" spans="1:113" ht="15.75" customHeight="1" x14ac:dyDescent="0.3">
      <c r="A138" s="15" t="s">
        <v>158</v>
      </c>
      <c r="B138" s="23" t="s">
        <v>185</v>
      </c>
      <c r="C138" s="16" t="s">
        <v>122</v>
      </c>
      <c r="D138" s="19" t="s">
        <v>162</v>
      </c>
      <c r="E138" s="5">
        <v>167</v>
      </c>
      <c r="F138" s="15"/>
      <c r="G138" s="15"/>
      <c r="H138" s="15">
        <v>80</v>
      </c>
      <c r="I138" s="18">
        <v>6.81</v>
      </c>
      <c r="J138" s="15">
        <v>19.03</v>
      </c>
      <c r="K138" s="15">
        <v>1.8</v>
      </c>
      <c r="L138" s="15">
        <v>100</v>
      </c>
      <c r="M138" s="15"/>
      <c r="N138" s="17">
        <v>1</v>
      </c>
      <c r="AC138" s="15"/>
      <c r="AL138" s="15"/>
      <c r="AR138" s="15"/>
      <c r="AS138" s="15"/>
      <c r="AV138" s="15"/>
      <c r="AX138" s="15"/>
      <c r="AY138" s="15"/>
      <c r="BL138" s="15"/>
      <c r="BN138" s="1">
        <v>2</v>
      </c>
      <c r="BO138" s="1">
        <v>2</v>
      </c>
      <c r="BQ138" s="15"/>
      <c r="BS138" s="15"/>
      <c r="BT138" s="15"/>
      <c r="BX138" s="15"/>
      <c r="CR138" s="15"/>
      <c r="CS138" s="15"/>
      <c r="CX138" s="15"/>
      <c r="CY138" s="15"/>
      <c r="DC138" s="15"/>
      <c r="DH138" s="1">
        <f t="shared" si="4"/>
        <v>2</v>
      </c>
      <c r="DI138" s="1">
        <f t="shared" si="5"/>
        <v>4</v>
      </c>
    </row>
    <row r="139" spans="1:113" ht="15.75" customHeight="1" x14ac:dyDescent="0.3">
      <c r="A139" s="15" t="s">
        <v>158</v>
      </c>
      <c r="B139" s="23" t="s">
        <v>186</v>
      </c>
      <c r="C139" s="23" t="s">
        <v>120</v>
      </c>
      <c r="D139" s="15" t="s">
        <v>163</v>
      </c>
      <c r="E139" s="5">
        <v>168</v>
      </c>
      <c r="F139" s="15"/>
      <c r="G139" s="15"/>
      <c r="H139" s="15">
        <v>95</v>
      </c>
      <c r="I139" s="18">
        <v>0.4</v>
      </c>
      <c r="J139" s="15">
        <v>17.100000000000001</v>
      </c>
      <c r="K139" s="15">
        <v>0</v>
      </c>
      <c r="L139" s="15">
        <v>0</v>
      </c>
      <c r="M139" s="15">
        <v>700</v>
      </c>
      <c r="N139" s="17">
        <v>6</v>
      </c>
      <c r="Q139" s="1">
        <v>1</v>
      </c>
      <c r="AC139" s="15"/>
      <c r="AL139" s="15"/>
      <c r="AP139" s="1">
        <v>1</v>
      </c>
      <c r="AR139" s="15">
        <v>15</v>
      </c>
      <c r="AS139" s="15"/>
      <c r="AV139" s="15"/>
      <c r="AX139" s="15"/>
      <c r="AY139" s="15">
        <v>1</v>
      </c>
      <c r="BL139" s="15"/>
      <c r="BQ139" s="15"/>
      <c r="BS139" s="15"/>
      <c r="BT139" s="15"/>
      <c r="BU139" s="1">
        <v>1</v>
      </c>
      <c r="BX139" s="15"/>
      <c r="CQ139" s="1">
        <v>1</v>
      </c>
      <c r="CR139" s="15"/>
      <c r="CS139" s="15"/>
      <c r="CT139" s="1">
        <v>1</v>
      </c>
      <c r="CV139" s="1">
        <v>1</v>
      </c>
      <c r="CX139" s="15">
        <v>1</v>
      </c>
      <c r="CY139" s="15"/>
      <c r="DC139" s="15"/>
      <c r="DE139" s="1">
        <v>10</v>
      </c>
      <c r="DH139" s="1">
        <f t="shared" si="4"/>
        <v>10</v>
      </c>
      <c r="DI139" s="1">
        <f t="shared" si="5"/>
        <v>33</v>
      </c>
    </row>
    <row r="140" spans="1:113" ht="15.75" customHeight="1" x14ac:dyDescent="0.3">
      <c r="A140" s="15" t="s">
        <v>158</v>
      </c>
      <c r="B140" s="23" t="s">
        <v>186</v>
      </c>
      <c r="C140" s="23" t="s">
        <v>120</v>
      </c>
      <c r="D140" s="15" t="s">
        <v>160</v>
      </c>
      <c r="E140" s="5">
        <v>174</v>
      </c>
      <c r="F140" s="15"/>
      <c r="G140" s="15"/>
      <c r="H140" s="15">
        <v>95</v>
      </c>
      <c r="I140" s="18">
        <v>0.42</v>
      </c>
      <c r="J140" s="15">
        <v>17.2</v>
      </c>
      <c r="K140" s="15">
        <v>0</v>
      </c>
      <c r="L140" s="15">
        <v>100</v>
      </c>
      <c r="M140" s="15"/>
      <c r="N140" s="17">
        <v>6</v>
      </c>
      <c r="AC140" s="15"/>
      <c r="AL140" s="15"/>
      <c r="AR140" s="15"/>
      <c r="AS140" s="15"/>
      <c r="AV140" s="15"/>
      <c r="AX140" s="15"/>
      <c r="AY140" s="15"/>
      <c r="BL140" s="15"/>
      <c r="BQ140" s="15"/>
      <c r="BS140" s="15"/>
      <c r="BT140" s="15"/>
      <c r="BX140" s="15"/>
      <c r="CJ140" s="1">
        <v>1</v>
      </c>
      <c r="CR140" s="15"/>
      <c r="CS140" s="15"/>
      <c r="CX140" s="15"/>
      <c r="CY140" s="15"/>
      <c r="DC140" s="15"/>
      <c r="DH140" s="1">
        <f t="shared" si="4"/>
        <v>1</v>
      </c>
      <c r="DI140" s="1">
        <f t="shared" si="5"/>
        <v>1</v>
      </c>
    </row>
    <row r="141" spans="1:113" ht="15.75" customHeight="1" x14ac:dyDescent="0.3">
      <c r="A141" s="15" t="s">
        <v>158</v>
      </c>
      <c r="B141" s="23" t="s">
        <v>186</v>
      </c>
      <c r="C141" s="23" t="s">
        <v>120</v>
      </c>
      <c r="D141" s="15" t="s">
        <v>163</v>
      </c>
      <c r="E141" s="5">
        <v>168</v>
      </c>
      <c r="F141" s="15"/>
      <c r="G141" s="15"/>
      <c r="H141" s="15">
        <v>95</v>
      </c>
      <c r="I141" s="18">
        <v>0.41</v>
      </c>
      <c r="J141" s="15">
        <v>17.100000000000001</v>
      </c>
      <c r="K141" s="15">
        <v>0</v>
      </c>
      <c r="L141" s="15">
        <v>100</v>
      </c>
      <c r="M141" s="15">
        <v>700</v>
      </c>
      <c r="N141" s="17">
        <v>6</v>
      </c>
      <c r="O141" s="1">
        <v>1</v>
      </c>
      <c r="X141" s="1">
        <v>1</v>
      </c>
      <c r="AC141" s="15"/>
      <c r="AL141" s="15"/>
      <c r="AR141" s="15"/>
      <c r="AS141" s="15"/>
      <c r="AV141" s="15"/>
      <c r="AX141" s="15">
        <v>1</v>
      </c>
      <c r="AY141" s="15"/>
      <c r="BL141" s="15"/>
      <c r="BQ141" s="15"/>
      <c r="BR141" s="1">
        <v>1</v>
      </c>
      <c r="BS141" s="15"/>
      <c r="BT141" s="15"/>
      <c r="BX141" s="15"/>
      <c r="CD141" s="1">
        <v>1</v>
      </c>
      <c r="CI141" s="1">
        <v>1</v>
      </c>
      <c r="CR141" s="15"/>
      <c r="CS141" s="15"/>
      <c r="CX141" s="15"/>
      <c r="CY141" s="15"/>
      <c r="DC141" s="15"/>
      <c r="DE141" s="1">
        <v>3</v>
      </c>
      <c r="DG141" s="1">
        <v>2</v>
      </c>
      <c r="DH141" s="1">
        <f t="shared" si="4"/>
        <v>8</v>
      </c>
      <c r="DI141" s="1">
        <f t="shared" si="5"/>
        <v>11</v>
      </c>
    </row>
    <row r="142" spans="1:113" ht="15.75" customHeight="1" x14ac:dyDescent="0.3">
      <c r="A142" s="15" t="s">
        <v>158</v>
      </c>
      <c r="B142" s="23" t="s">
        <v>186</v>
      </c>
      <c r="C142" s="23" t="s">
        <v>122</v>
      </c>
      <c r="D142" s="19" t="s">
        <v>162</v>
      </c>
      <c r="E142" s="5">
        <v>167</v>
      </c>
      <c r="F142" s="15"/>
      <c r="G142" s="15"/>
      <c r="H142" s="15">
        <v>87</v>
      </c>
      <c r="I142" s="18">
        <v>0.16</v>
      </c>
      <c r="J142" s="15">
        <v>20.2</v>
      </c>
      <c r="K142" s="15">
        <v>0</v>
      </c>
      <c r="L142" s="15">
        <v>100</v>
      </c>
      <c r="M142" s="15"/>
      <c r="N142" s="17">
        <v>6</v>
      </c>
      <c r="P142" s="1">
        <v>1</v>
      </c>
      <c r="Q142" s="1">
        <v>1</v>
      </c>
      <c r="U142" s="1">
        <v>1</v>
      </c>
      <c r="AC142" s="15"/>
      <c r="AG142" s="1">
        <v>1</v>
      </c>
      <c r="AL142" s="15"/>
      <c r="AR142" s="15"/>
      <c r="AS142" s="15"/>
      <c r="AV142" s="15"/>
      <c r="AX142" s="15"/>
      <c r="AY142" s="15"/>
      <c r="BF142" s="1">
        <v>1</v>
      </c>
      <c r="BL142" s="15"/>
      <c r="BQ142" s="15"/>
      <c r="BS142" s="15"/>
      <c r="BT142" s="15"/>
      <c r="BX142" s="15"/>
      <c r="CF142" s="1">
        <v>1</v>
      </c>
      <c r="CR142" s="15"/>
      <c r="CS142" s="15"/>
      <c r="CX142" s="15"/>
      <c r="CY142" s="15"/>
      <c r="DC142" s="15"/>
      <c r="DH142" s="1">
        <f t="shared" si="4"/>
        <v>6</v>
      </c>
      <c r="DI142" s="1">
        <f t="shared" si="5"/>
        <v>6</v>
      </c>
    </row>
    <row r="143" spans="1:113" ht="15.75" customHeight="1" x14ac:dyDescent="0.3">
      <c r="A143" s="15"/>
      <c r="B143" s="15"/>
      <c r="C143" s="15"/>
      <c r="D143" s="15"/>
      <c r="E143" s="17"/>
      <c r="F143" s="15"/>
      <c r="G143" s="15"/>
      <c r="H143" s="15"/>
      <c r="I143" s="18"/>
      <c r="J143" s="15"/>
      <c r="K143" s="15"/>
      <c r="L143" s="15"/>
      <c r="M143" s="15"/>
      <c r="N143" s="17"/>
      <c r="AC143" s="15"/>
      <c r="AL143" s="15"/>
      <c r="AR143" s="15"/>
      <c r="AS143" s="15"/>
      <c r="AV143" s="15"/>
      <c r="AX143" s="15"/>
      <c r="AY143" s="15"/>
      <c r="BL143" s="15"/>
      <c r="BQ143" s="15"/>
      <c r="BS143" s="15"/>
      <c r="BT143" s="15"/>
      <c r="BX143" s="15"/>
      <c r="CR143" s="15"/>
      <c r="CS143" s="15"/>
      <c r="CX143" s="15"/>
      <c r="CY143" s="15"/>
      <c r="DC143" s="15"/>
      <c r="DH143" s="1">
        <f t="shared" si="4"/>
        <v>0</v>
      </c>
      <c r="DI143" s="1">
        <f t="shared" si="5"/>
        <v>0</v>
      </c>
    </row>
    <row r="144" spans="1:113" ht="15.75" customHeight="1" x14ac:dyDescent="0.3">
      <c r="A144" s="15"/>
      <c r="B144" s="15"/>
      <c r="D144" s="15"/>
      <c r="E144" s="17"/>
      <c r="F144" s="15"/>
      <c r="G144" s="15"/>
      <c r="H144" s="15"/>
      <c r="I144" s="18"/>
      <c r="J144" s="15"/>
      <c r="K144" s="15"/>
      <c r="L144" s="15"/>
      <c r="M144" s="15"/>
      <c r="N144" s="17"/>
      <c r="AC144" s="15"/>
      <c r="AL144" s="15"/>
      <c r="AR144" s="15"/>
      <c r="AS144" s="15"/>
      <c r="AV144" s="15"/>
      <c r="AX144" s="15"/>
      <c r="AY144" s="15"/>
      <c r="BL144" s="15"/>
      <c r="BQ144" s="15"/>
      <c r="BS144" s="15"/>
      <c r="BT144" s="15"/>
      <c r="BX144" s="15"/>
      <c r="CR144" s="15"/>
      <c r="CS144" s="15"/>
      <c r="CX144" s="15"/>
      <c r="CY144" s="15"/>
      <c r="DC144" s="15"/>
      <c r="DH144" s="1">
        <f t="shared" si="4"/>
        <v>0</v>
      </c>
      <c r="DI144" s="1">
        <f t="shared" si="5"/>
        <v>0</v>
      </c>
    </row>
    <row r="145" spans="1:113" ht="15.75" customHeight="1" x14ac:dyDescent="0.3">
      <c r="A145" s="15" t="s">
        <v>164</v>
      </c>
      <c r="B145" s="23" t="s">
        <v>176</v>
      </c>
      <c r="C145" s="23" t="s">
        <v>120</v>
      </c>
      <c r="D145" s="19">
        <v>44987</v>
      </c>
      <c r="E145" s="17">
        <v>187</v>
      </c>
      <c r="F145" s="15"/>
      <c r="G145" s="15"/>
      <c r="H145" s="15">
        <v>89</v>
      </c>
      <c r="I145" s="18">
        <v>1.36</v>
      </c>
      <c r="J145" s="15">
        <v>23.18</v>
      </c>
      <c r="K145" s="15">
        <v>0</v>
      </c>
      <c r="L145" s="15">
        <v>100</v>
      </c>
      <c r="M145" s="15"/>
      <c r="N145" s="17">
        <v>4</v>
      </c>
      <c r="AC145" s="15"/>
      <c r="AL145" s="15"/>
      <c r="AN145" s="1">
        <v>1</v>
      </c>
      <c r="AR145" s="15"/>
      <c r="AS145" s="15"/>
      <c r="AV145" s="15"/>
      <c r="AX145" s="15"/>
      <c r="AY145" s="15"/>
      <c r="BI145" s="1">
        <v>1</v>
      </c>
      <c r="BL145" s="15"/>
      <c r="BQ145" s="15"/>
      <c r="BS145" s="15">
        <v>2</v>
      </c>
      <c r="BT145" s="15">
        <v>2</v>
      </c>
      <c r="BX145" s="15"/>
      <c r="CR145" s="15"/>
      <c r="CS145" s="15"/>
      <c r="CX145" s="15">
        <v>1</v>
      </c>
      <c r="CY145" s="15"/>
      <c r="DA145" s="1">
        <v>2</v>
      </c>
      <c r="DC145" s="15">
        <v>1</v>
      </c>
      <c r="DD145" s="1">
        <v>1</v>
      </c>
      <c r="DH145" s="1">
        <f t="shared" si="4"/>
        <v>8</v>
      </c>
      <c r="DI145" s="1">
        <f t="shared" si="5"/>
        <v>11</v>
      </c>
    </row>
    <row r="146" spans="1:113" ht="15.75" customHeight="1" x14ac:dyDescent="0.3">
      <c r="A146" s="15" t="s">
        <v>164</v>
      </c>
      <c r="B146" s="23" t="s">
        <v>177</v>
      </c>
      <c r="C146" s="23" t="s">
        <v>122</v>
      </c>
      <c r="D146" s="19">
        <v>44987</v>
      </c>
      <c r="E146" s="17">
        <v>187</v>
      </c>
      <c r="F146" s="15"/>
      <c r="G146" s="15"/>
      <c r="H146" s="15">
        <v>94</v>
      </c>
      <c r="I146" s="18">
        <v>7.68</v>
      </c>
      <c r="J146" s="15">
        <v>26.7</v>
      </c>
      <c r="K146" s="15">
        <v>0.75</v>
      </c>
      <c r="L146" s="15">
        <v>100</v>
      </c>
      <c r="M146" s="15"/>
      <c r="N146" s="17">
        <v>3</v>
      </c>
      <c r="AC146" s="15"/>
      <c r="AL146" s="15"/>
      <c r="AR146" s="15"/>
      <c r="AS146" s="15"/>
      <c r="AV146" s="15"/>
      <c r="AX146" s="15"/>
      <c r="AY146" s="15">
        <v>1</v>
      </c>
      <c r="BC146" s="1">
        <v>1</v>
      </c>
      <c r="BL146" s="15"/>
      <c r="BQ146" s="15"/>
      <c r="BS146" s="15"/>
      <c r="BT146" s="15">
        <v>3</v>
      </c>
      <c r="BX146" s="15"/>
      <c r="CF146" s="1">
        <v>1</v>
      </c>
      <c r="CR146" s="15"/>
      <c r="CS146" s="15"/>
      <c r="CT146" s="1">
        <v>1</v>
      </c>
      <c r="CV146" s="1">
        <v>1</v>
      </c>
      <c r="CX146" s="15"/>
      <c r="CY146" s="15"/>
      <c r="DC146" s="15"/>
      <c r="DH146" s="1">
        <f t="shared" si="4"/>
        <v>6</v>
      </c>
      <c r="DI146" s="1">
        <f t="shared" si="5"/>
        <v>8</v>
      </c>
    </row>
    <row r="147" spans="1:113" ht="15.75" customHeight="1" x14ac:dyDescent="0.3">
      <c r="A147" s="15" t="s">
        <v>164</v>
      </c>
      <c r="B147" s="23" t="s">
        <v>177</v>
      </c>
      <c r="C147" s="23" t="s">
        <v>120</v>
      </c>
      <c r="D147" s="19" t="s">
        <v>165</v>
      </c>
      <c r="E147" s="17">
        <v>203</v>
      </c>
      <c r="F147" s="15"/>
      <c r="G147" s="15"/>
      <c r="H147" s="15">
        <v>90</v>
      </c>
      <c r="I147" s="18">
        <v>1.5</v>
      </c>
      <c r="J147" s="15">
        <v>23.4</v>
      </c>
      <c r="K147" s="15">
        <v>0</v>
      </c>
      <c r="L147" s="15">
        <v>100</v>
      </c>
      <c r="M147" s="15"/>
      <c r="N147" s="17">
        <v>3</v>
      </c>
      <c r="AC147" s="15"/>
      <c r="AL147" s="15"/>
      <c r="AR147" s="15"/>
      <c r="AS147" s="15"/>
      <c r="AV147" s="15"/>
      <c r="AX147" s="15"/>
      <c r="AY147" s="15"/>
      <c r="BL147" s="15"/>
      <c r="BQ147" s="15"/>
      <c r="BS147" s="15"/>
      <c r="BT147" s="15"/>
      <c r="BX147" s="15"/>
      <c r="CJ147" s="1">
        <v>1</v>
      </c>
      <c r="CR147" s="15"/>
      <c r="CS147" s="15"/>
      <c r="CX147" s="15"/>
      <c r="CY147" s="15"/>
      <c r="DC147" s="15"/>
      <c r="DH147" s="1">
        <f t="shared" si="4"/>
        <v>1</v>
      </c>
      <c r="DI147" s="1">
        <f t="shared" si="5"/>
        <v>1</v>
      </c>
    </row>
    <row r="148" spans="1:113" ht="15.75" customHeight="1" x14ac:dyDescent="0.3">
      <c r="A148" s="15" t="s">
        <v>164</v>
      </c>
      <c r="B148" s="23" t="s">
        <v>200</v>
      </c>
      <c r="C148" s="23" t="s">
        <v>120</v>
      </c>
      <c r="D148" s="19">
        <v>45048</v>
      </c>
      <c r="E148" s="17">
        <v>189</v>
      </c>
      <c r="F148" s="15"/>
      <c r="G148" s="15"/>
      <c r="H148" s="15">
        <v>91</v>
      </c>
      <c r="I148" s="18">
        <v>1.1499999999999999</v>
      </c>
      <c r="J148" s="15">
        <v>24.4</v>
      </c>
      <c r="K148" s="15">
        <v>0</v>
      </c>
      <c r="L148" s="15">
        <v>100</v>
      </c>
      <c r="M148" s="15">
        <v>480</v>
      </c>
      <c r="N148" s="17">
        <v>5</v>
      </c>
      <c r="AC148" s="15"/>
      <c r="AE148" s="1">
        <v>1</v>
      </c>
      <c r="AL148" s="15"/>
      <c r="AM148" s="1">
        <v>1</v>
      </c>
      <c r="AR148" s="15"/>
      <c r="AS148" s="15"/>
      <c r="AV148" s="15"/>
      <c r="AX148" s="15"/>
      <c r="AY148" s="15">
        <v>1</v>
      </c>
      <c r="BI148" s="1">
        <v>1</v>
      </c>
      <c r="BL148" s="15"/>
      <c r="BQ148" s="15"/>
      <c r="BS148" s="15">
        <v>1</v>
      </c>
      <c r="BT148" s="15"/>
      <c r="BX148" s="15">
        <v>1</v>
      </c>
      <c r="CI148" s="1">
        <v>1</v>
      </c>
      <c r="CR148" s="15"/>
      <c r="CS148" s="15"/>
      <c r="CX148" s="15">
        <v>1</v>
      </c>
      <c r="CY148" s="15"/>
      <c r="DC148" s="15"/>
      <c r="DH148" s="1">
        <f t="shared" si="4"/>
        <v>8</v>
      </c>
      <c r="DI148" s="1">
        <f t="shared" si="5"/>
        <v>8</v>
      </c>
    </row>
    <row r="149" spans="1:113" ht="15.75" customHeight="1" x14ac:dyDescent="0.3">
      <c r="A149" s="15" t="s">
        <v>164</v>
      </c>
      <c r="B149" s="23" t="s">
        <v>200</v>
      </c>
      <c r="C149" s="23" t="s">
        <v>120</v>
      </c>
      <c r="D149" s="19" t="s">
        <v>166</v>
      </c>
      <c r="E149" s="17">
        <v>202</v>
      </c>
      <c r="F149" s="15"/>
      <c r="G149" s="15"/>
      <c r="H149" s="15">
        <v>94</v>
      </c>
      <c r="I149" s="18">
        <v>1.2</v>
      </c>
      <c r="J149" s="15">
        <v>24.4</v>
      </c>
      <c r="K149" s="15">
        <v>0</v>
      </c>
      <c r="L149" s="15">
        <v>100</v>
      </c>
      <c r="M149" s="15"/>
      <c r="N149" s="17">
        <v>5</v>
      </c>
      <c r="AC149" s="15"/>
      <c r="AL149" s="15"/>
      <c r="AR149" s="15"/>
      <c r="AS149" s="15"/>
      <c r="AV149" s="15"/>
      <c r="AX149" s="15"/>
      <c r="AY149" s="15"/>
      <c r="BL149" s="15"/>
      <c r="BQ149" s="15"/>
      <c r="BS149" s="15"/>
      <c r="BT149" s="15"/>
      <c r="BX149" s="15"/>
      <c r="CI149" s="1">
        <v>1</v>
      </c>
      <c r="CR149" s="15"/>
      <c r="CS149" s="15"/>
      <c r="CX149" s="15"/>
      <c r="CY149" s="15"/>
      <c r="DC149" s="15"/>
      <c r="DH149" s="1">
        <f t="shared" si="4"/>
        <v>1</v>
      </c>
      <c r="DI149" s="1">
        <f t="shared" si="5"/>
        <v>1</v>
      </c>
    </row>
    <row r="150" spans="1:113" ht="15.75" customHeight="1" x14ac:dyDescent="0.3">
      <c r="A150" s="15" t="s">
        <v>164</v>
      </c>
      <c r="B150" s="23" t="s">
        <v>200</v>
      </c>
      <c r="C150" s="23" t="s">
        <v>122</v>
      </c>
      <c r="D150" s="19">
        <v>44987</v>
      </c>
      <c r="E150" s="17">
        <v>187</v>
      </c>
      <c r="F150" s="15"/>
      <c r="G150" s="15"/>
      <c r="H150" s="15">
        <v>85</v>
      </c>
      <c r="I150" s="18">
        <v>1.3</v>
      </c>
      <c r="J150" s="15">
        <v>24.4</v>
      </c>
      <c r="K150" s="15">
        <v>0</v>
      </c>
      <c r="L150" s="15">
        <v>100</v>
      </c>
      <c r="M150" s="15"/>
      <c r="N150" s="17">
        <v>5</v>
      </c>
      <c r="AC150" s="15"/>
      <c r="AL150" s="15">
        <v>1</v>
      </c>
      <c r="AM150" s="1">
        <v>1</v>
      </c>
      <c r="AR150" s="15"/>
      <c r="AS150" s="15"/>
      <c r="AV150" s="15"/>
      <c r="AX150" s="15"/>
      <c r="AY150" s="15">
        <v>1</v>
      </c>
      <c r="BC150" s="1">
        <v>1</v>
      </c>
      <c r="BL150" s="15"/>
      <c r="BQ150" s="15"/>
      <c r="BS150" s="15">
        <v>1</v>
      </c>
      <c r="BT150" s="15"/>
      <c r="BX150" s="15"/>
      <c r="CF150" s="1">
        <v>1</v>
      </c>
      <c r="CH150" s="1">
        <v>1</v>
      </c>
      <c r="CR150" s="15"/>
      <c r="CS150" s="15"/>
      <c r="CU150" s="1">
        <v>1</v>
      </c>
      <c r="CX150" s="15"/>
      <c r="CY150" s="15"/>
      <c r="DC150" s="15"/>
      <c r="DH150" s="1">
        <f t="shared" si="4"/>
        <v>8</v>
      </c>
      <c r="DI150" s="1">
        <f t="shared" si="5"/>
        <v>8</v>
      </c>
    </row>
    <row r="151" spans="1:113" ht="15.75" customHeight="1" x14ac:dyDescent="0.3">
      <c r="A151" s="15" t="s">
        <v>164</v>
      </c>
      <c r="B151" s="23" t="s">
        <v>180</v>
      </c>
      <c r="C151" s="23" t="s">
        <v>120</v>
      </c>
      <c r="D151" s="19">
        <v>45018</v>
      </c>
      <c r="E151" s="17">
        <v>188</v>
      </c>
      <c r="F151" s="15"/>
      <c r="G151" s="15"/>
      <c r="H151" s="15">
        <v>91</v>
      </c>
      <c r="I151" s="18">
        <v>0.57999999999999996</v>
      </c>
      <c r="J151" s="15">
        <v>26.4</v>
      </c>
      <c r="K151" s="15">
        <v>0</v>
      </c>
      <c r="L151" s="15">
        <v>100</v>
      </c>
      <c r="M151" s="15">
        <v>780</v>
      </c>
      <c r="N151" s="17">
        <v>5</v>
      </c>
      <c r="P151" s="1">
        <v>1</v>
      </c>
      <c r="Q151" s="1">
        <v>1</v>
      </c>
      <c r="AC151" s="15"/>
      <c r="AE151" s="1">
        <v>1</v>
      </c>
      <c r="AL151" s="15"/>
      <c r="AP151" s="1">
        <v>1</v>
      </c>
      <c r="AR151" s="15"/>
      <c r="AS151" s="15"/>
      <c r="AV151" s="15"/>
      <c r="AX151" s="15"/>
      <c r="AY151" s="15"/>
      <c r="AZ151" s="1">
        <v>1</v>
      </c>
      <c r="BB151" s="1">
        <v>1</v>
      </c>
      <c r="BL151" s="15"/>
      <c r="BQ151" s="15"/>
      <c r="BS151" s="15">
        <v>1</v>
      </c>
      <c r="BT151" s="15"/>
      <c r="BX151" s="15"/>
      <c r="CE151" s="1">
        <v>1</v>
      </c>
      <c r="CR151" s="15"/>
      <c r="CS151" s="15"/>
      <c r="CT151" s="1">
        <v>1</v>
      </c>
      <c r="CX151" s="15">
        <v>1</v>
      </c>
      <c r="CY151" s="15"/>
      <c r="DC151" s="15"/>
      <c r="DH151" s="1">
        <f t="shared" si="4"/>
        <v>10</v>
      </c>
      <c r="DI151" s="1">
        <f t="shared" si="5"/>
        <v>10</v>
      </c>
    </row>
    <row r="152" spans="1:113" ht="15.75" customHeight="1" x14ac:dyDescent="0.3">
      <c r="A152" s="15" t="s">
        <v>164</v>
      </c>
      <c r="B152" s="23" t="s">
        <v>180</v>
      </c>
      <c r="C152" s="23" t="s">
        <v>120</v>
      </c>
      <c r="D152" s="19">
        <v>45048</v>
      </c>
      <c r="E152" s="17">
        <v>189</v>
      </c>
      <c r="F152" s="15"/>
      <c r="G152" s="15"/>
      <c r="H152" s="15">
        <v>91</v>
      </c>
      <c r="I152" s="18">
        <v>0.81</v>
      </c>
      <c r="J152" s="15">
        <v>23.28</v>
      </c>
      <c r="K152" s="15">
        <v>0</v>
      </c>
      <c r="L152" s="15">
        <v>100</v>
      </c>
      <c r="M152" s="15">
        <v>480</v>
      </c>
      <c r="N152" s="17">
        <v>5</v>
      </c>
      <c r="AC152" s="15"/>
      <c r="AL152" s="15"/>
      <c r="AR152" s="15"/>
      <c r="AS152" s="15"/>
      <c r="AV152" s="15"/>
      <c r="AW152" s="1">
        <v>1</v>
      </c>
      <c r="AX152" s="15"/>
      <c r="AY152" s="15"/>
      <c r="BB152" s="1">
        <v>1</v>
      </c>
      <c r="BL152" s="15"/>
      <c r="BQ152" s="15"/>
      <c r="BS152" s="15"/>
      <c r="BT152" s="15"/>
      <c r="BX152" s="15"/>
      <c r="CH152" s="1">
        <v>1</v>
      </c>
      <c r="CR152" s="15"/>
      <c r="CS152" s="15"/>
      <c r="CU152" s="1">
        <v>1</v>
      </c>
      <c r="CX152" s="15">
        <v>1</v>
      </c>
      <c r="CY152" s="15"/>
      <c r="DC152" s="15"/>
      <c r="DH152" s="1">
        <f t="shared" si="4"/>
        <v>5</v>
      </c>
      <c r="DI152" s="1">
        <f t="shared" si="5"/>
        <v>5</v>
      </c>
    </row>
    <row r="153" spans="1:113" ht="15.75" customHeight="1" x14ac:dyDescent="0.3">
      <c r="A153" s="15" t="s">
        <v>164</v>
      </c>
      <c r="B153" s="23" t="s">
        <v>181</v>
      </c>
      <c r="C153" s="23" t="s">
        <v>120</v>
      </c>
      <c r="D153" s="19" t="s">
        <v>166</v>
      </c>
      <c r="E153" s="17">
        <v>202</v>
      </c>
      <c r="F153" s="15"/>
      <c r="G153" s="15"/>
      <c r="H153" s="15">
        <v>91</v>
      </c>
      <c r="I153" s="18">
        <v>0.81</v>
      </c>
      <c r="J153" s="15">
        <v>23.3</v>
      </c>
      <c r="K153" s="15">
        <v>0</v>
      </c>
      <c r="L153" s="15">
        <v>100</v>
      </c>
      <c r="M153" s="15"/>
      <c r="N153" s="17">
        <v>3</v>
      </c>
      <c r="AC153" s="15"/>
      <c r="AL153" s="15"/>
      <c r="AR153" s="15"/>
      <c r="AS153" s="15"/>
      <c r="AV153" s="15"/>
      <c r="AX153" s="15"/>
      <c r="AY153" s="15"/>
      <c r="BL153" s="15"/>
      <c r="BQ153" s="15"/>
      <c r="BS153" s="15"/>
      <c r="BT153" s="15"/>
      <c r="BX153" s="15"/>
      <c r="CJ153" s="1">
        <v>2</v>
      </c>
      <c r="CR153" s="15"/>
      <c r="CS153" s="15"/>
      <c r="CX153" s="15"/>
      <c r="CY153" s="15"/>
      <c r="DC153" s="15"/>
      <c r="DH153" s="1">
        <f t="shared" si="4"/>
        <v>1</v>
      </c>
      <c r="DI153" s="1">
        <f t="shared" si="5"/>
        <v>2</v>
      </c>
    </row>
    <row r="154" spans="1:113" ht="15.75" customHeight="1" x14ac:dyDescent="0.3">
      <c r="A154" s="15" t="s">
        <v>164</v>
      </c>
      <c r="B154" s="23" t="s">
        <v>181</v>
      </c>
      <c r="C154" s="23" t="s">
        <v>120</v>
      </c>
      <c r="D154" s="19">
        <v>45018</v>
      </c>
      <c r="E154" s="17">
        <v>188</v>
      </c>
      <c r="F154" s="15"/>
      <c r="G154" s="15"/>
      <c r="H154" s="15">
        <v>99</v>
      </c>
      <c r="I154" s="18">
        <v>85.6</v>
      </c>
      <c r="J154" s="15">
        <v>28.5</v>
      </c>
      <c r="K154" s="15">
        <v>1.2</v>
      </c>
      <c r="L154" s="15">
        <v>100</v>
      </c>
      <c r="M154" s="15">
        <v>780</v>
      </c>
      <c r="N154" s="17">
        <v>3</v>
      </c>
      <c r="AC154" s="15"/>
      <c r="AL154" s="15"/>
      <c r="AR154" s="15"/>
      <c r="AS154" s="15"/>
      <c r="AV154" s="15"/>
      <c r="AX154" s="15"/>
      <c r="AY154" s="15">
        <v>1</v>
      </c>
      <c r="BL154" s="15"/>
      <c r="BQ154" s="15"/>
      <c r="BS154" s="15"/>
      <c r="BT154" s="15"/>
      <c r="BX154" s="15"/>
      <c r="CR154" s="15"/>
      <c r="CS154" s="15"/>
      <c r="CX154" s="15"/>
      <c r="CY154" s="15"/>
      <c r="DC154" s="15"/>
      <c r="DH154" s="1">
        <f t="shared" si="4"/>
        <v>1</v>
      </c>
      <c r="DI154" s="1">
        <f t="shared" si="5"/>
        <v>1</v>
      </c>
    </row>
    <row r="155" spans="1:113" ht="15.75" customHeight="1" x14ac:dyDescent="0.3">
      <c r="A155" s="15" t="s">
        <v>164</v>
      </c>
      <c r="B155" s="23" t="s">
        <v>181</v>
      </c>
      <c r="C155" s="23" t="s">
        <v>120</v>
      </c>
      <c r="D155" s="19">
        <v>45048</v>
      </c>
      <c r="E155" s="17">
        <v>189</v>
      </c>
      <c r="F155" s="15"/>
      <c r="G155" s="15"/>
      <c r="H155" s="15">
        <v>91</v>
      </c>
      <c r="I155" s="18">
        <v>13.15</v>
      </c>
      <c r="J155" s="15">
        <v>26.13</v>
      </c>
      <c r="K155" s="15">
        <v>0</v>
      </c>
      <c r="L155" s="15">
        <v>100</v>
      </c>
      <c r="M155" s="15">
        <v>480</v>
      </c>
      <c r="N155" s="17">
        <v>3</v>
      </c>
      <c r="X155" s="1">
        <v>1</v>
      </c>
      <c r="AC155" s="15"/>
      <c r="AL155" s="15"/>
      <c r="AR155" s="15"/>
      <c r="AS155" s="15"/>
      <c r="AV155" s="15"/>
      <c r="AX155" s="15"/>
      <c r="AY155" s="15"/>
      <c r="BL155" s="15"/>
      <c r="BQ155" s="15"/>
      <c r="BS155" s="15"/>
      <c r="BT155" s="15"/>
      <c r="BX155" s="15"/>
      <c r="CF155" s="1">
        <v>1</v>
      </c>
      <c r="CR155" s="15"/>
      <c r="CS155" s="15"/>
      <c r="CT155" s="1">
        <v>1</v>
      </c>
      <c r="CX155" s="15"/>
      <c r="CY155" s="15"/>
      <c r="DC155" s="15"/>
      <c r="DH155" s="1">
        <f t="shared" si="4"/>
        <v>3</v>
      </c>
      <c r="DI155" s="1">
        <f t="shared" si="5"/>
        <v>3</v>
      </c>
    </row>
    <row r="156" spans="1:113" ht="15.75" customHeight="1" x14ac:dyDescent="0.3">
      <c r="A156" s="15" t="s">
        <v>164</v>
      </c>
      <c r="B156" s="23" t="s">
        <v>198</v>
      </c>
      <c r="C156" s="23" t="s">
        <v>122</v>
      </c>
      <c r="D156" s="19" t="s">
        <v>166</v>
      </c>
      <c r="E156" s="17">
        <v>202</v>
      </c>
      <c r="F156" s="15"/>
      <c r="G156" s="15"/>
      <c r="H156" s="15">
        <v>75</v>
      </c>
      <c r="I156" s="18">
        <v>17.2</v>
      </c>
      <c r="J156" s="15">
        <v>28</v>
      </c>
      <c r="K156" s="15">
        <v>0</v>
      </c>
      <c r="L156" s="15">
        <v>100</v>
      </c>
      <c r="M156" s="15"/>
      <c r="N156" s="17">
        <v>3</v>
      </c>
      <c r="AC156" s="15"/>
      <c r="AL156" s="15"/>
      <c r="AR156" s="15"/>
      <c r="AS156" s="15"/>
      <c r="AV156" s="15"/>
      <c r="AX156" s="15"/>
      <c r="AY156" s="15"/>
      <c r="BL156" s="15"/>
      <c r="BQ156" s="15"/>
      <c r="BS156" s="15"/>
      <c r="BT156" s="15"/>
      <c r="BX156" s="15"/>
      <c r="CJ156" s="1">
        <v>1</v>
      </c>
      <c r="CQ156" s="1">
        <v>1</v>
      </c>
      <c r="CR156" s="15"/>
      <c r="CS156" s="15"/>
      <c r="CX156" s="15"/>
      <c r="CY156" s="15"/>
      <c r="DC156" s="15"/>
      <c r="DH156" s="1">
        <f t="shared" si="4"/>
        <v>2</v>
      </c>
      <c r="DI156" s="1">
        <f t="shared" si="5"/>
        <v>2</v>
      </c>
    </row>
    <row r="157" spans="1:113" s="44" customFormat="1" ht="15.75" customHeight="1" x14ac:dyDescent="0.3">
      <c r="A157" s="39" t="s">
        <v>164</v>
      </c>
      <c r="B157" s="40" t="s">
        <v>198</v>
      </c>
      <c r="C157" s="40" t="s">
        <v>120</v>
      </c>
      <c r="D157" s="41">
        <v>45048</v>
      </c>
      <c r="E157" s="17">
        <v>189</v>
      </c>
      <c r="F157" s="39"/>
      <c r="G157" s="39"/>
      <c r="H157" s="39">
        <v>93</v>
      </c>
      <c r="I157" s="42">
        <v>14.5</v>
      </c>
      <c r="J157" s="39">
        <v>28.73</v>
      </c>
      <c r="K157" s="39">
        <v>0</v>
      </c>
      <c r="L157" s="39">
        <v>100</v>
      </c>
      <c r="M157" s="39">
        <v>480</v>
      </c>
      <c r="N157" s="43">
        <v>3</v>
      </c>
      <c r="AC157" s="39"/>
      <c r="AL157" s="39"/>
      <c r="AR157" s="39"/>
      <c r="AS157" s="39"/>
      <c r="AV157" s="39"/>
      <c r="AX157" s="39"/>
      <c r="AY157" s="39">
        <v>1</v>
      </c>
      <c r="BL157" s="39"/>
      <c r="BM157" s="44">
        <v>4</v>
      </c>
      <c r="BO157" s="44">
        <v>1</v>
      </c>
      <c r="BQ157" s="39"/>
      <c r="BS157" s="39">
        <v>1</v>
      </c>
      <c r="BT157" s="39"/>
      <c r="BX157" s="39"/>
      <c r="CF157" s="44">
        <v>1</v>
      </c>
      <c r="CI157" s="44">
        <v>1</v>
      </c>
      <c r="CR157" s="39"/>
      <c r="CS157" s="39"/>
      <c r="CX157" s="39"/>
      <c r="CY157" s="39"/>
      <c r="DC157" s="39"/>
      <c r="DH157" s="1">
        <f t="shared" si="4"/>
        <v>6</v>
      </c>
      <c r="DI157" s="1">
        <f t="shared" si="5"/>
        <v>9</v>
      </c>
    </row>
    <row r="158" spans="1:113" ht="15.75" customHeight="1" x14ac:dyDescent="0.3">
      <c r="A158" s="15" t="s">
        <v>164</v>
      </c>
      <c r="B158" s="23" t="s">
        <v>198</v>
      </c>
      <c r="C158" s="23" t="s">
        <v>122</v>
      </c>
      <c r="D158" s="19">
        <v>45018</v>
      </c>
      <c r="E158" s="17">
        <v>188</v>
      </c>
      <c r="F158" s="15"/>
      <c r="G158" s="15"/>
      <c r="H158" s="15">
        <v>74</v>
      </c>
      <c r="I158" s="18">
        <v>18</v>
      </c>
      <c r="J158" s="15">
        <v>28</v>
      </c>
      <c r="K158" s="15">
        <v>0</v>
      </c>
      <c r="L158" s="15">
        <v>2</v>
      </c>
      <c r="M158" s="15"/>
      <c r="N158" s="17">
        <v>3</v>
      </c>
      <c r="AC158" s="15"/>
      <c r="AL158" s="15"/>
      <c r="AR158" s="15"/>
      <c r="AS158" s="15"/>
      <c r="AV158" s="15"/>
      <c r="AX158" s="15"/>
      <c r="AY158" s="15"/>
      <c r="BL158" s="15"/>
      <c r="BM158" s="1">
        <v>1</v>
      </c>
      <c r="BO158" s="1">
        <v>1</v>
      </c>
      <c r="BQ158" s="15"/>
      <c r="BS158" s="15"/>
      <c r="BT158" s="15"/>
      <c r="BX158" s="15"/>
      <c r="CR158" s="15"/>
      <c r="CS158" s="15"/>
      <c r="CX158" s="15"/>
      <c r="CY158" s="15"/>
      <c r="DC158" s="15"/>
      <c r="DH158" s="1">
        <f t="shared" si="4"/>
        <v>2</v>
      </c>
      <c r="DI158" s="1">
        <f t="shared" si="5"/>
        <v>2</v>
      </c>
    </row>
    <row r="159" spans="1:113" ht="15.75" customHeight="1" x14ac:dyDescent="0.3">
      <c r="A159" s="15" t="s">
        <v>164</v>
      </c>
      <c r="B159" s="23" t="s">
        <v>199</v>
      </c>
      <c r="C159" s="16" t="s">
        <v>120</v>
      </c>
      <c r="D159" s="19">
        <v>45048</v>
      </c>
      <c r="E159" s="17">
        <v>189</v>
      </c>
      <c r="F159" s="18">
        <v>11.2</v>
      </c>
      <c r="G159" s="18">
        <v>11.2</v>
      </c>
      <c r="H159" s="15">
        <v>92</v>
      </c>
      <c r="I159" s="18">
        <v>97.97</v>
      </c>
      <c r="J159" s="15">
        <v>28.73</v>
      </c>
      <c r="K159" s="15">
        <v>0.97</v>
      </c>
      <c r="L159" s="15">
        <v>100</v>
      </c>
      <c r="M159" s="15">
        <v>480</v>
      </c>
      <c r="N159" s="17">
        <v>2</v>
      </c>
      <c r="AC159" s="15"/>
      <c r="AL159" s="15"/>
      <c r="AR159" s="15"/>
      <c r="AS159" s="15"/>
      <c r="AV159" s="15"/>
      <c r="AX159" s="15"/>
      <c r="AY159" s="15"/>
      <c r="BL159" s="15"/>
      <c r="BQ159" s="15"/>
      <c r="BS159" s="15"/>
      <c r="BT159" s="15"/>
      <c r="BX159" s="15"/>
      <c r="CR159" s="15"/>
      <c r="CS159" s="15"/>
      <c r="CX159" s="15"/>
      <c r="CY159" s="15"/>
      <c r="DC159" s="15"/>
      <c r="DH159" s="1">
        <f t="shared" si="4"/>
        <v>0</v>
      </c>
      <c r="DI159" s="1">
        <f t="shared" si="5"/>
        <v>0</v>
      </c>
    </row>
    <row r="160" spans="1:113" ht="15.75" customHeight="1" x14ac:dyDescent="0.3">
      <c r="A160" s="15" t="s">
        <v>164</v>
      </c>
      <c r="B160" s="23" t="s">
        <v>199</v>
      </c>
      <c r="C160" s="23" t="s">
        <v>120</v>
      </c>
      <c r="D160" s="19">
        <v>45079</v>
      </c>
      <c r="E160" s="17">
        <v>190</v>
      </c>
      <c r="F160" s="18">
        <v>11.2</v>
      </c>
      <c r="G160" s="18">
        <v>11.2</v>
      </c>
      <c r="H160" s="15">
        <v>86.5</v>
      </c>
      <c r="I160" s="18">
        <v>33.18</v>
      </c>
      <c r="J160" s="15">
        <v>25.7</v>
      </c>
      <c r="K160" s="15">
        <v>1.2</v>
      </c>
      <c r="L160" s="15">
        <v>100</v>
      </c>
      <c r="M160" s="15"/>
      <c r="N160" s="17">
        <v>2</v>
      </c>
      <c r="Y160" s="1">
        <v>1</v>
      </c>
      <c r="AC160" s="15"/>
      <c r="AL160" s="15"/>
      <c r="AR160" s="15"/>
      <c r="AS160" s="15"/>
      <c r="AV160" s="15"/>
      <c r="AX160" s="15"/>
      <c r="AY160" s="15"/>
      <c r="BL160" s="15"/>
      <c r="BM160" s="1">
        <v>3</v>
      </c>
      <c r="BO160" s="1">
        <v>2</v>
      </c>
      <c r="BQ160" s="15"/>
      <c r="BS160" s="15"/>
      <c r="BT160" s="15"/>
      <c r="BX160" s="15"/>
      <c r="CR160" s="15"/>
      <c r="CS160" s="15"/>
      <c r="CX160" s="15"/>
      <c r="CY160" s="15"/>
      <c r="DC160" s="15"/>
      <c r="DH160" s="1">
        <f t="shared" si="4"/>
        <v>3</v>
      </c>
      <c r="DI160" s="1">
        <f t="shared" si="5"/>
        <v>6</v>
      </c>
    </row>
    <row r="161" spans="1:113" ht="15.75" customHeight="1" x14ac:dyDescent="0.3">
      <c r="A161" s="15" t="s">
        <v>164</v>
      </c>
      <c r="B161" s="23" t="s">
        <v>199</v>
      </c>
      <c r="C161" s="23" t="s">
        <v>122</v>
      </c>
      <c r="D161" s="19">
        <v>45018</v>
      </c>
      <c r="E161" s="17">
        <v>188</v>
      </c>
      <c r="F161" s="15"/>
      <c r="G161" s="15"/>
      <c r="H161" s="15">
        <v>70</v>
      </c>
      <c r="I161" s="18">
        <v>5.91</v>
      </c>
      <c r="J161" s="15">
        <v>20.5</v>
      </c>
      <c r="K161" s="15">
        <v>1.5</v>
      </c>
      <c r="L161" s="15">
        <v>2</v>
      </c>
      <c r="M161" s="15"/>
      <c r="N161" s="17">
        <v>2</v>
      </c>
      <c r="AC161" s="15"/>
      <c r="AJ161" s="1">
        <v>1</v>
      </c>
      <c r="AL161" s="15"/>
      <c r="AR161" s="15"/>
      <c r="AS161" s="15"/>
      <c r="AV161" s="15"/>
      <c r="AX161" s="15"/>
      <c r="AY161" s="15"/>
      <c r="BH161" s="1">
        <v>1</v>
      </c>
      <c r="BL161" s="15"/>
      <c r="BQ161" s="15"/>
      <c r="BS161" s="15"/>
      <c r="BT161" s="15">
        <v>1</v>
      </c>
      <c r="BX161" s="15"/>
      <c r="CR161" s="15"/>
      <c r="CS161" s="15"/>
      <c r="CX161" s="15"/>
      <c r="CY161" s="15"/>
      <c r="DC161" s="15"/>
      <c r="DH161" s="1">
        <f t="shared" si="4"/>
        <v>3</v>
      </c>
      <c r="DI161" s="1">
        <f t="shared" si="5"/>
        <v>3</v>
      </c>
    </row>
    <row r="162" spans="1:113" ht="15.75" customHeight="1" x14ac:dyDescent="0.3">
      <c r="A162" s="15" t="s">
        <v>164</v>
      </c>
      <c r="B162" s="23" t="s">
        <v>183</v>
      </c>
      <c r="C162" s="23" t="s">
        <v>120</v>
      </c>
      <c r="D162" s="19">
        <v>45079</v>
      </c>
      <c r="E162" s="17">
        <v>190</v>
      </c>
      <c r="F162" s="15"/>
      <c r="G162" s="15"/>
      <c r="H162" s="15">
        <v>89</v>
      </c>
      <c r="I162" s="18">
        <v>7.61</v>
      </c>
      <c r="J162" s="15">
        <v>23.8</v>
      </c>
      <c r="K162" s="15">
        <v>0.75</v>
      </c>
      <c r="L162" s="15">
        <v>100</v>
      </c>
      <c r="M162" s="15"/>
      <c r="N162" s="17">
        <v>3</v>
      </c>
      <c r="AC162" s="15"/>
      <c r="AL162" s="15"/>
      <c r="AR162" s="15"/>
      <c r="AS162" s="15"/>
      <c r="AU162" s="1">
        <v>2</v>
      </c>
      <c r="AV162" s="15"/>
      <c r="AX162" s="15"/>
      <c r="AY162" s="15"/>
      <c r="BL162" s="15"/>
      <c r="BM162" s="1">
        <v>3</v>
      </c>
      <c r="BO162" s="1">
        <v>3</v>
      </c>
      <c r="BQ162" s="15"/>
      <c r="BS162" s="15"/>
      <c r="BT162" s="15"/>
      <c r="BX162" s="15"/>
      <c r="CD162" s="1">
        <v>1</v>
      </c>
      <c r="CR162" s="15"/>
      <c r="CS162" s="15"/>
      <c r="CU162" s="1">
        <v>1</v>
      </c>
      <c r="CX162" s="15"/>
      <c r="CY162" s="15"/>
      <c r="DC162" s="15"/>
      <c r="DH162" s="1">
        <f t="shared" si="4"/>
        <v>5</v>
      </c>
      <c r="DI162" s="1">
        <f t="shared" si="5"/>
        <v>10</v>
      </c>
    </row>
    <row r="163" spans="1:113" ht="15.75" customHeight="1" x14ac:dyDescent="0.3">
      <c r="A163" s="15" t="s">
        <v>164</v>
      </c>
      <c r="B163" s="23" t="s">
        <v>183</v>
      </c>
      <c r="C163" s="23" t="s">
        <v>122</v>
      </c>
      <c r="D163" s="19">
        <v>45048</v>
      </c>
      <c r="E163" s="17">
        <v>189</v>
      </c>
      <c r="F163" s="15"/>
      <c r="G163" s="15"/>
      <c r="H163" s="15">
        <v>81</v>
      </c>
      <c r="I163" s="18">
        <v>5.23</v>
      </c>
      <c r="J163" s="15">
        <v>27.03</v>
      </c>
      <c r="K163" s="15">
        <v>0</v>
      </c>
      <c r="L163" s="15">
        <v>100</v>
      </c>
      <c r="M163" s="15">
        <v>480</v>
      </c>
      <c r="N163" s="17">
        <v>3</v>
      </c>
      <c r="V163" s="1">
        <v>1</v>
      </c>
      <c r="X163" s="1">
        <v>2</v>
      </c>
      <c r="Y163" s="1">
        <v>1</v>
      </c>
      <c r="AC163" s="15"/>
      <c r="AL163" s="15"/>
      <c r="AR163" s="15"/>
      <c r="AS163" s="15"/>
      <c r="AU163" s="1">
        <v>1</v>
      </c>
      <c r="AV163" s="15"/>
      <c r="AX163" s="15"/>
      <c r="AY163" s="15"/>
      <c r="BL163" s="15"/>
      <c r="BQ163" s="15"/>
      <c r="BS163" s="15"/>
      <c r="BT163" s="15"/>
      <c r="BX163" s="15"/>
      <c r="CR163" s="15"/>
      <c r="CS163" s="15"/>
      <c r="CX163" s="15"/>
      <c r="CY163" s="15"/>
      <c r="DC163" s="15"/>
      <c r="DH163" s="1">
        <f t="shared" si="4"/>
        <v>4</v>
      </c>
      <c r="DI163" s="1">
        <f t="shared" si="5"/>
        <v>5</v>
      </c>
    </row>
    <row r="164" spans="1:113" ht="15.75" customHeight="1" x14ac:dyDescent="0.3">
      <c r="A164" s="15" t="s">
        <v>164</v>
      </c>
      <c r="B164" s="23" t="s">
        <v>185</v>
      </c>
      <c r="C164" s="23" t="s">
        <v>120</v>
      </c>
      <c r="D164" s="19">
        <v>45079</v>
      </c>
      <c r="E164" s="17">
        <v>190</v>
      </c>
      <c r="F164" s="15"/>
      <c r="G164" s="15"/>
      <c r="H164" s="15">
        <v>88</v>
      </c>
      <c r="I164" s="18">
        <v>24.87</v>
      </c>
      <c r="J164" s="15">
        <v>23.25</v>
      </c>
      <c r="K164" s="15">
        <v>0.45</v>
      </c>
      <c r="L164" s="15">
        <v>100</v>
      </c>
      <c r="M164" s="15"/>
      <c r="N164" s="17">
        <v>1</v>
      </c>
      <c r="AC164" s="15"/>
      <c r="AL164" s="15"/>
      <c r="AR164" s="15"/>
      <c r="AS164" s="15"/>
      <c r="AU164" s="1">
        <v>1</v>
      </c>
      <c r="AV164" s="15"/>
      <c r="AX164" s="15"/>
      <c r="AY164" s="15"/>
      <c r="BL164" s="15"/>
      <c r="BQ164" s="15"/>
      <c r="BS164" s="15"/>
      <c r="BT164" s="15"/>
      <c r="BX164" s="15"/>
      <c r="CR164" s="15"/>
      <c r="CS164" s="15"/>
      <c r="CX164" s="15"/>
      <c r="CY164" s="15"/>
      <c r="DC164" s="15"/>
      <c r="DH164" s="1">
        <f t="shared" si="4"/>
        <v>1</v>
      </c>
      <c r="DI164" s="1">
        <f t="shared" si="5"/>
        <v>1</v>
      </c>
    </row>
    <row r="165" spans="1:113" ht="15.75" customHeight="1" x14ac:dyDescent="0.3">
      <c r="A165" s="15" t="s">
        <v>164</v>
      </c>
      <c r="B165" s="23" t="s">
        <v>185</v>
      </c>
      <c r="C165" s="23" t="s">
        <v>122</v>
      </c>
      <c r="D165" s="19">
        <v>45048</v>
      </c>
      <c r="E165" s="17">
        <v>189</v>
      </c>
      <c r="F165" s="15"/>
      <c r="G165" s="15"/>
      <c r="H165" s="15">
        <v>72</v>
      </c>
      <c r="I165" s="18">
        <v>4.6399999999999997</v>
      </c>
      <c r="J165" s="15">
        <v>24.9</v>
      </c>
      <c r="K165" s="15">
        <v>3.17</v>
      </c>
      <c r="L165" s="15">
        <v>100</v>
      </c>
      <c r="M165" s="15">
        <v>480</v>
      </c>
      <c r="N165" s="17">
        <v>1</v>
      </c>
      <c r="AC165" s="15"/>
      <c r="AL165" s="15"/>
      <c r="AR165" s="15"/>
      <c r="AS165" s="15"/>
      <c r="AU165" s="1">
        <v>1</v>
      </c>
      <c r="AV165" s="15"/>
      <c r="AX165" s="15"/>
      <c r="AY165" s="15"/>
      <c r="BL165" s="15"/>
      <c r="BM165" s="1">
        <v>3</v>
      </c>
      <c r="BQ165" s="15"/>
      <c r="BS165" s="15"/>
      <c r="BT165" s="15"/>
      <c r="BX165" s="15"/>
      <c r="CR165" s="15"/>
      <c r="CS165" s="15"/>
      <c r="CX165" s="15"/>
      <c r="CY165" s="15"/>
      <c r="DC165" s="15"/>
      <c r="DH165" s="1">
        <f t="shared" si="4"/>
        <v>2</v>
      </c>
      <c r="DI165" s="1">
        <f t="shared" si="5"/>
        <v>4</v>
      </c>
    </row>
    <row r="166" spans="1:113" ht="15.75" customHeight="1" x14ac:dyDescent="0.3">
      <c r="A166" s="15" t="s">
        <v>164</v>
      </c>
      <c r="B166" s="23" t="s">
        <v>186</v>
      </c>
      <c r="C166" s="23" t="s">
        <v>120</v>
      </c>
      <c r="D166" s="19">
        <v>45079</v>
      </c>
      <c r="E166" s="17">
        <v>190</v>
      </c>
      <c r="F166" s="15"/>
      <c r="G166" s="15"/>
      <c r="H166" s="15">
        <v>86</v>
      </c>
      <c r="I166" s="18">
        <v>0.14000000000000001</v>
      </c>
      <c r="J166" s="15">
        <v>18.55</v>
      </c>
      <c r="K166" s="15">
        <v>0</v>
      </c>
      <c r="L166" s="15">
        <v>100</v>
      </c>
      <c r="M166" s="15"/>
      <c r="N166" s="17">
        <v>6</v>
      </c>
      <c r="Q166" s="1">
        <v>1</v>
      </c>
      <c r="AC166" s="15"/>
      <c r="AL166" s="15"/>
      <c r="AR166" s="15"/>
      <c r="AS166" s="15"/>
      <c r="AV166" s="15"/>
      <c r="AX166" s="15"/>
      <c r="AY166" s="15"/>
      <c r="BL166" s="15"/>
      <c r="BQ166" s="15"/>
      <c r="BS166" s="15"/>
      <c r="BT166" s="15"/>
      <c r="BX166" s="15"/>
      <c r="CI166" s="1">
        <v>1</v>
      </c>
      <c r="CJ166" s="1">
        <v>1</v>
      </c>
      <c r="CQ166" s="1">
        <v>1</v>
      </c>
      <c r="CR166" s="15"/>
      <c r="CS166" s="15"/>
      <c r="CT166" s="1">
        <v>1</v>
      </c>
      <c r="CX166" s="15"/>
      <c r="CY166" s="15"/>
      <c r="DC166" s="15"/>
      <c r="DH166" s="1">
        <f t="shared" si="4"/>
        <v>5</v>
      </c>
      <c r="DI166" s="1">
        <f t="shared" si="5"/>
        <v>5</v>
      </c>
    </row>
    <row r="167" spans="1:113" ht="15.75" customHeight="1" x14ac:dyDescent="0.3">
      <c r="A167" s="15" t="s">
        <v>164</v>
      </c>
      <c r="B167" s="23" t="s">
        <v>186</v>
      </c>
      <c r="C167" s="23" t="s">
        <v>120</v>
      </c>
      <c r="D167" s="19" t="s">
        <v>167</v>
      </c>
      <c r="E167" s="17">
        <v>201</v>
      </c>
      <c r="F167" s="15"/>
      <c r="G167" s="15"/>
      <c r="H167" s="15">
        <v>87</v>
      </c>
      <c r="I167" s="18">
        <v>0.15</v>
      </c>
      <c r="J167" s="15">
        <v>15.2</v>
      </c>
      <c r="K167" s="15">
        <v>0</v>
      </c>
      <c r="L167" s="15">
        <v>100</v>
      </c>
      <c r="M167" s="15"/>
      <c r="N167" s="17">
        <v>6</v>
      </c>
      <c r="AC167" s="15"/>
      <c r="AL167" s="15"/>
      <c r="AR167" s="15"/>
      <c r="AS167" s="15"/>
      <c r="AV167" s="15"/>
      <c r="AX167" s="15"/>
      <c r="AY167" s="15">
        <v>1</v>
      </c>
      <c r="BL167" s="15"/>
      <c r="BQ167" s="15"/>
      <c r="BS167" s="15"/>
      <c r="BT167" s="15"/>
      <c r="BX167" s="15"/>
      <c r="CI167" s="1">
        <v>1</v>
      </c>
      <c r="CR167" s="15"/>
      <c r="CS167" s="15"/>
      <c r="CX167" s="15"/>
      <c r="CY167" s="15"/>
      <c r="DC167" s="15"/>
      <c r="DG167" s="1">
        <v>1</v>
      </c>
      <c r="DH167" s="1">
        <f t="shared" si="4"/>
        <v>3</v>
      </c>
      <c r="DI167" s="1">
        <f t="shared" si="5"/>
        <v>3</v>
      </c>
    </row>
    <row r="168" spans="1:113" ht="15.75" customHeight="1" x14ac:dyDescent="0.3">
      <c r="A168" s="15" t="s">
        <v>164</v>
      </c>
      <c r="B168" s="23" t="s">
        <v>186</v>
      </c>
      <c r="C168" s="16" t="s">
        <v>122</v>
      </c>
      <c r="D168" s="19">
        <v>45048</v>
      </c>
      <c r="E168" s="17">
        <v>189</v>
      </c>
      <c r="F168" s="15"/>
      <c r="G168" s="15"/>
      <c r="H168" s="15">
        <v>83</v>
      </c>
      <c r="I168" s="18">
        <v>0.20499999999999999</v>
      </c>
      <c r="J168" s="15">
        <v>24.8</v>
      </c>
      <c r="K168" s="15">
        <v>0</v>
      </c>
      <c r="L168" s="15">
        <v>100</v>
      </c>
      <c r="M168" s="15">
        <v>480</v>
      </c>
      <c r="N168" s="17">
        <v>6</v>
      </c>
      <c r="AC168" s="15"/>
      <c r="AL168" s="15"/>
      <c r="AR168" s="15"/>
      <c r="AS168" s="15"/>
      <c r="AV168" s="15"/>
      <c r="AX168" s="15"/>
      <c r="AY168" s="15"/>
      <c r="BL168" s="15"/>
      <c r="BQ168" s="15"/>
      <c r="BS168" s="15"/>
      <c r="BT168" s="15"/>
      <c r="BX168" s="15"/>
      <c r="CR168" s="15"/>
      <c r="CS168" s="15"/>
      <c r="CX168" s="15"/>
      <c r="CY168" s="15"/>
      <c r="DC168" s="15"/>
      <c r="DH168" s="1">
        <f t="shared" si="4"/>
        <v>0</v>
      </c>
      <c r="DI168" s="1">
        <f t="shared" si="5"/>
        <v>0</v>
      </c>
    </row>
    <row r="169" spans="1:113" ht="15.75" customHeight="1" x14ac:dyDescent="0.3">
      <c r="A169" s="15"/>
      <c r="B169" s="15"/>
      <c r="C169" s="15"/>
      <c r="D169" s="15"/>
      <c r="E169" s="17"/>
      <c r="F169" s="15"/>
      <c r="G169" s="15"/>
      <c r="H169" s="15"/>
      <c r="I169" s="18"/>
      <c r="J169" s="15"/>
      <c r="K169" s="15"/>
      <c r="L169" s="15"/>
      <c r="M169" s="15"/>
      <c r="N169" s="17"/>
      <c r="AC169" s="15"/>
      <c r="AL169" s="15"/>
      <c r="AR169" s="15"/>
      <c r="AS169" s="15"/>
      <c r="AV169" s="15"/>
      <c r="AX169" s="15"/>
      <c r="AY169" s="15"/>
      <c r="BL169" s="15"/>
      <c r="BQ169" s="15"/>
      <c r="BS169" s="15"/>
      <c r="BT169" s="15"/>
      <c r="BX169" s="15"/>
      <c r="CR169" s="15"/>
      <c r="CS169" s="15"/>
      <c r="CX169" s="15"/>
      <c r="CY169" s="15"/>
      <c r="DC169" s="15"/>
      <c r="DH169" s="1">
        <f t="shared" si="4"/>
        <v>0</v>
      </c>
      <c r="DI169" s="1">
        <f t="shared" si="5"/>
        <v>0</v>
      </c>
    </row>
    <row r="170" spans="1:113" ht="15.75" customHeight="1" x14ac:dyDescent="0.3">
      <c r="A170" s="15" t="s">
        <v>168</v>
      </c>
      <c r="B170" s="15" t="s">
        <v>176</v>
      </c>
      <c r="C170" s="15" t="s">
        <v>120</v>
      </c>
      <c r="D170" s="15" t="s">
        <v>169</v>
      </c>
      <c r="E170" s="17">
        <v>228</v>
      </c>
      <c r="F170" s="15"/>
      <c r="G170" s="15"/>
      <c r="H170" s="15">
        <v>92</v>
      </c>
      <c r="I170" s="18">
        <v>0.14000000000000001</v>
      </c>
      <c r="J170" s="15">
        <v>22.5</v>
      </c>
      <c r="K170" s="15">
        <v>0</v>
      </c>
      <c r="L170" s="15">
        <v>100</v>
      </c>
      <c r="M170" s="15">
        <v>480</v>
      </c>
      <c r="N170" s="17">
        <v>4</v>
      </c>
      <c r="AC170" s="15">
        <v>1</v>
      </c>
      <c r="AE170" s="1">
        <v>1</v>
      </c>
      <c r="AL170" s="15"/>
      <c r="AR170" s="15"/>
      <c r="AS170" s="15"/>
      <c r="AV170" s="15"/>
      <c r="AX170" s="15"/>
      <c r="AY170" s="15"/>
      <c r="BI170" s="1">
        <v>1</v>
      </c>
      <c r="BL170" s="15">
        <v>1</v>
      </c>
      <c r="BQ170" s="15"/>
      <c r="BS170" s="15"/>
      <c r="BT170" s="15">
        <v>2</v>
      </c>
      <c r="BX170" s="15"/>
      <c r="CM170" s="1">
        <v>5</v>
      </c>
      <c r="CR170" s="15"/>
      <c r="CS170" s="15"/>
      <c r="CX170" s="15"/>
      <c r="CY170" s="15"/>
      <c r="DC170" s="15"/>
      <c r="DH170" s="1">
        <f t="shared" si="4"/>
        <v>6</v>
      </c>
      <c r="DI170" s="1">
        <f t="shared" si="5"/>
        <v>11</v>
      </c>
    </row>
    <row r="171" spans="1:113" ht="15.75" customHeight="1" x14ac:dyDescent="0.3">
      <c r="A171" s="15" t="s">
        <v>168</v>
      </c>
      <c r="B171" s="15" t="s">
        <v>176</v>
      </c>
      <c r="C171" s="15" t="s">
        <v>120</v>
      </c>
      <c r="D171" s="15" t="s">
        <v>170</v>
      </c>
      <c r="E171" s="17">
        <v>225</v>
      </c>
      <c r="F171" s="15"/>
      <c r="G171" s="15"/>
      <c r="H171" s="15">
        <v>92</v>
      </c>
      <c r="I171" s="18">
        <v>0.14000000000000001</v>
      </c>
      <c r="J171" s="15">
        <v>22.5</v>
      </c>
      <c r="K171" s="15">
        <v>0</v>
      </c>
      <c r="L171" s="15">
        <v>60</v>
      </c>
      <c r="M171" s="15"/>
      <c r="N171" s="17">
        <v>4</v>
      </c>
      <c r="AC171" s="15"/>
      <c r="AL171" s="15"/>
      <c r="AR171" s="15"/>
      <c r="AS171" s="15"/>
      <c r="AV171" s="15"/>
      <c r="AX171" s="15"/>
      <c r="AY171" s="15"/>
      <c r="BL171" s="15"/>
      <c r="BQ171" s="15"/>
      <c r="BS171" s="15"/>
      <c r="BT171" s="15"/>
      <c r="BX171" s="15"/>
      <c r="CR171" s="15"/>
      <c r="CS171" s="15"/>
      <c r="CX171" s="15"/>
      <c r="CY171" s="15"/>
      <c r="DC171" s="15"/>
      <c r="DD171" s="1">
        <v>2</v>
      </c>
      <c r="DH171" s="1">
        <f t="shared" si="4"/>
        <v>1</v>
      </c>
      <c r="DI171" s="1">
        <f t="shared" si="5"/>
        <v>2</v>
      </c>
    </row>
    <row r="172" spans="1:113" ht="15.75" customHeight="1" x14ac:dyDescent="0.3">
      <c r="A172" s="15" t="s">
        <v>168</v>
      </c>
      <c r="B172" s="15" t="s">
        <v>177</v>
      </c>
      <c r="C172" s="15" t="s">
        <v>120</v>
      </c>
      <c r="D172" s="15" t="s">
        <v>169</v>
      </c>
      <c r="E172" s="17">
        <v>228</v>
      </c>
      <c r="F172" s="15"/>
      <c r="G172" s="15"/>
      <c r="H172" s="15">
        <v>97</v>
      </c>
      <c r="I172" s="18">
        <v>4.5999999999999996</v>
      </c>
      <c r="J172" s="15">
        <v>24.3</v>
      </c>
      <c r="K172" s="15">
        <v>0</v>
      </c>
      <c r="L172" s="15">
        <v>100</v>
      </c>
      <c r="M172" s="15">
        <v>480</v>
      </c>
      <c r="N172" s="17">
        <v>3</v>
      </c>
      <c r="AC172" s="15">
        <v>1</v>
      </c>
      <c r="AE172" s="1">
        <v>1</v>
      </c>
      <c r="AL172" s="15"/>
      <c r="AR172" s="15"/>
      <c r="AS172" s="15"/>
      <c r="AV172" s="15"/>
      <c r="AX172" s="15"/>
      <c r="AY172" s="15">
        <v>1</v>
      </c>
      <c r="AZ172" s="1">
        <v>1</v>
      </c>
      <c r="BI172" s="1">
        <v>1</v>
      </c>
      <c r="BL172" s="15">
        <v>2</v>
      </c>
      <c r="BQ172" s="15"/>
      <c r="BS172" s="15">
        <v>1</v>
      </c>
      <c r="BT172" s="15"/>
      <c r="BV172" s="1">
        <v>1</v>
      </c>
      <c r="BX172" s="15">
        <v>1</v>
      </c>
      <c r="CA172" s="1">
        <v>1</v>
      </c>
      <c r="CC172" s="1">
        <v>2</v>
      </c>
      <c r="CF172" s="1">
        <v>1</v>
      </c>
      <c r="CI172" s="1">
        <v>1</v>
      </c>
      <c r="CM172" s="1">
        <v>3</v>
      </c>
      <c r="CR172" s="15"/>
      <c r="CS172" s="15"/>
      <c r="CT172" s="1">
        <v>1</v>
      </c>
      <c r="CX172" s="15">
        <v>1</v>
      </c>
      <c r="CY172" s="15"/>
      <c r="DC172" s="15"/>
      <c r="DD172" s="1">
        <v>4</v>
      </c>
      <c r="DH172" s="1">
        <f t="shared" si="4"/>
        <v>17</v>
      </c>
      <c r="DI172" s="1">
        <f t="shared" si="5"/>
        <v>24</v>
      </c>
    </row>
    <row r="173" spans="1:113" ht="15.75" customHeight="1" x14ac:dyDescent="0.3">
      <c r="A173" s="15" t="s">
        <v>168</v>
      </c>
      <c r="B173" s="15" t="s">
        <v>200</v>
      </c>
      <c r="C173" s="15" t="s">
        <v>120</v>
      </c>
      <c r="D173" s="15" t="s">
        <v>170</v>
      </c>
      <c r="E173" s="17">
        <v>225</v>
      </c>
      <c r="F173" s="15"/>
      <c r="G173" s="15"/>
      <c r="H173" s="15">
        <v>99</v>
      </c>
      <c r="I173" s="18">
        <v>24.2</v>
      </c>
      <c r="J173" s="15">
        <v>26.1</v>
      </c>
      <c r="K173" s="15">
        <v>0</v>
      </c>
      <c r="L173" s="15">
        <v>60</v>
      </c>
      <c r="M173" s="15"/>
      <c r="N173" s="17">
        <v>5</v>
      </c>
      <c r="AC173" s="15"/>
      <c r="AL173" s="15"/>
      <c r="AR173" s="15"/>
      <c r="AS173" s="15"/>
      <c r="AV173" s="15"/>
      <c r="AX173" s="15"/>
      <c r="AY173" s="15"/>
      <c r="BL173" s="15"/>
      <c r="BQ173" s="15"/>
      <c r="BS173" s="15"/>
      <c r="BT173" s="15"/>
      <c r="BX173" s="15"/>
      <c r="CJ173" s="1">
        <v>1</v>
      </c>
      <c r="CR173" s="15"/>
      <c r="CS173" s="15"/>
      <c r="CX173" s="15"/>
      <c r="CY173" s="15"/>
      <c r="DC173" s="15"/>
      <c r="DH173" s="1">
        <f t="shared" si="4"/>
        <v>1</v>
      </c>
      <c r="DI173" s="1">
        <f t="shared" si="5"/>
        <v>1</v>
      </c>
    </row>
    <row r="174" spans="1:113" ht="15.75" customHeight="1" x14ac:dyDescent="0.3">
      <c r="A174" s="15" t="s">
        <v>168</v>
      </c>
      <c r="B174" s="15" t="s">
        <v>200</v>
      </c>
      <c r="C174" s="15" t="s">
        <v>120</v>
      </c>
      <c r="D174" s="15" t="s">
        <v>169</v>
      </c>
      <c r="E174" s="17">
        <v>228</v>
      </c>
      <c r="F174" s="15"/>
      <c r="G174" s="15"/>
      <c r="H174" s="15">
        <v>99</v>
      </c>
      <c r="I174" s="18">
        <v>24.2</v>
      </c>
      <c r="J174" s="15">
        <v>26.1</v>
      </c>
      <c r="K174" s="15">
        <v>0</v>
      </c>
      <c r="L174" s="15">
        <v>35</v>
      </c>
      <c r="M174" s="15">
        <v>480</v>
      </c>
      <c r="N174" s="17">
        <v>5</v>
      </c>
      <c r="AC174" s="15">
        <v>1</v>
      </c>
      <c r="AE174" s="1">
        <v>1</v>
      </c>
      <c r="AL174" s="15"/>
      <c r="AM174" s="1">
        <v>1</v>
      </c>
      <c r="AR174" s="15"/>
      <c r="AS174" s="15"/>
      <c r="AV174" s="15"/>
      <c r="AX174" s="15"/>
      <c r="AY174" s="15"/>
      <c r="AZ174" s="1">
        <v>1</v>
      </c>
      <c r="BA174" s="1">
        <v>1</v>
      </c>
      <c r="BI174" s="1">
        <v>1</v>
      </c>
      <c r="BL174" s="15"/>
      <c r="BQ174" s="15"/>
      <c r="BS174" s="15"/>
      <c r="BT174" s="15"/>
      <c r="BX174" s="15"/>
      <c r="CF174" s="1">
        <v>1</v>
      </c>
      <c r="CR174" s="15"/>
      <c r="CS174" s="15"/>
      <c r="CT174" s="1">
        <v>1</v>
      </c>
      <c r="CU174" s="1">
        <v>1</v>
      </c>
      <c r="CX174" s="15"/>
      <c r="CY174" s="15"/>
      <c r="CZ174" s="1">
        <v>1</v>
      </c>
      <c r="DC174" s="15"/>
      <c r="DG174" s="1">
        <v>1</v>
      </c>
      <c r="DH174" s="1">
        <f t="shared" si="4"/>
        <v>11</v>
      </c>
      <c r="DI174" s="1">
        <f t="shared" si="5"/>
        <v>11</v>
      </c>
    </row>
    <row r="175" spans="1:113" ht="15.75" customHeight="1" x14ac:dyDescent="0.3">
      <c r="A175" s="15" t="s">
        <v>168</v>
      </c>
      <c r="B175" s="15" t="s">
        <v>200</v>
      </c>
      <c r="C175" s="15" t="s">
        <v>122</v>
      </c>
      <c r="D175" s="1" t="s">
        <v>171</v>
      </c>
      <c r="E175" s="17">
        <v>227</v>
      </c>
      <c r="F175" s="15"/>
      <c r="G175" s="15"/>
      <c r="H175" s="15">
        <v>84</v>
      </c>
      <c r="I175" s="18">
        <v>0.17</v>
      </c>
      <c r="J175" s="15">
        <v>24</v>
      </c>
      <c r="K175" s="15">
        <v>0</v>
      </c>
      <c r="L175" s="15">
        <v>100</v>
      </c>
      <c r="M175" s="15"/>
      <c r="N175" s="17">
        <v>5</v>
      </c>
      <c r="AC175" s="15"/>
      <c r="AE175" s="1">
        <v>1</v>
      </c>
      <c r="AL175" s="15"/>
      <c r="AR175" s="15"/>
      <c r="AS175" s="15"/>
      <c r="AV175" s="15"/>
      <c r="AX175" s="15"/>
      <c r="AY175" s="15">
        <v>1</v>
      </c>
      <c r="BL175" s="15"/>
      <c r="BQ175" s="15"/>
      <c r="BS175" s="15"/>
      <c r="BT175" s="15"/>
      <c r="BX175" s="15"/>
      <c r="CR175" s="15"/>
      <c r="CS175" s="15"/>
      <c r="CX175" s="15"/>
      <c r="CY175" s="15"/>
      <c r="DC175" s="15"/>
      <c r="DH175" s="1">
        <f t="shared" si="4"/>
        <v>2</v>
      </c>
      <c r="DI175" s="1">
        <f t="shared" si="5"/>
        <v>2</v>
      </c>
    </row>
    <row r="176" spans="1:113" ht="15.75" customHeight="1" x14ac:dyDescent="0.3">
      <c r="A176" s="15" t="s">
        <v>168</v>
      </c>
      <c r="B176" s="15" t="s">
        <v>180</v>
      </c>
      <c r="C176" s="15" t="s">
        <v>120</v>
      </c>
      <c r="D176" s="45">
        <v>45233</v>
      </c>
      <c r="E176" s="17">
        <v>223</v>
      </c>
      <c r="F176" s="15"/>
      <c r="G176" s="15"/>
      <c r="H176" s="15">
        <v>97</v>
      </c>
      <c r="I176" s="18">
        <v>1.08</v>
      </c>
      <c r="J176" s="15">
        <v>25.4</v>
      </c>
      <c r="K176" s="15">
        <v>0</v>
      </c>
      <c r="L176" s="15">
        <v>100</v>
      </c>
      <c r="M176" s="15"/>
      <c r="N176" s="17">
        <v>5</v>
      </c>
      <c r="AC176" s="15"/>
      <c r="AE176" s="1">
        <v>1</v>
      </c>
      <c r="AL176" s="15"/>
      <c r="AR176" s="15"/>
      <c r="AS176" s="15"/>
      <c r="AV176" s="15"/>
      <c r="AX176" s="15"/>
      <c r="AY176" s="15">
        <v>1</v>
      </c>
      <c r="BI176" s="1">
        <v>1</v>
      </c>
      <c r="BL176" s="15"/>
      <c r="BQ176" s="15"/>
      <c r="BS176" s="15"/>
      <c r="BT176" s="15"/>
      <c r="BX176" s="15"/>
      <c r="CE176" s="1">
        <v>1</v>
      </c>
      <c r="CR176" s="15"/>
      <c r="CS176" s="15"/>
      <c r="CX176" s="15">
        <v>1</v>
      </c>
      <c r="CY176" s="15"/>
      <c r="DC176" s="15"/>
      <c r="DD176" s="1">
        <v>3</v>
      </c>
      <c r="DH176" s="1">
        <f t="shared" si="4"/>
        <v>6</v>
      </c>
      <c r="DI176" s="1">
        <f t="shared" si="5"/>
        <v>8</v>
      </c>
    </row>
    <row r="177" spans="1:113" ht="15.75" customHeight="1" x14ac:dyDescent="0.3">
      <c r="A177" s="15" t="s">
        <v>168</v>
      </c>
      <c r="B177" s="15" t="s">
        <v>180</v>
      </c>
      <c r="C177" s="15" t="s">
        <v>120</v>
      </c>
      <c r="D177" s="15" t="s">
        <v>169</v>
      </c>
      <c r="E177" s="17">
        <v>228</v>
      </c>
      <c r="F177" s="15"/>
      <c r="G177" s="15"/>
      <c r="H177" s="15">
        <v>97</v>
      </c>
      <c r="I177" s="18">
        <v>1.08</v>
      </c>
      <c r="J177" s="15">
        <v>25.4</v>
      </c>
      <c r="K177" s="15">
        <v>0</v>
      </c>
      <c r="L177" s="15">
        <v>65</v>
      </c>
      <c r="M177" s="15">
        <v>480</v>
      </c>
      <c r="N177" s="17">
        <v>5</v>
      </c>
      <c r="AC177" s="15"/>
      <c r="AL177" s="15">
        <v>1</v>
      </c>
      <c r="AR177" s="15"/>
      <c r="AS177" s="15"/>
      <c r="AV177" s="15"/>
      <c r="AX177" s="15"/>
      <c r="AY177" s="15"/>
      <c r="AZ177" s="1">
        <v>1</v>
      </c>
      <c r="BI177" s="1">
        <v>1</v>
      </c>
      <c r="BL177" s="15"/>
      <c r="BQ177" s="15"/>
      <c r="BS177" s="15">
        <v>1</v>
      </c>
      <c r="BT177" s="15"/>
      <c r="BX177" s="15"/>
      <c r="CF177" s="1">
        <v>1</v>
      </c>
      <c r="CH177" s="1">
        <v>1</v>
      </c>
      <c r="CR177" s="15"/>
      <c r="CS177" s="15"/>
      <c r="CT177" s="1">
        <v>1</v>
      </c>
      <c r="CX177" s="15"/>
      <c r="CY177" s="15"/>
      <c r="CZ177" s="1">
        <v>1</v>
      </c>
      <c r="DA177" s="1">
        <v>1</v>
      </c>
      <c r="DC177" s="15"/>
      <c r="DH177" s="1">
        <f t="shared" si="4"/>
        <v>9</v>
      </c>
      <c r="DI177" s="1">
        <f t="shared" si="5"/>
        <v>9</v>
      </c>
    </row>
    <row r="178" spans="1:113" ht="15.75" customHeight="1" x14ac:dyDescent="0.3">
      <c r="A178" s="15" t="s">
        <v>168</v>
      </c>
      <c r="B178" s="1" t="s">
        <v>180</v>
      </c>
      <c r="C178" s="1" t="s">
        <v>122</v>
      </c>
      <c r="D178" s="1" t="s">
        <v>171</v>
      </c>
      <c r="E178" s="2">
        <v>227</v>
      </c>
      <c r="H178" s="1">
        <v>80</v>
      </c>
      <c r="I178" s="46">
        <v>0.04</v>
      </c>
      <c r="J178" s="1">
        <v>25.3</v>
      </c>
      <c r="K178" s="1">
        <v>0</v>
      </c>
      <c r="L178" s="1">
        <v>100</v>
      </c>
      <c r="M178" s="15"/>
      <c r="N178" s="2">
        <v>5</v>
      </c>
      <c r="DH178" s="1">
        <f t="shared" si="4"/>
        <v>0</v>
      </c>
      <c r="DI178" s="1">
        <f t="shared" si="5"/>
        <v>0</v>
      </c>
    </row>
    <row r="179" spans="1:113" ht="15.75" customHeight="1" x14ac:dyDescent="0.3">
      <c r="A179" s="15" t="s">
        <v>168</v>
      </c>
      <c r="B179" s="1" t="s">
        <v>181</v>
      </c>
      <c r="C179" s="1" t="s">
        <v>120</v>
      </c>
      <c r="D179" s="45">
        <v>45233</v>
      </c>
      <c r="E179" s="2">
        <v>223</v>
      </c>
      <c r="H179" s="1">
        <v>87</v>
      </c>
      <c r="I179" s="46">
        <v>9.8000000000000007</v>
      </c>
      <c r="J179" s="1">
        <v>34.5</v>
      </c>
      <c r="K179" s="1">
        <v>0</v>
      </c>
      <c r="L179" s="1">
        <v>90</v>
      </c>
      <c r="N179" s="2">
        <v>3</v>
      </c>
      <c r="W179" s="1">
        <v>1</v>
      </c>
      <c r="AY179" s="1">
        <v>1</v>
      </c>
      <c r="BE179" s="1">
        <v>1</v>
      </c>
      <c r="BI179" s="1">
        <v>1</v>
      </c>
      <c r="DH179" s="1">
        <f t="shared" si="4"/>
        <v>4</v>
      </c>
      <c r="DI179" s="1">
        <f t="shared" si="5"/>
        <v>4</v>
      </c>
    </row>
    <row r="180" spans="1:113" ht="15.75" customHeight="1" x14ac:dyDescent="0.3">
      <c r="A180" s="15" t="s">
        <v>168</v>
      </c>
      <c r="B180" s="1" t="s">
        <v>181</v>
      </c>
      <c r="C180" s="1" t="s">
        <v>120</v>
      </c>
      <c r="D180" s="15" t="s">
        <v>169</v>
      </c>
      <c r="E180" s="2">
        <v>228</v>
      </c>
      <c r="H180" s="1">
        <v>87</v>
      </c>
      <c r="I180" s="46">
        <v>9.8000000000000007</v>
      </c>
      <c r="J180" s="1">
        <v>34.5</v>
      </c>
      <c r="K180" s="1">
        <v>0</v>
      </c>
      <c r="L180" s="1">
        <v>0</v>
      </c>
      <c r="M180" s="1">
        <v>480</v>
      </c>
      <c r="N180" s="2">
        <v>3</v>
      </c>
      <c r="AY180" s="1">
        <v>1</v>
      </c>
      <c r="CJ180" s="1">
        <v>1</v>
      </c>
      <c r="CX180" s="1">
        <v>1</v>
      </c>
      <c r="DH180" s="1">
        <f t="shared" si="4"/>
        <v>3</v>
      </c>
      <c r="DI180" s="1">
        <f t="shared" si="5"/>
        <v>3</v>
      </c>
    </row>
    <row r="181" spans="1:113" ht="15.75" customHeight="1" x14ac:dyDescent="0.3">
      <c r="A181" s="15" t="s">
        <v>168</v>
      </c>
      <c r="B181" s="1" t="s">
        <v>181</v>
      </c>
      <c r="C181" s="1" t="s">
        <v>122</v>
      </c>
      <c r="D181" s="1" t="s">
        <v>171</v>
      </c>
      <c r="E181" s="2">
        <v>227</v>
      </c>
      <c r="H181" s="1">
        <v>80</v>
      </c>
      <c r="I181" s="46">
        <v>1.5</v>
      </c>
      <c r="J181" s="1">
        <v>26.9</v>
      </c>
      <c r="K181" s="1">
        <v>0</v>
      </c>
      <c r="L181" s="1">
        <v>100</v>
      </c>
      <c r="N181" s="2">
        <v>3</v>
      </c>
      <c r="AY181" s="1">
        <v>1</v>
      </c>
      <c r="CT181" s="1">
        <v>1</v>
      </c>
      <c r="CX181" s="1">
        <v>2</v>
      </c>
      <c r="DH181" s="1">
        <f t="shared" si="4"/>
        <v>3</v>
      </c>
      <c r="DI181" s="1">
        <f t="shared" si="5"/>
        <v>4</v>
      </c>
    </row>
    <row r="182" spans="1:113" ht="15.75" customHeight="1" x14ac:dyDescent="0.3">
      <c r="A182" s="15" t="s">
        <v>168</v>
      </c>
      <c r="B182" s="1" t="s">
        <v>198</v>
      </c>
      <c r="C182" s="1" t="s">
        <v>120</v>
      </c>
      <c r="D182" s="15" t="s">
        <v>169</v>
      </c>
      <c r="E182" s="2">
        <v>228</v>
      </c>
      <c r="H182" s="1">
        <v>81</v>
      </c>
      <c r="I182" s="46">
        <v>36.6</v>
      </c>
      <c r="J182" s="1">
        <v>31.4</v>
      </c>
      <c r="K182" s="1">
        <v>0.8</v>
      </c>
      <c r="L182" s="1">
        <v>96</v>
      </c>
      <c r="M182" s="1">
        <v>480</v>
      </c>
      <c r="N182" s="2">
        <v>3</v>
      </c>
      <c r="AU182" s="1">
        <v>1</v>
      </c>
      <c r="AY182" s="1">
        <v>1</v>
      </c>
      <c r="BI182" s="1">
        <v>1</v>
      </c>
      <c r="BM182" s="1">
        <v>1</v>
      </c>
      <c r="BS182" s="1">
        <v>1</v>
      </c>
      <c r="CJ182" s="1">
        <v>1</v>
      </c>
      <c r="DC182" s="1">
        <v>1</v>
      </c>
      <c r="DH182" s="1">
        <f t="shared" si="4"/>
        <v>7</v>
      </c>
      <c r="DI182" s="1">
        <f t="shared" si="5"/>
        <v>7</v>
      </c>
    </row>
    <row r="183" spans="1:113" ht="15.75" customHeight="1" x14ac:dyDescent="0.3">
      <c r="A183" s="15" t="s">
        <v>168</v>
      </c>
      <c r="B183" s="1" t="s">
        <v>198</v>
      </c>
      <c r="C183" s="1" t="s">
        <v>122</v>
      </c>
      <c r="D183" s="1" t="s">
        <v>171</v>
      </c>
      <c r="E183" s="2">
        <v>227</v>
      </c>
      <c r="H183" s="1">
        <v>79</v>
      </c>
      <c r="I183" s="46">
        <v>13.35</v>
      </c>
      <c r="J183" s="1">
        <v>29.2</v>
      </c>
      <c r="K183" s="1">
        <v>0</v>
      </c>
      <c r="L183" s="1">
        <v>100</v>
      </c>
      <c r="N183" s="2">
        <v>3</v>
      </c>
      <c r="CA183" s="1">
        <v>1</v>
      </c>
      <c r="DC183" s="1">
        <v>1</v>
      </c>
      <c r="DH183" s="1">
        <f t="shared" si="4"/>
        <v>2</v>
      </c>
      <c r="DI183" s="1">
        <f t="shared" si="5"/>
        <v>2</v>
      </c>
    </row>
    <row r="184" spans="1:113" ht="15.75" customHeight="1" x14ac:dyDescent="0.3">
      <c r="A184" s="15" t="s">
        <v>168</v>
      </c>
      <c r="B184" s="1" t="s">
        <v>199</v>
      </c>
      <c r="C184" s="1" t="s">
        <v>120</v>
      </c>
      <c r="D184" s="1" t="s">
        <v>171</v>
      </c>
      <c r="E184" s="2">
        <v>227</v>
      </c>
      <c r="H184" s="1">
        <v>92</v>
      </c>
      <c r="I184" s="46">
        <v>15.6</v>
      </c>
      <c r="J184" s="1">
        <v>23.5</v>
      </c>
      <c r="K184" s="1">
        <v>0.7</v>
      </c>
      <c r="L184" s="1">
        <v>2</v>
      </c>
      <c r="M184" s="1">
        <v>480</v>
      </c>
      <c r="N184" s="2">
        <v>2</v>
      </c>
      <c r="CA184" s="1">
        <v>1</v>
      </c>
      <c r="DH184" s="1">
        <f t="shared" si="4"/>
        <v>1</v>
      </c>
      <c r="DI184" s="1">
        <f t="shared" si="5"/>
        <v>1</v>
      </c>
    </row>
    <row r="185" spans="1:113" ht="15.75" customHeight="1" x14ac:dyDescent="0.3">
      <c r="A185" s="15" t="s">
        <v>168</v>
      </c>
      <c r="B185" s="1" t="s">
        <v>199</v>
      </c>
      <c r="C185" s="1" t="s">
        <v>122</v>
      </c>
      <c r="D185" s="1" t="s">
        <v>171</v>
      </c>
      <c r="E185" s="2">
        <v>227</v>
      </c>
      <c r="H185" s="1">
        <v>79</v>
      </c>
      <c r="I185" s="46">
        <v>7.6</v>
      </c>
      <c r="J185" s="1">
        <v>25.4</v>
      </c>
      <c r="K185" s="1">
        <v>0</v>
      </c>
      <c r="L185" s="1">
        <v>100</v>
      </c>
      <c r="N185" s="2">
        <v>2</v>
      </c>
      <c r="BH185" s="1">
        <v>1</v>
      </c>
      <c r="BT185" s="1">
        <v>4</v>
      </c>
      <c r="DH185" s="1">
        <f t="shared" si="4"/>
        <v>2</v>
      </c>
      <c r="DI185" s="1">
        <f t="shared" si="5"/>
        <v>5</v>
      </c>
    </row>
    <row r="186" spans="1:113" ht="15.75" customHeight="1" x14ac:dyDescent="0.3">
      <c r="A186" s="15" t="s">
        <v>168</v>
      </c>
      <c r="B186" s="1" t="s">
        <v>183</v>
      </c>
      <c r="C186" s="1" t="s">
        <v>120</v>
      </c>
      <c r="D186" s="45">
        <v>45263</v>
      </c>
      <c r="E186" s="2">
        <v>224</v>
      </c>
      <c r="H186" s="1">
        <v>89</v>
      </c>
      <c r="I186" s="46">
        <v>1.1000000000000001</v>
      </c>
      <c r="J186" s="1">
        <v>22.3</v>
      </c>
      <c r="K186" s="1">
        <v>0</v>
      </c>
      <c r="L186" s="1">
        <v>2</v>
      </c>
      <c r="N186" s="2">
        <v>3</v>
      </c>
      <c r="AL186" s="1">
        <v>1</v>
      </c>
      <c r="AY186" s="1">
        <v>1</v>
      </c>
      <c r="BN186" s="1">
        <v>1</v>
      </c>
      <c r="CI186" s="1">
        <v>1</v>
      </c>
      <c r="CJ186" s="1">
        <v>2</v>
      </c>
      <c r="DE186" s="1">
        <v>3</v>
      </c>
      <c r="DG186" s="1">
        <v>1</v>
      </c>
      <c r="DH186" s="1">
        <f t="shared" si="4"/>
        <v>7</v>
      </c>
      <c r="DI186" s="1">
        <f t="shared" si="5"/>
        <v>10</v>
      </c>
    </row>
    <row r="187" spans="1:113" ht="15.75" customHeight="1" x14ac:dyDescent="0.3">
      <c r="A187" s="15" t="s">
        <v>168</v>
      </c>
      <c r="B187" s="1" t="s">
        <v>183</v>
      </c>
      <c r="C187" s="1" t="s">
        <v>120</v>
      </c>
      <c r="D187" s="1" t="s">
        <v>171</v>
      </c>
      <c r="E187" s="2">
        <v>227</v>
      </c>
      <c r="H187" s="1">
        <v>89</v>
      </c>
      <c r="I187" s="46">
        <v>1</v>
      </c>
      <c r="J187" s="1">
        <v>22.2</v>
      </c>
      <c r="K187" s="1">
        <v>0</v>
      </c>
      <c r="L187" s="1">
        <v>100</v>
      </c>
      <c r="M187" s="1">
        <v>1420</v>
      </c>
      <c r="N187" s="2">
        <v>3</v>
      </c>
      <c r="X187" s="1">
        <v>1</v>
      </c>
      <c r="AY187" s="1">
        <v>1</v>
      </c>
      <c r="CJ187" s="1">
        <v>1</v>
      </c>
      <c r="CZ187" s="1">
        <v>1</v>
      </c>
      <c r="DH187" s="1">
        <f t="shared" si="4"/>
        <v>4</v>
      </c>
      <c r="DI187" s="1">
        <f t="shared" si="5"/>
        <v>4</v>
      </c>
    </row>
    <row r="188" spans="1:113" ht="15.75" customHeight="1" x14ac:dyDescent="0.3">
      <c r="A188" s="15" t="s">
        <v>168</v>
      </c>
      <c r="B188" s="1" t="s">
        <v>183</v>
      </c>
      <c r="C188" s="1" t="s">
        <v>122</v>
      </c>
      <c r="D188" s="1" t="s">
        <v>171</v>
      </c>
      <c r="E188" s="2">
        <v>227</v>
      </c>
      <c r="H188" s="1">
        <v>72</v>
      </c>
      <c r="I188" s="1">
        <v>0.75</v>
      </c>
      <c r="J188" s="1">
        <v>25</v>
      </c>
      <c r="K188" s="1">
        <v>0.9</v>
      </c>
      <c r="L188" s="1">
        <v>100</v>
      </c>
      <c r="N188" s="2">
        <v>3</v>
      </c>
      <c r="S188" s="1">
        <v>2</v>
      </c>
      <c r="AY188" s="1">
        <v>1</v>
      </c>
      <c r="DH188" s="1">
        <f t="shared" si="4"/>
        <v>2</v>
      </c>
      <c r="DI188" s="1">
        <f t="shared" si="5"/>
        <v>3</v>
      </c>
    </row>
    <row r="189" spans="1:113" ht="15.75" customHeight="1" x14ac:dyDescent="0.3">
      <c r="A189" s="15" t="s">
        <v>168</v>
      </c>
      <c r="B189" s="1" t="s">
        <v>185</v>
      </c>
      <c r="C189" s="1" t="s">
        <v>120</v>
      </c>
      <c r="D189" s="1" t="s">
        <v>171</v>
      </c>
      <c r="E189" s="2">
        <v>227</v>
      </c>
      <c r="H189" s="1">
        <v>60</v>
      </c>
      <c r="I189" s="46">
        <v>44</v>
      </c>
      <c r="J189" s="1">
        <v>32.6</v>
      </c>
      <c r="K189" s="1">
        <v>0</v>
      </c>
      <c r="L189" s="1">
        <v>85</v>
      </c>
      <c r="M189" s="1">
        <v>1420</v>
      </c>
      <c r="N189" s="2">
        <v>1</v>
      </c>
      <c r="T189" s="1">
        <v>1</v>
      </c>
      <c r="BM189" s="1">
        <v>3</v>
      </c>
      <c r="DH189" s="1">
        <f t="shared" si="4"/>
        <v>2</v>
      </c>
      <c r="DI189" s="1">
        <f t="shared" si="5"/>
        <v>4</v>
      </c>
    </row>
    <row r="190" spans="1:113" ht="15.75" customHeight="1" x14ac:dyDescent="0.3">
      <c r="A190" s="15" t="s">
        <v>168</v>
      </c>
      <c r="B190" s="1" t="s">
        <v>185</v>
      </c>
      <c r="C190" s="1" t="s">
        <v>122</v>
      </c>
      <c r="D190" s="1" t="s">
        <v>171</v>
      </c>
      <c r="E190" s="2">
        <v>227</v>
      </c>
      <c r="H190" s="1">
        <v>79</v>
      </c>
      <c r="I190" s="46">
        <v>39.200000000000003</v>
      </c>
      <c r="J190" s="1">
        <v>31.4</v>
      </c>
      <c r="K190" s="1">
        <v>0</v>
      </c>
      <c r="L190" s="1">
        <v>100</v>
      </c>
      <c r="N190" s="2">
        <v>1</v>
      </c>
      <c r="DH190" s="1">
        <f t="shared" si="4"/>
        <v>0</v>
      </c>
      <c r="DI190" s="1">
        <f t="shared" si="5"/>
        <v>0</v>
      </c>
    </row>
    <row r="191" spans="1:113" ht="15.75" customHeight="1" x14ac:dyDescent="0.3">
      <c r="A191" s="15" t="s">
        <v>168</v>
      </c>
      <c r="B191" s="1" t="s">
        <v>186</v>
      </c>
      <c r="C191" s="1" t="s">
        <v>120</v>
      </c>
      <c r="D191" s="1" t="s">
        <v>171</v>
      </c>
      <c r="E191" s="2">
        <v>227</v>
      </c>
      <c r="H191" s="1">
        <v>76</v>
      </c>
      <c r="I191" s="46">
        <v>1.53</v>
      </c>
      <c r="J191" s="1">
        <v>25.4</v>
      </c>
      <c r="K191" s="1">
        <v>0</v>
      </c>
      <c r="L191" s="1">
        <v>100</v>
      </c>
      <c r="M191" s="1">
        <v>1420</v>
      </c>
      <c r="N191" s="2">
        <v>6</v>
      </c>
      <c r="BZ191" s="1">
        <v>1</v>
      </c>
      <c r="CF191" s="1">
        <v>1</v>
      </c>
      <c r="DE191" s="1">
        <v>2</v>
      </c>
      <c r="DG191" s="1">
        <v>1</v>
      </c>
      <c r="DH191" s="1">
        <f t="shared" si="4"/>
        <v>4</v>
      </c>
      <c r="DI191" s="1">
        <f t="shared" si="5"/>
        <v>5</v>
      </c>
    </row>
    <row r="192" spans="1:113" ht="15.75" customHeight="1" x14ac:dyDescent="0.3">
      <c r="I192" s="46"/>
      <c r="DH192" s="1">
        <f t="shared" si="4"/>
        <v>0</v>
      </c>
      <c r="DI192" s="1">
        <f t="shared" si="5"/>
        <v>0</v>
      </c>
    </row>
    <row r="193" spans="1:113" ht="15.75" customHeight="1" x14ac:dyDescent="0.3">
      <c r="A193" s="1" t="s">
        <v>172</v>
      </c>
      <c r="B193" s="1" t="s">
        <v>176</v>
      </c>
      <c r="C193" s="1" t="s">
        <v>122</v>
      </c>
      <c r="D193" s="45">
        <v>45111</v>
      </c>
      <c r="E193" s="2">
        <v>250</v>
      </c>
      <c r="H193" s="1">
        <v>81</v>
      </c>
      <c r="I193" s="46">
        <v>1.6</v>
      </c>
      <c r="J193" s="1">
        <v>26.5</v>
      </c>
      <c r="K193" s="1">
        <v>0</v>
      </c>
      <c r="L193" s="1">
        <v>30</v>
      </c>
      <c r="N193" s="2">
        <v>4</v>
      </c>
      <c r="R193" s="1">
        <v>3</v>
      </c>
      <c r="AF193" s="1">
        <v>1</v>
      </c>
      <c r="AV193" s="1">
        <v>1</v>
      </c>
      <c r="AY193" s="1">
        <v>1</v>
      </c>
      <c r="BA193" s="1">
        <v>1</v>
      </c>
      <c r="BB193" s="1">
        <v>1</v>
      </c>
      <c r="BL193" s="1">
        <v>1</v>
      </c>
      <c r="BY193" s="1">
        <v>1</v>
      </c>
      <c r="CI193" s="1">
        <v>1</v>
      </c>
      <c r="CJ193" s="1">
        <v>1</v>
      </c>
      <c r="CW193" s="1">
        <v>1</v>
      </c>
      <c r="DB193" s="1">
        <v>5</v>
      </c>
      <c r="DH193" s="1">
        <f t="shared" si="4"/>
        <v>12</v>
      </c>
      <c r="DI193" s="1">
        <f t="shared" si="5"/>
        <v>18</v>
      </c>
    </row>
    <row r="194" spans="1:113" ht="15.75" customHeight="1" x14ac:dyDescent="0.3">
      <c r="A194" s="1" t="s">
        <v>172</v>
      </c>
      <c r="B194" s="1" t="s">
        <v>177</v>
      </c>
      <c r="C194" s="1" t="s">
        <v>122</v>
      </c>
      <c r="D194" s="45">
        <v>45111</v>
      </c>
      <c r="E194" s="2">
        <v>250</v>
      </c>
      <c r="H194" s="1">
        <v>96</v>
      </c>
      <c r="I194" s="46">
        <v>1.1299999999999999</v>
      </c>
      <c r="J194" s="1">
        <v>26.4</v>
      </c>
      <c r="K194" s="1">
        <v>0</v>
      </c>
      <c r="L194" s="1">
        <v>100</v>
      </c>
      <c r="N194" s="2">
        <v>3</v>
      </c>
      <c r="AE194" s="1">
        <v>1</v>
      </c>
      <c r="AX194" s="1">
        <v>1</v>
      </c>
      <c r="AY194" s="1">
        <v>1</v>
      </c>
      <c r="BL194" s="1">
        <v>1</v>
      </c>
      <c r="CH194" s="1">
        <v>1</v>
      </c>
      <c r="DH194" s="1">
        <f t="shared" si="4"/>
        <v>5</v>
      </c>
      <c r="DI194" s="1">
        <f t="shared" si="5"/>
        <v>5</v>
      </c>
    </row>
    <row r="195" spans="1:113" ht="15.75" customHeight="1" x14ac:dyDescent="0.3">
      <c r="A195" s="1" t="s">
        <v>172</v>
      </c>
      <c r="B195" s="1" t="s">
        <v>200</v>
      </c>
      <c r="C195" s="1" t="s">
        <v>120</v>
      </c>
      <c r="D195" s="45">
        <v>45142</v>
      </c>
      <c r="E195" s="2">
        <v>251</v>
      </c>
      <c r="H195" s="1">
        <v>99</v>
      </c>
      <c r="I195" s="46">
        <v>0.28000000000000003</v>
      </c>
      <c r="J195" s="1">
        <v>23.5</v>
      </c>
      <c r="K195" s="1">
        <v>0</v>
      </c>
      <c r="L195" s="1">
        <v>100</v>
      </c>
      <c r="M195" s="1">
        <v>650</v>
      </c>
      <c r="N195" s="2">
        <v>5</v>
      </c>
      <c r="AE195" s="1">
        <v>1</v>
      </c>
      <c r="AY195" s="1">
        <v>2</v>
      </c>
      <c r="AZ195" s="1">
        <v>1</v>
      </c>
      <c r="BB195" s="1">
        <v>1</v>
      </c>
      <c r="BI195" s="1">
        <v>1</v>
      </c>
      <c r="BS195" s="1">
        <v>1</v>
      </c>
      <c r="CI195" s="1">
        <v>3</v>
      </c>
      <c r="DH195" s="1">
        <f t="shared" si="4"/>
        <v>7</v>
      </c>
      <c r="DI195" s="1">
        <f t="shared" si="5"/>
        <v>10</v>
      </c>
    </row>
    <row r="196" spans="1:113" ht="15.75" customHeight="1" x14ac:dyDescent="0.3">
      <c r="A196" s="1" t="s">
        <v>172</v>
      </c>
      <c r="B196" s="1" t="s">
        <v>180</v>
      </c>
      <c r="C196" s="1" t="s">
        <v>120</v>
      </c>
      <c r="D196" s="45">
        <v>45142</v>
      </c>
      <c r="E196" s="2">
        <v>251</v>
      </c>
      <c r="H196" s="1">
        <v>96</v>
      </c>
      <c r="I196" s="46">
        <v>0.64</v>
      </c>
      <c r="J196" s="1">
        <v>24.9</v>
      </c>
      <c r="K196" s="1">
        <v>0</v>
      </c>
      <c r="L196" s="1">
        <v>100</v>
      </c>
      <c r="M196" s="1">
        <v>650</v>
      </c>
      <c r="N196" s="2">
        <v>5</v>
      </c>
      <c r="AE196" s="1">
        <v>1</v>
      </c>
      <c r="AY196" s="1">
        <v>1</v>
      </c>
      <c r="AZ196" s="1">
        <v>1</v>
      </c>
      <c r="BL196" s="1">
        <v>1</v>
      </c>
      <c r="CH196" s="1">
        <v>1</v>
      </c>
      <c r="CI196" s="1">
        <v>1</v>
      </c>
      <c r="CT196" s="1">
        <v>1</v>
      </c>
      <c r="CV196" s="1">
        <v>1</v>
      </c>
      <c r="CX196" s="1">
        <v>1</v>
      </c>
      <c r="DH196" s="1">
        <f t="shared" si="4"/>
        <v>9</v>
      </c>
      <c r="DI196" s="1">
        <f t="shared" si="5"/>
        <v>9</v>
      </c>
    </row>
    <row r="197" spans="1:113" ht="15.75" customHeight="1" x14ac:dyDescent="0.3">
      <c r="A197" s="1" t="s">
        <v>172</v>
      </c>
      <c r="B197" s="1" t="s">
        <v>181</v>
      </c>
      <c r="C197" s="1" t="s">
        <v>120</v>
      </c>
      <c r="D197" s="45">
        <v>45142</v>
      </c>
      <c r="E197" s="2">
        <v>251</v>
      </c>
      <c r="H197" s="1">
        <v>98</v>
      </c>
      <c r="I197" s="46">
        <v>2.2799999999999998</v>
      </c>
      <c r="J197" s="1">
        <v>23.7</v>
      </c>
      <c r="K197" s="1">
        <v>0</v>
      </c>
      <c r="L197" s="1">
        <v>100</v>
      </c>
      <c r="M197" s="1">
        <v>650</v>
      </c>
      <c r="N197" s="2">
        <v>3</v>
      </c>
      <c r="AE197" s="1">
        <v>1</v>
      </c>
      <c r="AY197" s="1">
        <v>1</v>
      </c>
      <c r="CG197" s="1">
        <v>1</v>
      </c>
      <c r="CX197" s="1">
        <v>1</v>
      </c>
      <c r="DH197" s="1">
        <f t="shared" si="4"/>
        <v>4</v>
      </c>
      <c r="DI197" s="1">
        <f t="shared" si="5"/>
        <v>4</v>
      </c>
    </row>
    <row r="198" spans="1:113" ht="15.75" customHeight="1" x14ac:dyDescent="0.3">
      <c r="A198" s="1" t="s">
        <v>172</v>
      </c>
      <c r="B198" s="1" t="s">
        <v>198</v>
      </c>
      <c r="C198" s="1" t="s">
        <v>120</v>
      </c>
      <c r="D198" s="45">
        <v>45142</v>
      </c>
      <c r="E198" s="2">
        <v>251</v>
      </c>
      <c r="H198" s="1">
        <v>99</v>
      </c>
      <c r="I198" s="46">
        <v>7.2350000000000003</v>
      </c>
      <c r="J198" s="1">
        <v>24.6</v>
      </c>
      <c r="K198" s="1">
        <v>1.4</v>
      </c>
      <c r="L198" s="1">
        <v>100</v>
      </c>
      <c r="M198" s="1">
        <v>650</v>
      </c>
      <c r="N198" s="2">
        <v>3</v>
      </c>
      <c r="AE198" s="1">
        <v>1</v>
      </c>
      <c r="AY198" s="1">
        <v>1</v>
      </c>
      <c r="BI198" s="1">
        <v>1</v>
      </c>
      <c r="BM198" s="1">
        <v>1</v>
      </c>
      <c r="BS198" s="1">
        <v>3</v>
      </c>
      <c r="BT198" s="1">
        <v>3</v>
      </c>
      <c r="BX198" s="1">
        <v>2</v>
      </c>
      <c r="CI198" s="1">
        <v>1</v>
      </c>
      <c r="CJ198" s="1">
        <v>1</v>
      </c>
      <c r="CX198" s="1">
        <v>2</v>
      </c>
      <c r="DH198" s="1">
        <f t="shared" ref="DH198:DH202" si="6">COUNT(O198:DG198)</f>
        <v>10</v>
      </c>
      <c r="DI198" s="1">
        <f t="shared" ref="DI198:DI202" si="7">SUM(O198:DG198)</f>
        <v>16</v>
      </c>
    </row>
    <row r="199" spans="1:113" ht="15.75" customHeight="1" x14ac:dyDescent="0.3">
      <c r="A199" s="1" t="s">
        <v>172</v>
      </c>
      <c r="B199" s="1" t="s">
        <v>199</v>
      </c>
      <c r="C199" s="1" t="s">
        <v>120</v>
      </c>
      <c r="D199" s="45">
        <v>45142</v>
      </c>
      <c r="E199" s="2">
        <v>251</v>
      </c>
      <c r="H199" s="1">
        <v>78</v>
      </c>
      <c r="I199" s="46">
        <v>17.850000000000001</v>
      </c>
      <c r="J199" s="1">
        <v>26.8</v>
      </c>
      <c r="K199" s="1">
        <v>0.7</v>
      </c>
      <c r="L199" s="1">
        <v>100</v>
      </c>
      <c r="M199" s="1">
        <v>650</v>
      </c>
      <c r="N199" s="2">
        <v>2</v>
      </c>
      <c r="AU199" s="1">
        <v>1</v>
      </c>
      <c r="BZ199" s="1">
        <v>1</v>
      </c>
      <c r="CZ199" s="1">
        <v>1</v>
      </c>
      <c r="DH199" s="1">
        <f t="shared" si="6"/>
        <v>3</v>
      </c>
      <c r="DI199" s="1">
        <f t="shared" si="7"/>
        <v>3</v>
      </c>
    </row>
    <row r="200" spans="1:113" ht="15.75" customHeight="1" x14ac:dyDescent="0.3">
      <c r="A200" s="1" t="s">
        <v>172</v>
      </c>
      <c r="B200" s="1" t="s">
        <v>183</v>
      </c>
      <c r="C200" s="1" t="s">
        <v>120</v>
      </c>
      <c r="D200" s="45">
        <v>45173</v>
      </c>
      <c r="E200" s="2">
        <v>252</v>
      </c>
      <c r="H200" s="1">
        <v>92</v>
      </c>
      <c r="I200" s="46">
        <v>44.68</v>
      </c>
      <c r="J200" s="1">
        <v>23.2</v>
      </c>
      <c r="K200" s="1">
        <v>0.6</v>
      </c>
      <c r="L200" s="1">
        <v>0</v>
      </c>
      <c r="N200" s="2">
        <v>3</v>
      </c>
      <c r="T200" s="1">
        <v>1</v>
      </c>
      <c r="W200" s="1">
        <v>1</v>
      </c>
      <c r="Y200" s="1">
        <v>1</v>
      </c>
      <c r="AY200" s="1">
        <v>1</v>
      </c>
      <c r="BN200" s="1">
        <v>1</v>
      </c>
      <c r="BR200" s="1">
        <v>2</v>
      </c>
      <c r="CD200" s="1">
        <v>1</v>
      </c>
      <c r="CI200" s="1">
        <v>1</v>
      </c>
      <c r="DH200" s="1">
        <f t="shared" si="6"/>
        <v>8</v>
      </c>
      <c r="DI200" s="1">
        <f t="shared" si="7"/>
        <v>9</v>
      </c>
    </row>
    <row r="201" spans="1:113" ht="15.75" customHeight="1" x14ac:dyDescent="0.3">
      <c r="A201" s="1" t="s">
        <v>172</v>
      </c>
      <c r="B201" s="1" t="s">
        <v>183</v>
      </c>
      <c r="C201" s="1" t="s">
        <v>122</v>
      </c>
      <c r="D201" s="45">
        <v>45173</v>
      </c>
      <c r="E201" s="2">
        <v>252</v>
      </c>
      <c r="H201" s="1">
        <v>84</v>
      </c>
      <c r="I201" s="46">
        <v>0.5</v>
      </c>
      <c r="J201" s="1">
        <v>25.9</v>
      </c>
      <c r="K201" s="1">
        <v>0</v>
      </c>
      <c r="L201" s="1">
        <v>100</v>
      </c>
      <c r="N201" s="2">
        <v>3</v>
      </c>
      <c r="X201" s="1">
        <v>1</v>
      </c>
      <c r="AY201" s="1">
        <v>1</v>
      </c>
      <c r="CD201" s="1">
        <v>1</v>
      </c>
      <c r="CX201" s="1">
        <v>1</v>
      </c>
      <c r="DH201" s="1">
        <f t="shared" si="6"/>
        <v>4</v>
      </c>
      <c r="DI201" s="1">
        <f t="shared" si="7"/>
        <v>4</v>
      </c>
    </row>
    <row r="202" spans="1:113" ht="15.75" customHeight="1" x14ac:dyDescent="0.3">
      <c r="A202" s="1" t="s">
        <v>172</v>
      </c>
      <c r="B202" s="1" t="s">
        <v>186</v>
      </c>
      <c r="C202" s="1" t="s">
        <v>122</v>
      </c>
      <c r="D202" s="45">
        <v>45173</v>
      </c>
      <c r="E202" s="2">
        <v>252</v>
      </c>
      <c r="H202" s="1">
        <v>83</v>
      </c>
      <c r="I202" s="46">
        <v>1.1299999999999999</v>
      </c>
      <c r="J202" s="1">
        <v>25.5</v>
      </c>
      <c r="K202" s="1">
        <v>0</v>
      </c>
      <c r="L202" s="1">
        <v>100</v>
      </c>
      <c r="N202" s="2">
        <v>6</v>
      </c>
      <c r="AR202" s="1">
        <v>5</v>
      </c>
      <c r="AY202" s="1">
        <v>1</v>
      </c>
      <c r="BF202" s="1">
        <v>2</v>
      </c>
      <c r="BN202" s="1">
        <v>2</v>
      </c>
      <c r="BO202" s="1">
        <v>3</v>
      </c>
      <c r="BR202" s="1">
        <v>2</v>
      </c>
      <c r="CD202" s="1" t="s">
        <v>173</v>
      </c>
      <c r="CT202" s="1">
        <v>1</v>
      </c>
      <c r="CY202" s="1">
        <v>1</v>
      </c>
      <c r="DG202" s="1">
        <v>2</v>
      </c>
      <c r="DH202" s="1">
        <f t="shared" si="6"/>
        <v>9</v>
      </c>
      <c r="DI202" s="1">
        <f t="shared" si="7"/>
        <v>19</v>
      </c>
    </row>
    <row r="203" spans="1:113" ht="15.75" customHeight="1" x14ac:dyDescent="0.3">
      <c r="I203" s="46"/>
    </row>
    <row r="204" spans="1:113" ht="15.75" customHeight="1" x14ac:dyDescent="0.3">
      <c r="I204" s="46"/>
    </row>
    <row r="205" spans="1:113" ht="15.75" customHeight="1" x14ac:dyDescent="0.3">
      <c r="I205" s="46"/>
    </row>
    <row r="206" spans="1:113" ht="15.75" customHeight="1" x14ac:dyDescent="0.3">
      <c r="I206" s="46"/>
    </row>
    <row r="207" spans="1:113" ht="15.75" customHeight="1" x14ac:dyDescent="0.3">
      <c r="I207" s="46"/>
    </row>
    <row r="208" spans="1:113" ht="15.75" customHeight="1" x14ac:dyDescent="0.3">
      <c r="I208" s="46"/>
    </row>
    <row r="209" spans="9:9" ht="15.75" customHeight="1" x14ac:dyDescent="0.3">
      <c r="I209" s="46"/>
    </row>
    <row r="210" spans="9:9" ht="15.75" customHeight="1" x14ac:dyDescent="0.3">
      <c r="I210" s="46"/>
    </row>
    <row r="211" spans="9:9" ht="15.75" customHeight="1" x14ac:dyDescent="0.3">
      <c r="I211" s="46"/>
    </row>
    <row r="212" spans="9:9" ht="15.75" customHeight="1" x14ac:dyDescent="0.3">
      <c r="I212" s="46"/>
    </row>
    <row r="213" spans="9:9" ht="15.75" customHeight="1" x14ac:dyDescent="0.3">
      <c r="I213" s="46"/>
    </row>
    <row r="214" spans="9:9" ht="15.75" customHeight="1" x14ac:dyDescent="0.3">
      <c r="I214" s="46"/>
    </row>
    <row r="215" spans="9:9" ht="15.75" customHeight="1" x14ac:dyDescent="0.3">
      <c r="I215" s="46"/>
    </row>
    <row r="216" spans="9:9" ht="15.75" customHeight="1" x14ac:dyDescent="0.3">
      <c r="I216" s="46"/>
    </row>
    <row r="217" spans="9:9" ht="15.75" customHeight="1" x14ac:dyDescent="0.3">
      <c r="I217" s="46"/>
    </row>
    <row r="218" spans="9:9" ht="15.75" customHeight="1" x14ac:dyDescent="0.3">
      <c r="I218" s="46"/>
    </row>
    <row r="219" spans="9:9" ht="15.75" customHeight="1" x14ac:dyDescent="0.3">
      <c r="I219" s="46"/>
    </row>
    <row r="220" spans="9:9" ht="15.75" customHeight="1" x14ac:dyDescent="0.3">
      <c r="I220" s="46"/>
    </row>
    <row r="221" spans="9:9" ht="15.75" customHeight="1" x14ac:dyDescent="0.3">
      <c r="I221" s="46"/>
    </row>
    <row r="222" spans="9:9" ht="15.75" customHeight="1" x14ac:dyDescent="0.3">
      <c r="I222" s="46"/>
    </row>
    <row r="223" spans="9:9" ht="15.75" customHeight="1" x14ac:dyDescent="0.3">
      <c r="I223" s="46"/>
    </row>
    <row r="224" spans="9:9" ht="15.75" customHeight="1" x14ac:dyDescent="0.3">
      <c r="I224" s="46"/>
    </row>
    <row r="225" spans="9:9" ht="15.75" customHeight="1" x14ac:dyDescent="0.3">
      <c r="I225" s="46"/>
    </row>
    <row r="226" spans="9:9" ht="15.75" customHeight="1" x14ac:dyDescent="0.3">
      <c r="I226" s="46"/>
    </row>
    <row r="227" spans="9:9" ht="15.75" customHeight="1" x14ac:dyDescent="0.3">
      <c r="I227" s="46"/>
    </row>
    <row r="228" spans="9:9" ht="15.75" customHeight="1" x14ac:dyDescent="0.3">
      <c r="I228" s="46"/>
    </row>
    <row r="229" spans="9:9" ht="15.75" customHeight="1" x14ac:dyDescent="0.3">
      <c r="I229" s="46"/>
    </row>
    <row r="230" spans="9:9" ht="15.75" customHeight="1" x14ac:dyDescent="0.3">
      <c r="I230" s="46"/>
    </row>
    <row r="231" spans="9:9" ht="15.75" customHeight="1" x14ac:dyDescent="0.3">
      <c r="I231" s="46"/>
    </row>
    <row r="232" spans="9:9" ht="15.75" customHeight="1" x14ac:dyDescent="0.3">
      <c r="I232" s="46"/>
    </row>
    <row r="233" spans="9:9" ht="15.75" customHeight="1" x14ac:dyDescent="0.3">
      <c r="I233" s="46"/>
    </row>
    <row r="234" spans="9:9" ht="15.75" customHeight="1" x14ac:dyDescent="0.3">
      <c r="I234" s="46"/>
    </row>
    <row r="235" spans="9:9" ht="15.75" customHeight="1" x14ac:dyDescent="0.3">
      <c r="I235" s="46"/>
    </row>
    <row r="236" spans="9:9" ht="15.75" customHeight="1" x14ac:dyDescent="0.3">
      <c r="I236" s="46"/>
    </row>
    <row r="237" spans="9:9" ht="15.75" customHeight="1" x14ac:dyDescent="0.3">
      <c r="I237" s="46"/>
    </row>
    <row r="238" spans="9:9" ht="15.75" customHeight="1" x14ac:dyDescent="0.3">
      <c r="I238" s="46"/>
    </row>
    <row r="239" spans="9:9" ht="15.75" customHeight="1" x14ac:dyDescent="0.3">
      <c r="I239" s="46"/>
    </row>
    <row r="240" spans="9:9" ht="15.75" customHeight="1" x14ac:dyDescent="0.3">
      <c r="I240" s="46"/>
    </row>
    <row r="241" spans="9:9" ht="15.75" customHeight="1" x14ac:dyDescent="0.3">
      <c r="I241" s="46"/>
    </row>
    <row r="242" spans="9:9" ht="15.75" customHeight="1" x14ac:dyDescent="0.3">
      <c r="I242" s="46"/>
    </row>
    <row r="243" spans="9:9" ht="15.75" customHeight="1" x14ac:dyDescent="0.3">
      <c r="I243" s="46"/>
    </row>
    <row r="244" spans="9:9" ht="15.75" customHeight="1" x14ac:dyDescent="0.3">
      <c r="I244" s="46"/>
    </row>
    <row r="245" spans="9:9" ht="15.75" customHeight="1" x14ac:dyDescent="0.3">
      <c r="I245" s="46"/>
    </row>
    <row r="246" spans="9:9" ht="15.75" customHeight="1" x14ac:dyDescent="0.3">
      <c r="I246" s="46"/>
    </row>
    <row r="247" spans="9:9" ht="15.75" customHeight="1" x14ac:dyDescent="0.3">
      <c r="I247" s="46"/>
    </row>
    <row r="248" spans="9:9" ht="15.75" customHeight="1" x14ac:dyDescent="0.3">
      <c r="I248" s="46"/>
    </row>
    <row r="249" spans="9:9" ht="15.75" customHeight="1" x14ac:dyDescent="0.3">
      <c r="I249" s="46"/>
    </row>
    <row r="250" spans="9:9" ht="15.75" customHeight="1" x14ac:dyDescent="0.3">
      <c r="I250" s="46"/>
    </row>
    <row r="251" spans="9:9" ht="15.75" customHeight="1" x14ac:dyDescent="0.3">
      <c r="I251" s="46"/>
    </row>
    <row r="252" spans="9:9" ht="15.75" customHeight="1" x14ac:dyDescent="0.3">
      <c r="I252" s="46"/>
    </row>
    <row r="253" spans="9:9" ht="15.75" customHeight="1" x14ac:dyDescent="0.3">
      <c r="I253" s="46"/>
    </row>
    <row r="254" spans="9:9" ht="15.75" customHeight="1" x14ac:dyDescent="0.3">
      <c r="I254" s="46"/>
    </row>
    <row r="255" spans="9:9" ht="15.75" customHeight="1" x14ac:dyDescent="0.3">
      <c r="I255" s="46"/>
    </row>
    <row r="256" spans="9:9" ht="15.75" customHeight="1" x14ac:dyDescent="0.3">
      <c r="I256" s="46"/>
    </row>
    <row r="257" spans="9:9" ht="15.75" customHeight="1" x14ac:dyDescent="0.3">
      <c r="I257" s="46"/>
    </row>
    <row r="258" spans="9:9" ht="15.75" customHeight="1" x14ac:dyDescent="0.3">
      <c r="I258" s="46"/>
    </row>
    <row r="259" spans="9:9" ht="15.75" customHeight="1" x14ac:dyDescent="0.3">
      <c r="I259" s="46"/>
    </row>
    <row r="260" spans="9:9" ht="15.75" customHeight="1" x14ac:dyDescent="0.3">
      <c r="I260" s="46"/>
    </row>
    <row r="261" spans="9:9" ht="15.75" customHeight="1" x14ac:dyDescent="0.3">
      <c r="I261" s="46"/>
    </row>
    <row r="262" spans="9:9" ht="15.75" customHeight="1" x14ac:dyDescent="0.3">
      <c r="I262" s="46"/>
    </row>
    <row r="263" spans="9:9" ht="15.75" customHeight="1" x14ac:dyDescent="0.3">
      <c r="I263" s="46"/>
    </row>
    <row r="264" spans="9:9" ht="15.75" customHeight="1" x14ac:dyDescent="0.3">
      <c r="I264" s="46"/>
    </row>
    <row r="265" spans="9:9" ht="15.75" customHeight="1" x14ac:dyDescent="0.3">
      <c r="I265" s="46"/>
    </row>
    <row r="266" spans="9:9" ht="15.75" customHeight="1" x14ac:dyDescent="0.3">
      <c r="I266" s="46"/>
    </row>
    <row r="267" spans="9:9" ht="15.75" customHeight="1" x14ac:dyDescent="0.3">
      <c r="I267" s="46"/>
    </row>
    <row r="268" spans="9:9" ht="15.75" customHeight="1" x14ac:dyDescent="0.3">
      <c r="I268" s="46"/>
    </row>
    <row r="269" spans="9:9" ht="15.75" customHeight="1" x14ac:dyDescent="0.3">
      <c r="I269" s="46"/>
    </row>
    <row r="270" spans="9:9" ht="15.75" customHeight="1" x14ac:dyDescent="0.3">
      <c r="I270" s="46"/>
    </row>
    <row r="271" spans="9:9" ht="15.75" customHeight="1" x14ac:dyDescent="0.3">
      <c r="I271" s="46"/>
    </row>
    <row r="272" spans="9:9" ht="15.75" customHeight="1" x14ac:dyDescent="0.3">
      <c r="I272" s="46"/>
    </row>
    <row r="273" spans="9:9" ht="15.75" customHeight="1" x14ac:dyDescent="0.3">
      <c r="I273" s="46"/>
    </row>
    <row r="274" spans="9:9" ht="15.75" customHeight="1" x14ac:dyDescent="0.3">
      <c r="I274" s="46"/>
    </row>
    <row r="275" spans="9:9" ht="15.75" customHeight="1" x14ac:dyDescent="0.3"/>
    <row r="276" spans="9:9" ht="15.75" customHeight="1" x14ac:dyDescent="0.3"/>
    <row r="277" spans="9:9" ht="15.75" customHeight="1" x14ac:dyDescent="0.3"/>
    <row r="278" spans="9:9" ht="15.75" customHeight="1" x14ac:dyDescent="0.3"/>
    <row r="279" spans="9:9" ht="15.75" customHeight="1" x14ac:dyDescent="0.3"/>
    <row r="280" spans="9:9" ht="15.75" customHeight="1" x14ac:dyDescent="0.3"/>
    <row r="281" spans="9:9" ht="15.75" customHeight="1" x14ac:dyDescent="0.3"/>
    <row r="282" spans="9:9" ht="15.75" customHeight="1" x14ac:dyDescent="0.3"/>
    <row r="283" spans="9:9" ht="15.75" customHeight="1" x14ac:dyDescent="0.3"/>
    <row r="284" spans="9:9" ht="15.75" customHeight="1" x14ac:dyDescent="0.3"/>
    <row r="285" spans="9:9" ht="15.75" customHeight="1" x14ac:dyDescent="0.3"/>
    <row r="286" spans="9:9" ht="15.75" customHeight="1" x14ac:dyDescent="0.3"/>
    <row r="287" spans="9:9" ht="15.75" customHeight="1" x14ac:dyDescent="0.3"/>
    <row r="288" spans="9:9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  <row r="1009" ht="15.75" customHeight="1" x14ac:dyDescent="0.3"/>
    <row r="1010" ht="15.75" customHeight="1" x14ac:dyDescent="0.3"/>
    <row r="1011" ht="15.75" customHeight="1" x14ac:dyDescent="0.3"/>
    <row r="1012" ht="15.75" customHeight="1" x14ac:dyDescent="0.3"/>
    <row r="1013" ht="15.75" customHeight="1" x14ac:dyDescent="0.3"/>
    <row r="1014" ht="15.75" customHeight="1" x14ac:dyDescent="0.3"/>
    <row r="1015" ht="15.75" customHeight="1" x14ac:dyDescent="0.3"/>
    <row r="1016" ht="15.75" customHeight="1" x14ac:dyDescent="0.3"/>
    <row r="1017" ht="15.75" customHeight="1" x14ac:dyDescent="0.3"/>
    <row r="1018" ht="15.75" customHeight="1" x14ac:dyDescent="0.3"/>
    <row r="1019" ht="15.75" customHeight="1" x14ac:dyDescent="0.3"/>
    <row r="1020" ht="15.75" customHeight="1" x14ac:dyDescent="0.3"/>
    <row r="1021" ht="15.75" customHeight="1" x14ac:dyDescent="0.3"/>
    <row r="1022" ht="15.75" customHeight="1" x14ac:dyDescent="0.3"/>
    <row r="1023" ht="15.75" customHeight="1" x14ac:dyDescent="0.3"/>
    <row r="1024" ht="15.75" customHeight="1" x14ac:dyDescent="0.3"/>
    <row r="1025" ht="15.75" customHeight="1" x14ac:dyDescent="0.3"/>
    <row r="1026" ht="15.75" customHeight="1" x14ac:dyDescent="0.3"/>
    <row r="1027" ht="15.75" customHeight="1" x14ac:dyDescent="0.3"/>
    <row r="1028" ht="15.75" customHeight="1" x14ac:dyDescent="0.3"/>
    <row r="1029" ht="15.75" customHeight="1" x14ac:dyDescent="0.3"/>
    <row r="1030" ht="15.75" customHeight="1" x14ac:dyDescent="0.3"/>
    <row r="1031" ht="15.75" customHeight="1" x14ac:dyDescent="0.3"/>
    <row r="1032" ht="15.75" customHeight="1" x14ac:dyDescent="0.3"/>
    <row r="1033" ht="15.75" customHeight="1" x14ac:dyDescent="0.3"/>
    <row r="1034" ht="15.75" customHeight="1" x14ac:dyDescent="0.3"/>
    <row r="1035" ht="15.75" customHeight="1" x14ac:dyDescent="0.3"/>
    <row r="1036" ht="15.75" customHeight="1" x14ac:dyDescent="0.3"/>
    <row r="1037" ht="15.75" customHeight="1" x14ac:dyDescent="0.3"/>
    <row r="1038" ht="15.75" customHeight="1" x14ac:dyDescent="0.3"/>
    <row r="1039" ht="15.75" customHeight="1" x14ac:dyDescent="0.3"/>
    <row r="1040" ht="15.75" customHeight="1" x14ac:dyDescent="0.3"/>
    <row r="1041" ht="15.75" customHeight="1" x14ac:dyDescent="0.3"/>
    <row r="1042" ht="15.75" customHeight="1" x14ac:dyDescent="0.3"/>
    <row r="1043" ht="15.75" customHeight="1" x14ac:dyDescent="0.3"/>
    <row r="1044" ht="15.75" customHeight="1" x14ac:dyDescent="0.3"/>
    <row r="1045" ht="15.75" customHeight="1" x14ac:dyDescent="0.3"/>
    <row r="1046" ht="15.75" customHeight="1" x14ac:dyDescent="0.3"/>
    <row r="1047" ht="15.75" customHeight="1" x14ac:dyDescent="0.3"/>
    <row r="1048" ht="15.75" customHeight="1" x14ac:dyDescent="0.3"/>
    <row r="1049" ht="15.75" customHeight="1" x14ac:dyDescent="0.3"/>
    <row r="1050" ht="15.75" customHeight="1" x14ac:dyDescent="0.3"/>
    <row r="1051" ht="15.75" customHeight="1" x14ac:dyDescent="0.3"/>
    <row r="1052" ht="15.75" customHeight="1" x14ac:dyDescent="0.3"/>
    <row r="1053" ht="15.75" customHeight="1" x14ac:dyDescent="0.3"/>
    <row r="1054" ht="15.75" customHeight="1" x14ac:dyDescent="0.3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043"/>
  <sheetViews>
    <sheetView topLeftCell="T39" zoomScale="80" workbookViewId="0">
      <selection activeCell="H57" sqref="H57"/>
    </sheetView>
  </sheetViews>
  <sheetFormatPr defaultColWidth="12.77734375" defaultRowHeight="14.4" x14ac:dyDescent="0.3"/>
  <cols>
    <col min="1" max="1" width="7.21875" style="1" customWidth="1"/>
    <col min="2" max="2" width="14.77734375" style="1" customWidth="1"/>
    <col min="3" max="3" width="6.44140625" style="1" customWidth="1"/>
    <col min="4" max="4" width="8" style="1" customWidth="1"/>
    <col min="5" max="5" width="6.21875" style="1" customWidth="1"/>
    <col min="6" max="6" width="6" style="1" customWidth="1"/>
    <col min="7" max="7" width="10" style="1" customWidth="1"/>
    <col min="8" max="8" width="7.5546875" style="1" customWidth="1"/>
    <col min="9" max="9" width="11.44140625" style="2" customWidth="1"/>
    <col min="10" max="16384" width="12.77734375" style="1"/>
  </cols>
  <sheetData>
    <row r="1" spans="1:11" ht="15" hidden="1" customHeight="1" x14ac:dyDescent="0.3">
      <c r="I1" s="3"/>
    </row>
    <row r="2" spans="1:11" ht="234.6" x14ac:dyDescent="0.3">
      <c r="A2" s="6" t="s">
        <v>7</v>
      </c>
      <c r="B2" s="6" t="s">
        <v>8</v>
      </c>
      <c r="C2" s="7" t="s">
        <v>14</v>
      </c>
      <c r="D2" s="9" t="s">
        <v>15</v>
      </c>
      <c r="E2" s="7" t="s">
        <v>16</v>
      </c>
      <c r="F2" s="7" t="s">
        <v>17</v>
      </c>
      <c r="G2" s="7" t="s">
        <v>18</v>
      </c>
      <c r="H2" s="7" t="s">
        <v>19</v>
      </c>
      <c r="I2" s="8" t="s">
        <v>21</v>
      </c>
      <c r="J2" s="1" t="s">
        <v>174</v>
      </c>
      <c r="K2" s="1" t="s">
        <v>175</v>
      </c>
    </row>
    <row r="3" spans="1:11" ht="15.75" customHeight="1" x14ac:dyDescent="0.3">
      <c r="A3" s="15" t="s">
        <v>119</v>
      </c>
      <c r="B3" s="16" t="s">
        <v>177</v>
      </c>
      <c r="C3" s="15">
        <v>78</v>
      </c>
      <c r="D3" s="18">
        <v>1.915</v>
      </c>
      <c r="E3" s="15">
        <v>23.8</v>
      </c>
      <c r="F3" s="15">
        <v>0.8</v>
      </c>
      <c r="G3" s="15"/>
      <c r="H3" s="18"/>
      <c r="I3" s="17">
        <v>3</v>
      </c>
      <c r="J3" s="1">
        <v>7</v>
      </c>
      <c r="K3" s="1">
        <v>14</v>
      </c>
    </row>
    <row r="4" spans="1:11" ht="15.75" customHeight="1" x14ac:dyDescent="0.3">
      <c r="A4" s="15" t="s">
        <v>119</v>
      </c>
      <c r="B4" s="16" t="s">
        <v>200</v>
      </c>
      <c r="C4" s="20">
        <v>80</v>
      </c>
      <c r="D4" s="18">
        <v>0.4</v>
      </c>
      <c r="E4" s="15">
        <v>32</v>
      </c>
      <c r="F4" s="15">
        <v>0</v>
      </c>
      <c r="G4" s="15"/>
      <c r="H4" s="18"/>
      <c r="I4" s="17">
        <v>5</v>
      </c>
      <c r="J4" s="1">
        <v>3</v>
      </c>
      <c r="K4" s="1">
        <v>3</v>
      </c>
    </row>
    <row r="5" spans="1:11" ht="15.75" customHeight="1" x14ac:dyDescent="0.3">
      <c r="A5" s="15" t="s">
        <v>119</v>
      </c>
      <c r="B5" s="16" t="s">
        <v>200</v>
      </c>
      <c r="C5" s="20">
        <v>80</v>
      </c>
      <c r="D5" s="18">
        <v>0.52</v>
      </c>
      <c r="E5" s="15">
        <v>33</v>
      </c>
      <c r="F5" s="15">
        <v>0</v>
      </c>
      <c r="G5" s="15"/>
      <c r="H5" s="18"/>
      <c r="I5" s="17">
        <v>5</v>
      </c>
      <c r="J5" s="1">
        <v>1</v>
      </c>
      <c r="K5" s="1">
        <v>1</v>
      </c>
    </row>
    <row r="6" spans="1:11" ht="15.75" customHeight="1" x14ac:dyDescent="0.3">
      <c r="A6" s="15" t="s">
        <v>119</v>
      </c>
      <c r="B6" s="16" t="s">
        <v>200</v>
      </c>
      <c r="C6" s="20">
        <v>80</v>
      </c>
      <c r="D6" s="18">
        <v>0.4</v>
      </c>
      <c r="E6" s="15">
        <v>36</v>
      </c>
      <c r="F6" s="15">
        <v>0</v>
      </c>
      <c r="G6" s="15"/>
      <c r="H6" s="18"/>
      <c r="I6" s="17">
        <v>5</v>
      </c>
      <c r="J6" s="1">
        <v>1</v>
      </c>
      <c r="K6" s="1">
        <v>1</v>
      </c>
    </row>
    <row r="7" spans="1:11" ht="15.75" customHeight="1" x14ac:dyDescent="0.3">
      <c r="A7" s="15" t="s">
        <v>119</v>
      </c>
      <c r="B7" s="16" t="s">
        <v>200</v>
      </c>
      <c r="C7" s="20">
        <v>80</v>
      </c>
      <c r="D7" s="18">
        <v>0.4</v>
      </c>
      <c r="E7" s="15">
        <v>32</v>
      </c>
      <c r="F7" s="15">
        <v>0</v>
      </c>
      <c r="G7" s="15"/>
      <c r="H7" s="18"/>
      <c r="I7" s="17">
        <v>5</v>
      </c>
      <c r="J7" s="1">
        <v>2</v>
      </c>
      <c r="K7" s="1">
        <v>2</v>
      </c>
    </row>
    <row r="8" spans="1:11" ht="15.75" customHeight="1" x14ac:dyDescent="0.3">
      <c r="A8" s="15" t="s">
        <v>119</v>
      </c>
      <c r="B8" s="16" t="s">
        <v>200</v>
      </c>
      <c r="C8" s="20">
        <v>80</v>
      </c>
      <c r="D8" s="18">
        <v>0.4</v>
      </c>
      <c r="E8" s="15">
        <v>33</v>
      </c>
      <c r="F8" s="15">
        <v>0</v>
      </c>
      <c r="G8" s="15"/>
      <c r="H8" s="18"/>
      <c r="I8" s="17">
        <v>5</v>
      </c>
      <c r="J8" s="1">
        <v>1</v>
      </c>
      <c r="K8" s="1">
        <v>1</v>
      </c>
    </row>
    <row r="9" spans="1:11" ht="15.75" customHeight="1" x14ac:dyDescent="0.3">
      <c r="A9" s="15" t="s">
        <v>119</v>
      </c>
      <c r="B9" s="16" t="s">
        <v>200</v>
      </c>
      <c r="C9" s="20">
        <v>80</v>
      </c>
      <c r="D9" s="18">
        <v>0.51</v>
      </c>
      <c r="E9" s="15">
        <v>32</v>
      </c>
      <c r="F9" s="15">
        <v>0</v>
      </c>
      <c r="G9" s="15"/>
      <c r="H9" s="18"/>
      <c r="I9" s="17">
        <v>5</v>
      </c>
      <c r="J9" s="1">
        <v>3</v>
      </c>
      <c r="K9" s="1">
        <v>3</v>
      </c>
    </row>
    <row r="10" spans="1:11" ht="15.75" customHeight="1" x14ac:dyDescent="0.3">
      <c r="A10" s="15" t="s">
        <v>119</v>
      </c>
      <c r="B10" s="16" t="s">
        <v>200</v>
      </c>
      <c r="C10" s="20">
        <v>80</v>
      </c>
      <c r="D10" s="18">
        <v>0.5</v>
      </c>
      <c r="E10" s="15">
        <v>23</v>
      </c>
      <c r="F10" s="15">
        <v>0</v>
      </c>
      <c r="G10" s="15"/>
      <c r="H10" s="18"/>
      <c r="I10" s="17">
        <v>5</v>
      </c>
      <c r="J10" s="1">
        <v>1</v>
      </c>
      <c r="K10" s="1">
        <v>1</v>
      </c>
    </row>
    <row r="11" spans="1:11" ht="15.75" customHeight="1" x14ac:dyDescent="0.3">
      <c r="A11" s="15" t="s">
        <v>119</v>
      </c>
      <c r="B11" s="16" t="s">
        <v>200</v>
      </c>
      <c r="C11" s="15">
        <v>81</v>
      </c>
      <c r="D11" s="18">
        <v>2.0499999999999998</v>
      </c>
      <c r="E11" s="15">
        <v>24.9</v>
      </c>
      <c r="F11" s="15">
        <v>0</v>
      </c>
      <c r="G11" s="15"/>
      <c r="H11" s="18"/>
      <c r="I11" s="17">
        <v>5</v>
      </c>
      <c r="J11" s="1">
        <v>3</v>
      </c>
      <c r="K11" s="1">
        <v>3</v>
      </c>
    </row>
    <row r="12" spans="1:11" ht="15.75" customHeight="1" x14ac:dyDescent="0.3">
      <c r="A12" s="15" t="s">
        <v>119</v>
      </c>
      <c r="B12" s="16" t="s">
        <v>180</v>
      </c>
      <c r="C12" s="15">
        <v>81</v>
      </c>
      <c r="D12" s="18">
        <v>1.2809999999999999</v>
      </c>
      <c r="E12" s="15">
        <v>24.9</v>
      </c>
      <c r="F12" s="15">
        <v>0.8</v>
      </c>
      <c r="G12" s="15"/>
      <c r="H12" s="18"/>
      <c r="I12" s="17">
        <v>5</v>
      </c>
      <c r="J12" s="1">
        <v>3</v>
      </c>
      <c r="K12" s="1">
        <v>3</v>
      </c>
    </row>
    <row r="13" spans="1:11" ht="15.75" customHeight="1" x14ac:dyDescent="0.3">
      <c r="A13" s="15" t="s">
        <v>119</v>
      </c>
      <c r="B13" s="16" t="s">
        <v>180</v>
      </c>
      <c r="C13" s="18">
        <v>68.67</v>
      </c>
      <c r="D13" s="18">
        <v>94.13</v>
      </c>
      <c r="E13" s="15">
        <v>25</v>
      </c>
      <c r="F13" s="15">
        <v>1.2</v>
      </c>
      <c r="G13" s="15"/>
      <c r="H13" s="18"/>
      <c r="I13" s="17">
        <v>5</v>
      </c>
      <c r="J13" s="1">
        <v>1</v>
      </c>
      <c r="K13" s="1">
        <v>1</v>
      </c>
    </row>
    <row r="14" spans="1:11" ht="15.75" customHeight="1" x14ac:dyDescent="0.3">
      <c r="A14" s="15" t="s">
        <v>119</v>
      </c>
      <c r="B14" s="16" t="s">
        <v>181</v>
      </c>
      <c r="C14" s="15">
        <v>80</v>
      </c>
      <c r="D14" s="18">
        <v>9.35</v>
      </c>
      <c r="E14" s="15">
        <v>25.5</v>
      </c>
      <c r="F14" s="15">
        <v>2.6</v>
      </c>
      <c r="G14" s="15"/>
      <c r="H14" s="18"/>
      <c r="I14" s="17">
        <v>3</v>
      </c>
      <c r="J14" s="1">
        <v>3</v>
      </c>
      <c r="K14" s="1">
        <v>3</v>
      </c>
    </row>
    <row r="15" spans="1:11" ht="15.75" customHeight="1" x14ac:dyDescent="0.3">
      <c r="A15" s="15" t="s">
        <v>119</v>
      </c>
      <c r="B15" s="16" t="s">
        <v>181</v>
      </c>
      <c r="C15" s="15">
        <v>68.58</v>
      </c>
      <c r="D15" s="18">
        <v>6.6</v>
      </c>
      <c r="E15" s="15">
        <v>25.7</v>
      </c>
      <c r="F15" s="15">
        <v>2.1</v>
      </c>
      <c r="G15" s="15"/>
      <c r="H15" s="18"/>
      <c r="I15" s="17">
        <v>3</v>
      </c>
      <c r="J15" s="1">
        <v>3</v>
      </c>
      <c r="K15" s="1">
        <v>3</v>
      </c>
    </row>
    <row r="16" spans="1:11" ht="15.75" customHeight="1" x14ac:dyDescent="0.3">
      <c r="A16" s="15" t="s">
        <v>119</v>
      </c>
      <c r="B16" s="16" t="s">
        <v>181</v>
      </c>
      <c r="C16" s="20">
        <v>70</v>
      </c>
      <c r="D16" s="18">
        <v>4.2</v>
      </c>
      <c r="E16" s="15">
        <v>23</v>
      </c>
      <c r="F16" s="15">
        <v>0</v>
      </c>
      <c r="G16" s="15"/>
      <c r="H16" s="18"/>
      <c r="I16" s="17">
        <v>3</v>
      </c>
      <c r="J16" s="1">
        <v>2</v>
      </c>
      <c r="K16" s="1">
        <v>2</v>
      </c>
    </row>
    <row r="17" spans="1:11" ht="15.75" customHeight="1" x14ac:dyDescent="0.3">
      <c r="A17" s="15" t="s">
        <v>119</v>
      </c>
      <c r="B17" s="16" t="s">
        <v>198</v>
      </c>
      <c r="C17" s="20">
        <v>70</v>
      </c>
      <c r="D17" s="18">
        <v>4.2</v>
      </c>
      <c r="E17" s="15">
        <v>21</v>
      </c>
      <c r="F17" s="15">
        <v>0</v>
      </c>
      <c r="G17" s="15"/>
      <c r="H17" s="18"/>
      <c r="I17" s="17">
        <v>3</v>
      </c>
      <c r="J17" s="1">
        <v>4</v>
      </c>
      <c r="K17" s="1">
        <v>4</v>
      </c>
    </row>
    <row r="18" spans="1:11" ht="15.75" customHeight="1" x14ac:dyDescent="0.3">
      <c r="A18" s="15" t="s">
        <v>119</v>
      </c>
      <c r="B18" s="16" t="s">
        <v>198</v>
      </c>
      <c r="C18" s="20">
        <v>70</v>
      </c>
      <c r="D18" s="18">
        <v>4.2</v>
      </c>
      <c r="E18" s="15">
        <v>20</v>
      </c>
      <c r="F18" s="15">
        <v>0</v>
      </c>
      <c r="G18" s="15"/>
      <c r="H18" s="18"/>
      <c r="I18" s="17">
        <v>3</v>
      </c>
      <c r="J18" s="1">
        <v>1</v>
      </c>
      <c r="K18" s="1">
        <v>1</v>
      </c>
    </row>
    <row r="19" spans="1:11" ht="15.75" customHeight="1" x14ac:dyDescent="0.3">
      <c r="A19" s="15" t="s">
        <v>119</v>
      </c>
      <c r="B19" s="16" t="s">
        <v>198</v>
      </c>
      <c r="C19" s="20">
        <v>70</v>
      </c>
      <c r="D19" s="18">
        <v>4.2</v>
      </c>
      <c r="E19" s="15">
        <v>21</v>
      </c>
      <c r="F19" s="15">
        <v>0</v>
      </c>
      <c r="G19" s="15"/>
      <c r="H19" s="18"/>
      <c r="I19" s="17">
        <v>3</v>
      </c>
      <c r="J19" s="1">
        <v>1</v>
      </c>
      <c r="K19" s="1">
        <v>1</v>
      </c>
    </row>
    <row r="20" spans="1:11" ht="15.75" customHeight="1" x14ac:dyDescent="0.3">
      <c r="A20" s="15" t="s">
        <v>119</v>
      </c>
      <c r="B20" s="16" t="s">
        <v>198</v>
      </c>
      <c r="C20" s="20">
        <v>70</v>
      </c>
      <c r="D20" s="18">
        <v>4.2</v>
      </c>
      <c r="E20" s="15">
        <v>22</v>
      </c>
      <c r="F20" s="15">
        <v>0</v>
      </c>
      <c r="G20" s="15"/>
      <c r="H20" s="18"/>
      <c r="I20" s="17">
        <v>3</v>
      </c>
      <c r="J20" s="1">
        <v>5</v>
      </c>
      <c r="K20" s="1">
        <v>5</v>
      </c>
    </row>
    <row r="21" spans="1:11" ht="15.75" customHeight="1" x14ac:dyDescent="0.3">
      <c r="A21" s="15" t="s">
        <v>119</v>
      </c>
      <c r="B21" s="16" t="s">
        <v>198</v>
      </c>
      <c r="C21" s="20">
        <v>70</v>
      </c>
      <c r="D21" s="18">
        <v>4.2</v>
      </c>
      <c r="E21" s="15">
        <v>23</v>
      </c>
      <c r="F21" s="15">
        <v>0</v>
      </c>
      <c r="G21" s="15"/>
      <c r="H21" s="18"/>
      <c r="I21" s="17">
        <v>3</v>
      </c>
      <c r="J21" s="1">
        <v>2</v>
      </c>
      <c r="K21" s="1">
        <v>2</v>
      </c>
    </row>
    <row r="22" spans="1:11" ht="15.75" customHeight="1" x14ac:dyDescent="0.3">
      <c r="A22" s="15" t="s">
        <v>119</v>
      </c>
      <c r="B22" s="16" t="s">
        <v>198</v>
      </c>
      <c r="C22" s="20">
        <v>70</v>
      </c>
      <c r="D22" s="18">
        <v>4.2</v>
      </c>
      <c r="E22" s="15">
        <v>22</v>
      </c>
      <c r="F22" s="15">
        <v>0</v>
      </c>
      <c r="G22" s="15"/>
      <c r="H22" s="18"/>
      <c r="I22" s="17">
        <v>3</v>
      </c>
      <c r="J22" s="1">
        <v>1</v>
      </c>
      <c r="K22" s="1">
        <v>1</v>
      </c>
    </row>
    <row r="23" spans="1:11" ht="15.75" customHeight="1" x14ac:dyDescent="0.3">
      <c r="A23" s="15" t="s">
        <v>119</v>
      </c>
      <c r="B23" s="16" t="s">
        <v>198</v>
      </c>
      <c r="C23" s="20">
        <v>70</v>
      </c>
      <c r="D23" s="18">
        <v>4.2</v>
      </c>
      <c r="E23" s="15">
        <v>25</v>
      </c>
      <c r="F23" s="15">
        <v>0</v>
      </c>
      <c r="G23" s="15"/>
      <c r="H23" s="18"/>
      <c r="I23" s="17">
        <v>3</v>
      </c>
      <c r="J23" s="1">
        <v>1</v>
      </c>
      <c r="K23" s="1">
        <v>1</v>
      </c>
    </row>
    <row r="24" spans="1:11" ht="15.75" customHeight="1" x14ac:dyDescent="0.3">
      <c r="A24" s="15" t="s">
        <v>119</v>
      </c>
      <c r="B24" s="16" t="s">
        <v>198</v>
      </c>
      <c r="C24" s="20">
        <v>70</v>
      </c>
      <c r="D24" s="18">
        <v>4.2</v>
      </c>
      <c r="E24" s="15">
        <v>23</v>
      </c>
      <c r="F24" s="15">
        <v>0</v>
      </c>
      <c r="G24" s="15"/>
      <c r="H24" s="18"/>
      <c r="I24" s="17">
        <v>3</v>
      </c>
      <c r="J24" s="1">
        <v>1</v>
      </c>
      <c r="K24" s="1">
        <v>1</v>
      </c>
    </row>
    <row r="25" spans="1:11" ht="15.75" customHeight="1" x14ac:dyDescent="0.3">
      <c r="A25" s="15" t="s">
        <v>119</v>
      </c>
      <c r="B25" s="16" t="s">
        <v>198</v>
      </c>
      <c r="C25" s="20">
        <v>70</v>
      </c>
      <c r="D25" s="18">
        <v>4.2</v>
      </c>
      <c r="E25" s="15">
        <v>29</v>
      </c>
      <c r="F25" s="15">
        <v>0</v>
      </c>
      <c r="G25" s="15"/>
      <c r="H25" s="18"/>
      <c r="I25" s="17">
        <v>3</v>
      </c>
      <c r="J25" s="1">
        <v>1</v>
      </c>
      <c r="K25" s="1">
        <v>1</v>
      </c>
    </row>
    <row r="26" spans="1:11" ht="15.75" customHeight="1" x14ac:dyDescent="0.3">
      <c r="A26" s="15" t="s">
        <v>119</v>
      </c>
      <c r="B26" s="16" t="s">
        <v>198</v>
      </c>
      <c r="C26" s="20">
        <v>70</v>
      </c>
      <c r="D26" s="18">
        <v>4.2</v>
      </c>
      <c r="E26" s="15">
        <v>23</v>
      </c>
      <c r="F26" s="15">
        <v>0</v>
      </c>
      <c r="G26" s="15"/>
      <c r="H26" s="18"/>
      <c r="I26" s="17">
        <v>3</v>
      </c>
      <c r="J26" s="1">
        <v>1</v>
      </c>
      <c r="K26" s="1">
        <v>1</v>
      </c>
    </row>
    <row r="27" spans="1:11" ht="15.75" customHeight="1" x14ac:dyDescent="0.3">
      <c r="A27" s="15" t="s">
        <v>119</v>
      </c>
      <c r="B27" s="16" t="s">
        <v>198</v>
      </c>
      <c r="C27" s="20">
        <v>70</v>
      </c>
      <c r="D27" s="18">
        <v>4.2</v>
      </c>
      <c r="E27" s="15">
        <v>23</v>
      </c>
      <c r="F27" s="15">
        <v>0</v>
      </c>
      <c r="G27" s="15"/>
      <c r="H27" s="18"/>
      <c r="I27" s="17">
        <v>3</v>
      </c>
      <c r="J27" s="1">
        <v>1</v>
      </c>
      <c r="K27" s="1">
        <v>1</v>
      </c>
    </row>
    <row r="28" spans="1:11" ht="15.75" customHeight="1" x14ac:dyDescent="0.3">
      <c r="A28" s="15" t="s">
        <v>119</v>
      </c>
      <c r="B28" s="16" t="s">
        <v>198</v>
      </c>
      <c r="C28" s="15">
        <v>69.17</v>
      </c>
      <c r="D28" s="18">
        <v>4.55</v>
      </c>
      <c r="E28" s="15">
        <v>27.5</v>
      </c>
      <c r="F28" s="15">
        <v>0.56999999999999995</v>
      </c>
      <c r="G28" s="15"/>
      <c r="H28" s="18"/>
      <c r="I28" s="21">
        <v>3</v>
      </c>
      <c r="J28" s="1">
        <v>3</v>
      </c>
      <c r="K28" s="1">
        <v>3</v>
      </c>
    </row>
    <row r="29" spans="1:11" ht="15.75" customHeight="1" x14ac:dyDescent="0.3">
      <c r="A29" s="15" t="s">
        <v>119</v>
      </c>
      <c r="B29" s="16" t="s">
        <v>198</v>
      </c>
      <c r="C29" s="20">
        <v>69</v>
      </c>
      <c r="D29" s="18">
        <v>4.55</v>
      </c>
      <c r="E29" s="15">
        <v>21</v>
      </c>
      <c r="F29" s="15">
        <v>0</v>
      </c>
      <c r="G29" s="15"/>
      <c r="H29" s="18"/>
      <c r="I29" s="21">
        <v>3</v>
      </c>
      <c r="J29" s="1">
        <v>1</v>
      </c>
      <c r="K29" s="1">
        <v>1</v>
      </c>
    </row>
    <row r="30" spans="1:11" ht="15.75" customHeight="1" x14ac:dyDescent="0.3">
      <c r="A30" s="15" t="s">
        <v>134</v>
      </c>
      <c r="B30" s="16" t="s">
        <v>176</v>
      </c>
      <c r="C30" s="15">
        <v>79</v>
      </c>
      <c r="D30" s="18">
        <v>0.309</v>
      </c>
      <c r="E30" s="15">
        <v>23.3</v>
      </c>
      <c r="F30" s="15">
        <v>0.5</v>
      </c>
      <c r="G30" s="15"/>
      <c r="H30" s="47">
        <v>480</v>
      </c>
      <c r="I30" s="17">
        <v>4</v>
      </c>
      <c r="J30" s="1">
        <v>10</v>
      </c>
      <c r="K30" s="1">
        <v>10</v>
      </c>
    </row>
    <row r="31" spans="1:11" ht="15.75" customHeight="1" x14ac:dyDescent="0.3">
      <c r="A31" s="15" t="s">
        <v>134</v>
      </c>
      <c r="B31" s="16" t="s">
        <v>176</v>
      </c>
      <c r="C31" s="15">
        <v>80</v>
      </c>
      <c r="D31" s="18">
        <v>0.32</v>
      </c>
      <c r="E31" s="15">
        <v>24</v>
      </c>
      <c r="F31" s="15">
        <v>0</v>
      </c>
      <c r="G31" s="15"/>
      <c r="H31" s="47"/>
      <c r="I31" s="17">
        <v>4</v>
      </c>
      <c r="J31" s="1">
        <v>7</v>
      </c>
      <c r="K31" s="1">
        <v>7</v>
      </c>
    </row>
    <row r="32" spans="1:11" ht="15.75" customHeight="1" x14ac:dyDescent="0.3">
      <c r="A32" s="15" t="s">
        <v>134</v>
      </c>
      <c r="B32" s="16" t="s">
        <v>177</v>
      </c>
      <c r="C32" s="15">
        <v>80</v>
      </c>
      <c r="D32" s="18">
        <v>1.85</v>
      </c>
      <c r="E32" s="15">
        <v>25.3</v>
      </c>
      <c r="F32" s="15">
        <v>0.8</v>
      </c>
      <c r="G32" s="15"/>
      <c r="H32" s="47">
        <v>480</v>
      </c>
      <c r="I32" s="17">
        <v>3</v>
      </c>
      <c r="J32" s="1">
        <v>14</v>
      </c>
      <c r="K32" s="1">
        <v>17</v>
      </c>
    </row>
    <row r="33" spans="1:11" ht="15.75" customHeight="1" x14ac:dyDescent="0.3">
      <c r="A33" s="15" t="s">
        <v>134</v>
      </c>
      <c r="B33" s="23" t="s">
        <v>177</v>
      </c>
      <c r="C33" s="15">
        <v>58</v>
      </c>
      <c r="D33" s="18">
        <v>0.27</v>
      </c>
      <c r="E33" s="15">
        <v>26.8</v>
      </c>
      <c r="F33" s="15">
        <v>0.5</v>
      </c>
      <c r="G33" s="15"/>
      <c r="H33" s="47"/>
      <c r="I33" s="17">
        <v>3</v>
      </c>
      <c r="J33" s="1">
        <v>5</v>
      </c>
      <c r="K33" s="1">
        <v>5</v>
      </c>
    </row>
    <row r="34" spans="1:11" ht="15.75" customHeight="1" x14ac:dyDescent="0.3">
      <c r="A34" s="15" t="s">
        <v>134</v>
      </c>
      <c r="B34" s="23" t="s">
        <v>200</v>
      </c>
      <c r="C34" s="20">
        <v>77</v>
      </c>
      <c r="D34" s="18">
        <v>0.28999999999999998</v>
      </c>
      <c r="E34" s="15">
        <v>22</v>
      </c>
      <c r="F34" s="15">
        <v>0</v>
      </c>
      <c r="G34" s="15"/>
      <c r="H34" s="18"/>
      <c r="I34" s="17">
        <v>5</v>
      </c>
      <c r="J34" s="1">
        <v>2</v>
      </c>
      <c r="K34" s="1">
        <v>2</v>
      </c>
    </row>
    <row r="35" spans="1:11" ht="15.75" customHeight="1" x14ac:dyDescent="0.3">
      <c r="A35" s="15" t="s">
        <v>134</v>
      </c>
      <c r="B35" s="23" t="s">
        <v>200</v>
      </c>
      <c r="C35" s="15">
        <v>77</v>
      </c>
      <c r="D35" s="18">
        <v>0.28999999999999998</v>
      </c>
      <c r="E35" s="15">
        <v>25.9</v>
      </c>
      <c r="F35" s="15">
        <v>0</v>
      </c>
      <c r="G35" s="15"/>
      <c r="H35" s="47">
        <v>480</v>
      </c>
      <c r="I35" s="17">
        <v>5</v>
      </c>
      <c r="J35" s="1">
        <v>12</v>
      </c>
      <c r="K35" s="1">
        <v>12</v>
      </c>
    </row>
    <row r="36" spans="1:11" ht="15.75" customHeight="1" x14ac:dyDescent="0.3">
      <c r="A36" s="15" t="s">
        <v>134</v>
      </c>
      <c r="B36" s="23" t="s">
        <v>200</v>
      </c>
      <c r="C36" s="15">
        <v>55</v>
      </c>
      <c r="D36" s="18">
        <v>4.9000000000000002E-2</v>
      </c>
      <c r="E36" s="15">
        <v>27.2</v>
      </c>
      <c r="F36" s="15">
        <v>0</v>
      </c>
      <c r="G36" s="15"/>
      <c r="H36" s="47"/>
      <c r="I36" s="17">
        <v>5</v>
      </c>
      <c r="J36" s="1">
        <v>3</v>
      </c>
      <c r="K36" s="1">
        <v>3</v>
      </c>
    </row>
    <row r="37" spans="1:11" ht="15.75" customHeight="1" x14ac:dyDescent="0.3">
      <c r="A37" s="15" t="s">
        <v>134</v>
      </c>
      <c r="B37" s="23" t="s">
        <v>180</v>
      </c>
      <c r="C37" s="15">
        <v>76</v>
      </c>
      <c r="D37" s="18">
        <v>0.30399999999999999</v>
      </c>
      <c r="E37" s="15">
        <v>24.9</v>
      </c>
      <c r="F37" s="15">
        <v>2</v>
      </c>
      <c r="G37" s="15"/>
      <c r="H37" s="47">
        <v>480</v>
      </c>
      <c r="I37" s="17">
        <v>5</v>
      </c>
      <c r="J37" s="1">
        <v>0</v>
      </c>
      <c r="K37" s="1">
        <v>0</v>
      </c>
    </row>
    <row r="38" spans="1:11" ht="15.75" customHeight="1" x14ac:dyDescent="0.3">
      <c r="A38" s="15" t="s">
        <v>134</v>
      </c>
      <c r="B38" s="23" t="s">
        <v>180</v>
      </c>
      <c r="C38" s="15">
        <v>47</v>
      </c>
      <c r="D38" s="18">
        <v>0.13600000000000001</v>
      </c>
      <c r="E38" s="15">
        <v>29.3</v>
      </c>
      <c r="F38" s="15">
        <v>0.7</v>
      </c>
      <c r="G38" s="15"/>
      <c r="H38" s="47"/>
      <c r="I38" s="17">
        <v>5</v>
      </c>
      <c r="J38" s="1">
        <v>2</v>
      </c>
      <c r="K38" s="1">
        <v>3</v>
      </c>
    </row>
    <row r="39" spans="1:11" ht="15.75" customHeight="1" x14ac:dyDescent="0.3">
      <c r="A39" s="15" t="s">
        <v>134</v>
      </c>
      <c r="B39" s="23" t="s">
        <v>181</v>
      </c>
      <c r="C39" s="20">
        <v>63</v>
      </c>
      <c r="D39" s="18">
        <v>0.08</v>
      </c>
      <c r="E39" s="15">
        <v>21</v>
      </c>
      <c r="F39" s="15">
        <v>0</v>
      </c>
      <c r="G39" s="15"/>
      <c r="H39" s="18"/>
      <c r="I39" s="17">
        <v>3</v>
      </c>
      <c r="J39" s="1">
        <v>1</v>
      </c>
      <c r="K39" s="1">
        <v>1</v>
      </c>
    </row>
    <row r="40" spans="1:11" ht="15.75" customHeight="1" x14ac:dyDescent="0.3">
      <c r="A40" s="15" t="s">
        <v>138</v>
      </c>
      <c r="B40" s="23" t="s">
        <v>181</v>
      </c>
      <c r="C40" s="15">
        <v>63</v>
      </c>
      <c r="D40" s="18">
        <v>6.6900000000000001E-2</v>
      </c>
      <c r="E40" s="15">
        <v>33.700000000000003</v>
      </c>
      <c r="F40" s="15">
        <v>2.4</v>
      </c>
      <c r="G40" s="15"/>
      <c r="H40" s="47">
        <v>480</v>
      </c>
      <c r="I40" s="17">
        <v>3</v>
      </c>
      <c r="J40" s="1">
        <v>4</v>
      </c>
      <c r="K40" s="1">
        <v>4</v>
      </c>
    </row>
    <row r="41" spans="1:11" ht="15.75" customHeight="1" x14ac:dyDescent="0.3">
      <c r="A41" s="15" t="s">
        <v>134</v>
      </c>
      <c r="B41" s="23" t="s">
        <v>181</v>
      </c>
      <c r="C41" s="15">
        <v>44</v>
      </c>
      <c r="D41" s="18">
        <v>21.4</v>
      </c>
      <c r="E41" s="15">
        <v>34.4</v>
      </c>
      <c r="F41" s="15">
        <v>2</v>
      </c>
      <c r="G41" s="15"/>
      <c r="H41" s="47"/>
      <c r="I41" s="17">
        <v>3</v>
      </c>
      <c r="J41" s="1">
        <v>4</v>
      </c>
      <c r="K41" s="1">
        <v>4</v>
      </c>
    </row>
    <row r="42" spans="1:11" ht="15.75" customHeight="1" x14ac:dyDescent="0.3">
      <c r="A42" s="15" t="s">
        <v>134</v>
      </c>
      <c r="B42" s="23" t="s">
        <v>198</v>
      </c>
      <c r="C42" s="15">
        <v>57</v>
      </c>
      <c r="D42" s="18">
        <v>32.799999999999997</v>
      </c>
      <c r="E42" s="15">
        <v>30.4</v>
      </c>
      <c r="F42" s="15">
        <v>3.9</v>
      </c>
      <c r="G42" s="15"/>
      <c r="H42" s="47">
        <v>480</v>
      </c>
      <c r="I42" s="17">
        <v>3</v>
      </c>
      <c r="J42" s="1">
        <v>1</v>
      </c>
      <c r="K42" s="1">
        <v>1</v>
      </c>
    </row>
    <row r="43" spans="1:11" ht="15.75" customHeight="1" x14ac:dyDescent="0.3">
      <c r="A43" s="15" t="s">
        <v>134</v>
      </c>
      <c r="B43" s="15" t="s">
        <v>198</v>
      </c>
      <c r="C43" s="15">
        <v>28</v>
      </c>
      <c r="D43" s="18">
        <v>31.5</v>
      </c>
      <c r="E43" s="15">
        <v>43.8</v>
      </c>
      <c r="F43" s="15">
        <v>1.1000000000000001</v>
      </c>
      <c r="G43" s="15"/>
      <c r="H43" s="47"/>
      <c r="I43" s="17">
        <v>3</v>
      </c>
      <c r="J43" s="1">
        <v>2</v>
      </c>
      <c r="K43" s="1">
        <v>2</v>
      </c>
    </row>
    <row r="44" spans="1:11" ht="15.75" customHeight="1" x14ac:dyDescent="0.3">
      <c r="A44" s="15" t="s">
        <v>141</v>
      </c>
      <c r="B44" s="26" t="s">
        <v>176</v>
      </c>
      <c r="C44" s="30">
        <v>95</v>
      </c>
      <c r="D44" s="29">
        <v>0.59</v>
      </c>
      <c r="E44" s="30">
        <v>23.4</v>
      </c>
      <c r="F44" s="30">
        <v>0</v>
      </c>
      <c r="G44" s="15"/>
      <c r="H44" s="31">
        <v>480</v>
      </c>
      <c r="I44" s="21">
        <v>4</v>
      </c>
      <c r="J44" s="1">
        <v>9</v>
      </c>
      <c r="K44" s="1">
        <v>18</v>
      </c>
    </row>
    <row r="45" spans="1:11" ht="15.75" customHeight="1" x14ac:dyDescent="0.3">
      <c r="A45" s="15" t="s">
        <v>141</v>
      </c>
      <c r="B45" s="26" t="s">
        <v>177</v>
      </c>
      <c r="C45" s="30">
        <v>99</v>
      </c>
      <c r="D45" s="29">
        <v>34.6</v>
      </c>
      <c r="E45" s="30">
        <v>25.4</v>
      </c>
      <c r="F45" s="30">
        <v>2.2999999999999998</v>
      </c>
      <c r="G45" s="15"/>
      <c r="H45" s="29"/>
      <c r="I45" s="21">
        <v>3</v>
      </c>
      <c r="J45" s="1">
        <v>11</v>
      </c>
      <c r="K45" s="1">
        <v>11</v>
      </c>
    </row>
    <row r="46" spans="1:11" ht="15.75" customHeight="1" x14ac:dyDescent="0.3">
      <c r="A46" s="15" t="s">
        <v>141</v>
      </c>
      <c r="B46" s="26" t="s">
        <v>200</v>
      </c>
      <c r="C46" s="33">
        <v>99</v>
      </c>
      <c r="D46" s="29">
        <v>0.42</v>
      </c>
      <c r="E46" s="30">
        <v>22</v>
      </c>
      <c r="F46" s="30">
        <v>0</v>
      </c>
      <c r="G46" s="15"/>
      <c r="H46" s="29"/>
      <c r="I46" s="21">
        <v>5</v>
      </c>
      <c r="J46" s="1">
        <v>7</v>
      </c>
      <c r="K46" s="1">
        <v>10</v>
      </c>
    </row>
    <row r="47" spans="1:11" ht="15.75" customHeight="1" x14ac:dyDescent="0.3">
      <c r="A47" s="15" t="s">
        <v>141</v>
      </c>
      <c r="B47" s="26" t="s">
        <v>200</v>
      </c>
      <c r="C47" s="30">
        <v>99</v>
      </c>
      <c r="D47" s="34">
        <v>0.47249999999999998</v>
      </c>
      <c r="E47" s="30">
        <v>25.7</v>
      </c>
      <c r="F47" s="26">
        <v>0</v>
      </c>
      <c r="G47" s="15"/>
      <c r="H47" s="30">
        <v>480</v>
      </c>
      <c r="I47" s="21">
        <v>5</v>
      </c>
      <c r="J47" s="1">
        <v>8</v>
      </c>
      <c r="K47" s="1">
        <v>9</v>
      </c>
    </row>
    <row r="48" spans="1:11" ht="15.75" customHeight="1" x14ac:dyDescent="0.3">
      <c r="A48" s="15" t="s">
        <v>141</v>
      </c>
      <c r="B48" s="26" t="s">
        <v>200</v>
      </c>
      <c r="C48" s="30">
        <v>99</v>
      </c>
      <c r="D48" s="29">
        <v>32.6</v>
      </c>
      <c r="E48" s="30">
        <v>23.7</v>
      </c>
      <c r="F48" s="26">
        <v>0</v>
      </c>
      <c r="G48" s="15"/>
      <c r="H48" s="26"/>
      <c r="I48" s="21">
        <v>5</v>
      </c>
      <c r="J48" s="1">
        <v>3</v>
      </c>
      <c r="K48" s="1">
        <v>3</v>
      </c>
    </row>
    <row r="49" spans="1:11" ht="15.75" customHeight="1" x14ac:dyDescent="0.3">
      <c r="A49" s="15" t="s">
        <v>141</v>
      </c>
      <c r="B49" s="26" t="s">
        <v>180</v>
      </c>
      <c r="C49" s="30">
        <v>97</v>
      </c>
      <c r="D49" s="35">
        <v>0.53600000000000003</v>
      </c>
      <c r="E49" s="30">
        <v>24.9</v>
      </c>
      <c r="F49" s="30">
        <v>0</v>
      </c>
      <c r="G49" s="15"/>
      <c r="H49" s="30">
        <v>480</v>
      </c>
      <c r="I49" s="21">
        <v>5</v>
      </c>
      <c r="J49" s="1">
        <v>5</v>
      </c>
      <c r="K49" s="1">
        <v>9</v>
      </c>
    </row>
    <row r="50" spans="1:11" ht="15.75" customHeight="1" x14ac:dyDescent="0.3">
      <c r="A50" s="15" t="s">
        <v>141</v>
      </c>
      <c r="B50" s="26" t="s">
        <v>180</v>
      </c>
      <c r="C50" s="30">
        <v>99</v>
      </c>
      <c r="D50" s="29">
        <v>47.9</v>
      </c>
      <c r="E50" s="30">
        <v>24.1</v>
      </c>
      <c r="F50" s="30">
        <v>0.5</v>
      </c>
      <c r="G50" s="15"/>
      <c r="H50" s="30"/>
      <c r="I50" s="21">
        <v>5</v>
      </c>
      <c r="J50" s="1">
        <v>1</v>
      </c>
      <c r="K50" s="1">
        <v>1</v>
      </c>
    </row>
    <row r="51" spans="1:11" ht="15.75" customHeight="1" x14ac:dyDescent="0.3">
      <c r="A51" s="15" t="s">
        <v>141</v>
      </c>
      <c r="B51" s="26" t="s">
        <v>181</v>
      </c>
      <c r="C51" s="30">
        <v>99</v>
      </c>
      <c r="D51" s="29">
        <v>53.2</v>
      </c>
      <c r="E51" s="30">
        <v>27.5</v>
      </c>
      <c r="F51" s="30">
        <v>0</v>
      </c>
      <c r="G51" s="15"/>
      <c r="H51" s="30">
        <v>480</v>
      </c>
      <c r="I51" s="21">
        <v>3</v>
      </c>
      <c r="J51" s="1">
        <v>4</v>
      </c>
      <c r="K51" s="1">
        <v>7</v>
      </c>
    </row>
    <row r="52" spans="1:11" ht="15.75" customHeight="1" x14ac:dyDescent="0.3">
      <c r="A52" s="15" t="s">
        <v>141</v>
      </c>
      <c r="B52" s="26" t="s">
        <v>181</v>
      </c>
      <c r="C52" s="30">
        <v>99</v>
      </c>
      <c r="D52" s="29">
        <v>8.23</v>
      </c>
      <c r="E52" s="30">
        <v>23.7</v>
      </c>
      <c r="F52" s="30">
        <v>0</v>
      </c>
      <c r="G52" s="15"/>
      <c r="H52" s="30"/>
      <c r="I52" s="21">
        <v>3</v>
      </c>
      <c r="J52" s="1">
        <v>2</v>
      </c>
      <c r="K52" s="1">
        <v>4</v>
      </c>
    </row>
    <row r="53" spans="1:11" ht="15.75" customHeight="1" x14ac:dyDescent="0.3">
      <c r="A53" s="15" t="s">
        <v>141</v>
      </c>
      <c r="B53" s="26" t="s">
        <v>198</v>
      </c>
      <c r="C53" s="30">
        <v>77</v>
      </c>
      <c r="D53" s="29">
        <v>8.5399999999999991</v>
      </c>
      <c r="E53" s="30">
        <v>28</v>
      </c>
      <c r="F53" s="30">
        <v>1.75</v>
      </c>
      <c r="G53" s="15"/>
      <c r="H53" s="30">
        <v>480</v>
      </c>
      <c r="I53" s="21">
        <v>3</v>
      </c>
      <c r="J53" s="1">
        <v>6</v>
      </c>
      <c r="K53" s="1">
        <v>12</v>
      </c>
    </row>
    <row r="54" spans="1:11" ht="15.75" customHeight="1" x14ac:dyDescent="0.3">
      <c r="A54" s="15" t="s">
        <v>141</v>
      </c>
      <c r="B54" s="26" t="s">
        <v>198</v>
      </c>
      <c r="C54" s="30">
        <v>99</v>
      </c>
      <c r="D54" s="29">
        <v>7.51</v>
      </c>
      <c r="E54" s="30">
        <v>23.7</v>
      </c>
      <c r="F54" s="30">
        <v>0</v>
      </c>
      <c r="G54" s="15"/>
      <c r="H54" s="30"/>
      <c r="I54" s="21">
        <v>3</v>
      </c>
      <c r="J54" s="1">
        <v>4</v>
      </c>
      <c r="K54" s="1">
        <v>15</v>
      </c>
    </row>
    <row r="55" spans="1:11" ht="15.75" customHeight="1" x14ac:dyDescent="0.3">
      <c r="A55" s="15" t="s">
        <v>141</v>
      </c>
      <c r="B55" s="27" t="s">
        <v>183</v>
      </c>
      <c r="C55" s="30">
        <v>79</v>
      </c>
      <c r="D55" s="29">
        <v>73.7</v>
      </c>
      <c r="E55" s="30">
        <v>29.1</v>
      </c>
      <c r="F55" s="30">
        <v>1</v>
      </c>
      <c r="G55" s="15"/>
      <c r="H55" s="26"/>
      <c r="I55" s="21">
        <v>3</v>
      </c>
      <c r="J55" s="1">
        <v>0</v>
      </c>
      <c r="K55" s="1">
        <v>0</v>
      </c>
    </row>
    <row r="56" spans="1:11" ht="15.75" customHeight="1" x14ac:dyDescent="0.3">
      <c r="A56" s="15" t="s">
        <v>141</v>
      </c>
      <c r="B56" s="27" t="s">
        <v>185</v>
      </c>
      <c r="C56" s="33">
        <v>73</v>
      </c>
      <c r="D56" s="29">
        <v>50.3</v>
      </c>
      <c r="E56" s="30">
        <v>17</v>
      </c>
      <c r="F56" s="30">
        <v>0</v>
      </c>
      <c r="G56" s="15"/>
      <c r="H56" s="26"/>
      <c r="I56" s="21"/>
      <c r="J56" s="1">
        <v>2</v>
      </c>
      <c r="K56" s="1">
        <v>2</v>
      </c>
    </row>
    <row r="57" spans="1:11" ht="15.75" customHeight="1" x14ac:dyDescent="0.3">
      <c r="A57" s="15" t="s">
        <v>141</v>
      </c>
      <c r="B57" s="27" t="s">
        <v>185</v>
      </c>
      <c r="C57" s="30">
        <v>72</v>
      </c>
      <c r="D57" s="29">
        <v>50.4</v>
      </c>
      <c r="E57" s="30">
        <v>30.4</v>
      </c>
      <c r="F57" s="30">
        <v>0</v>
      </c>
      <c r="G57" s="15"/>
      <c r="H57" s="26"/>
      <c r="I57" s="21">
        <v>1</v>
      </c>
      <c r="J57" s="1">
        <v>3</v>
      </c>
      <c r="K57" s="1">
        <v>7</v>
      </c>
    </row>
    <row r="58" spans="1:11" ht="15.75" customHeight="1" x14ac:dyDescent="0.3">
      <c r="A58" s="15" t="s">
        <v>141</v>
      </c>
      <c r="B58" s="27" t="s">
        <v>186</v>
      </c>
      <c r="C58" s="30">
        <v>75</v>
      </c>
      <c r="D58" s="35">
        <v>0.71899999999999997</v>
      </c>
      <c r="E58" s="30">
        <v>25.8</v>
      </c>
      <c r="F58" s="30">
        <v>0</v>
      </c>
      <c r="G58" s="15"/>
      <c r="H58" s="26"/>
      <c r="I58" s="21">
        <v>6</v>
      </c>
      <c r="J58" s="1">
        <v>0</v>
      </c>
      <c r="K58" s="1">
        <v>0</v>
      </c>
    </row>
    <row r="59" spans="1:11" ht="15.75" customHeight="1" x14ac:dyDescent="0.3">
      <c r="A59" s="15" t="s">
        <v>146</v>
      </c>
      <c r="B59" s="23" t="s">
        <v>176</v>
      </c>
      <c r="C59" s="15">
        <v>99</v>
      </c>
      <c r="D59" s="36">
        <v>0.27700000000000002</v>
      </c>
      <c r="E59" s="15">
        <v>26.4</v>
      </c>
      <c r="F59" s="15">
        <v>0</v>
      </c>
      <c r="G59" s="15">
        <v>100</v>
      </c>
      <c r="H59" s="15"/>
      <c r="I59" s="17">
        <v>4</v>
      </c>
      <c r="J59" s="1">
        <v>6</v>
      </c>
      <c r="K59" s="1">
        <v>22</v>
      </c>
    </row>
    <row r="60" spans="1:11" ht="15.75" customHeight="1" x14ac:dyDescent="0.3">
      <c r="A60" s="15" t="s">
        <v>146</v>
      </c>
      <c r="B60" s="23" t="s">
        <v>177</v>
      </c>
      <c r="C60" s="15">
        <v>92</v>
      </c>
      <c r="D60" s="18">
        <v>0.78</v>
      </c>
      <c r="E60" s="15">
        <v>24.6</v>
      </c>
      <c r="F60" s="15">
        <v>0</v>
      </c>
      <c r="G60" s="15">
        <v>5</v>
      </c>
      <c r="H60" s="15"/>
      <c r="I60" s="17">
        <v>3</v>
      </c>
      <c r="J60" s="1">
        <v>9</v>
      </c>
      <c r="K60" s="1">
        <v>14</v>
      </c>
    </row>
    <row r="61" spans="1:11" ht="15.75" customHeight="1" x14ac:dyDescent="0.3">
      <c r="A61" s="15" t="s">
        <v>146</v>
      </c>
      <c r="B61" s="23" t="s">
        <v>200</v>
      </c>
      <c r="C61" s="15">
        <v>94</v>
      </c>
      <c r="D61" s="36">
        <v>0.50800000000000001</v>
      </c>
      <c r="E61" s="15">
        <v>24.8</v>
      </c>
      <c r="F61" s="15">
        <v>0</v>
      </c>
      <c r="G61" s="15">
        <v>5</v>
      </c>
      <c r="H61" s="15"/>
      <c r="I61" s="17">
        <v>5</v>
      </c>
      <c r="J61" s="1">
        <v>8</v>
      </c>
      <c r="K61" s="1">
        <v>8</v>
      </c>
    </row>
    <row r="62" spans="1:11" ht="15.75" customHeight="1" x14ac:dyDescent="0.3">
      <c r="A62" s="15" t="s">
        <v>146</v>
      </c>
      <c r="B62" s="23" t="s">
        <v>200</v>
      </c>
      <c r="C62" s="15">
        <v>94</v>
      </c>
      <c r="D62" s="36">
        <v>0.5</v>
      </c>
      <c r="E62" s="15">
        <v>24.8</v>
      </c>
      <c r="F62" s="15">
        <v>0</v>
      </c>
      <c r="G62" s="15">
        <v>100</v>
      </c>
      <c r="H62" s="15">
        <v>870</v>
      </c>
      <c r="I62" s="17">
        <v>5</v>
      </c>
      <c r="J62" s="1">
        <v>2</v>
      </c>
      <c r="K62" s="1">
        <v>6</v>
      </c>
    </row>
    <row r="63" spans="1:11" ht="15.75" customHeight="1" x14ac:dyDescent="0.3">
      <c r="A63" s="15" t="s">
        <v>146</v>
      </c>
      <c r="B63" s="23" t="s">
        <v>200</v>
      </c>
      <c r="C63" s="20">
        <v>94</v>
      </c>
      <c r="D63" s="36">
        <v>0.5</v>
      </c>
      <c r="E63" s="15">
        <v>23</v>
      </c>
      <c r="F63" s="15">
        <v>0</v>
      </c>
      <c r="G63" s="15">
        <v>100</v>
      </c>
      <c r="H63" s="15"/>
      <c r="I63" s="17">
        <v>5</v>
      </c>
      <c r="J63" s="1">
        <v>5</v>
      </c>
      <c r="K63" s="1">
        <v>5</v>
      </c>
    </row>
    <row r="64" spans="1:11" ht="15.75" customHeight="1" x14ac:dyDescent="0.3">
      <c r="A64" s="15" t="s">
        <v>146</v>
      </c>
      <c r="B64" s="23" t="s">
        <v>200</v>
      </c>
      <c r="C64" s="20">
        <v>94</v>
      </c>
      <c r="D64" s="36">
        <v>0.5</v>
      </c>
      <c r="E64" s="15">
        <v>22</v>
      </c>
      <c r="F64" s="15">
        <v>0</v>
      </c>
      <c r="G64" s="15">
        <v>100</v>
      </c>
      <c r="H64" s="15"/>
      <c r="I64" s="17">
        <v>5</v>
      </c>
      <c r="J64" s="1">
        <v>1</v>
      </c>
      <c r="K64" s="1">
        <v>1</v>
      </c>
    </row>
    <row r="65" spans="1:11" ht="15.75" customHeight="1" x14ac:dyDescent="0.3">
      <c r="A65" s="15" t="s">
        <v>146</v>
      </c>
      <c r="B65" s="23" t="s">
        <v>181</v>
      </c>
      <c r="C65" s="15">
        <v>99</v>
      </c>
      <c r="D65" s="18">
        <v>7.59</v>
      </c>
      <c r="E65" s="15">
        <v>23.9</v>
      </c>
      <c r="F65" s="15">
        <v>0</v>
      </c>
      <c r="G65" s="15">
        <v>100</v>
      </c>
      <c r="H65" s="15">
        <v>870</v>
      </c>
      <c r="I65" s="17">
        <v>3</v>
      </c>
      <c r="J65" s="1">
        <v>5</v>
      </c>
      <c r="K65" s="1">
        <v>6</v>
      </c>
    </row>
    <row r="66" spans="1:11" ht="15.75" customHeight="1" x14ac:dyDescent="0.3">
      <c r="A66" s="15" t="s">
        <v>146</v>
      </c>
      <c r="B66" s="23" t="s">
        <v>198</v>
      </c>
      <c r="C66" s="15">
        <v>99</v>
      </c>
      <c r="D66" s="18">
        <v>13.05</v>
      </c>
      <c r="E66" s="15">
        <v>25.9</v>
      </c>
      <c r="F66" s="15">
        <v>0.45</v>
      </c>
      <c r="G66" s="15">
        <v>100</v>
      </c>
      <c r="H66" s="15">
        <v>870</v>
      </c>
      <c r="I66" s="17">
        <v>3</v>
      </c>
      <c r="J66" s="1">
        <v>4</v>
      </c>
      <c r="K66" s="1">
        <v>4</v>
      </c>
    </row>
    <row r="67" spans="1:11" ht="15.75" customHeight="1" x14ac:dyDescent="0.3">
      <c r="A67" s="15" t="s">
        <v>146</v>
      </c>
      <c r="B67" s="23" t="s">
        <v>199</v>
      </c>
      <c r="C67" s="15">
        <v>93</v>
      </c>
      <c r="D67" s="18">
        <v>6.64</v>
      </c>
      <c r="E67" s="15">
        <v>26</v>
      </c>
      <c r="F67" s="15">
        <v>0</v>
      </c>
      <c r="G67" s="15">
        <v>100</v>
      </c>
      <c r="H67" s="15">
        <v>870</v>
      </c>
      <c r="I67" s="17">
        <v>2</v>
      </c>
      <c r="J67" s="1">
        <v>7</v>
      </c>
      <c r="K67" s="1">
        <v>13</v>
      </c>
    </row>
    <row r="68" spans="1:11" ht="15.75" customHeight="1" x14ac:dyDescent="0.3">
      <c r="A68" s="15" t="s">
        <v>146</v>
      </c>
      <c r="B68" s="23" t="s">
        <v>199</v>
      </c>
      <c r="C68" s="15">
        <v>59</v>
      </c>
      <c r="D68" s="18">
        <v>39.5</v>
      </c>
      <c r="E68" s="15">
        <v>31.13</v>
      </c>
      <c r="F68" s="15">
        <v>2.1</v>
      </c>
      <c r="G68" s="15">
        <v>100</v>
      </c>
      <c r="H68" s="15"/>
      <c r="I68" s="17">
        <v>2</v>
      </c>
      <c r="J68" s="1">
        <v>4</v>
      </c>
      <c r="K68" s="1">
        <v>9</v>
      </c>
    </row>
    <row r="69" spans="1:11" ht="15.75" customHeight="1" x14ac:dyDescent="0.3">
      <c r="A69" s="15" t="s">
        <v>146</v>
      </c>
      <c r="B69" s="23" t="s">
        <v>199</v>
      </c>
      <c r="C69" s="15">
        <v>80</v>
      </c>
      <c r="D69" s="18">
        <v>6.56</v>
      </c>
      <c r="E69" s="15">
        <v>23.9</v>
      </c>
      <c r="F69" s="15">
        <v>0</v>
      </c>
      <c r="G69" s="15">
        <v>100</v>
      </c>
      <c r="H69" s="15"/>
      <c r="I69" s="17">
        <v>2</v>
      </c>
      <c r="J69" s="1">
        <v>0</v>
      </c>
      <c r="K69" s="1">
        <v>0</v>
      </c>
    </row>
    <row r="70" spans="1:11" ht="15.75" customHeight="1" x14ac:dyDescent="0.3">
      <c r="A70" s="15" t="s">
        <v>146</v>
      </c>
      <c r="B70" s="23" t="s">
        <v>183</v>
      </c>
      <c r="C70" s="15">
        <v>79</v>
      </c>
      <c r="D70" s="18">
        <v>15.5</v>
      </c>
      <c r="E70" s="15">
        <v>28.3</v>
      </c>
      <c r="F70" s="15">
        <v>0</v>
      </c>
      <c r="G70" s="15">
        <v>100</v>
      </c>
      <c r="H70" s="15">
        <v>1360</v>
      </c>
      <c r="I70" s="17">
        <v>3</v>
      </c>
      <c r="J70" s="1">
        <v>3</v>
      </c>
      <c r="K70" s="1">
        <v>3</v>
      </c>
    </row>
    <row r="71" spans="1:11" ht="15.75" customHeight="1" x14ac:dyDescent="0.3">
      <c r="A71" s="15" t="s">
        <v>146</v>
      </c>
      <c r="B71" s="23" t="s">
        <v>183</v>
      </c>
      <c r="C71" s="15">
        <v>79</v>
      </c>
      <c r="D71" s="18">
        <v>4.87</v>
      </c>
      <c r="E71" s="15">
        <v>25.2</v>
      </c>
      <c r="F71" s="15">
        <v>0</v>
      </c>
      <c r="G71" s="15">
        <v>100</v>
      </c>
      <c r="H71" s="15"/>
      <c r="I71" s="17">
        <v>3</v>
      </c>
      <c r="J71" s="1">
        <v>0</v>
      </c>
      <c r="K71" s="1">
        <v>0</v>
      </c>
    </row>
    <row r="72" spans="1:11" ht="15.75" customHeight="1" x14ac:dyDescent="0.3">
      <c r="A72" s="15" t="s">
        <v>146</v>
      </c>
      <c r="B72" s="23" t="s">
        <v>185</v>
      </c>
      <c r="C72" s="15">
        <v>86</v>
      </c>
      <c r="D72" s="18">
        <v>19.5</v>
      </c>
      <c r="E72" s="15">
        <v>27.4</v>
      </c>
      <c r="F72" s="15">
        <v>2.9</v>
      </c>
      <c r="G72" s="15">
        <v>100</v>
      </c>
      <c r="H72" s="15">
        <v>1360</v>
      </c>
      <c r="I72" s="17">
        <v>1</v>
      </c>
      <c r="J72" s="1">
        <v>3</v>
      </c>
      <c r="K72" s="1">
        <v>5</v>
      </c>
    </row>
    <row r="73" spans="1:11" ht="15.75" customHeight="1" x14ac:dyDescent="0.3">
      <c r="A73" s="15" t="s">
        <v>146</v>
      </c>
      <c r="B73" s="23" t="s">
        <v>186</v>
      </c>
      <c r="C73" s="15">
        <v>79</v>
      </c>
      <c r="D73" s="18">
        <v>0.56999999999999995</v>
      </c>
      <c r="E73" s="15">
        <v>24.8</v>
      </c>
      <c r="F73" s="15">
        <v>0</v>
      </c>
      <c r="G73" s="15">
        <v>100</v>
      </c>
      <c r="H73" s="15">
        <v>1360</v>
      </c>
      <c r="I73" s="17">
        <v>6</v>
      </c>
      <c r="J73" s="1">
        <v>3</v>
      </c>
      <c r="K73" s="1">
        <v>4</v>
      </c>
    </row>
    <row r="74" spans="1:11" ht="15.75" customHeight="1" x14ac:dyDescent="0.3">
      <c r="A74" s="15" t="s">
        <v>146</v>
      </c>
      <c r="B74" s="23" t="s">
        <v>186</v>
      </c>
      <c r="C74" s="15">
        <v>96</v>
      </c>
      <c r="D74" s="18">
        <v>15.05</v>
      </c>
      <c r="E74" s="15">
        <v>30.2</v>
      </c>
      <c r="F74" s="15">
        <v>0</v>
      </c>
      <c r="G74" s="15">
        <v>100</v>
      </c>
      <c r="H74" s="15"/>
      <c r="I74" s="17">
        <v>6</v>
      </c>
      <c r="J74" s="1">
        <v>2</v>
      </c>
      <c r="K74" s="1">
        <v>6</v>
      </c>
    </row>
    <row r="75" spans="1:11" ht="15.75" customHeight="1" x14ac:dyDescent="0.3">
      <c r="A75" s="15" t="s">
        <v>146</v>
      </c>
      <c r="B75" s="15" t="s">
        <v>186</v>
      </c>
      <c r="C75" s="15">
        <v>57</v>
      </c>
      <c r="D75" s="18">
        <v>153.19999999999999</v>
      </c>
      <c r="E75" s="15">
        <v>30.2</v>
      </c>
      <c r="F75" s="15">
        <v>0.4</v>
      </c>
      <c r="G75" s="15">
        <v>100</v>
      </c>
      <c r="H75" s="15"/>
      <c r="I75" s="17">
        <v>6</v>
      </c>
      <c r="J75" s="1">
        <v>2</v>
      </c>
      <c r="K75" s="1">
        <v>3</v>
      </c>
    </row>
    <row r="76" spans="1:11" ht="15.75" customHeight="1" x14ac:dyDescent="0.3">
      <c r="A76" s="15" t="s">
        <v>153</v>
      </c>
      <c r="B76" s="23" t="s">
        <v>176</v>
      </c>
      <c r="C76" s="15">
        <v>98</v>
      </c>
      <c r="D76" s="18">
        <v>7.54</v>
      </c>
      <c r="E76" s="15">
        <v>25.8</v>
      </c>
      <c r="F76" s="15">
        <v>0</v>
      </c>
      <c r="G76" s="15">
        <v>100</v>
      </c>
      <c r="H76" s="15"/>
      <c r="I76" s="17">
        <v>4</v>
      </c>
      <c r="J76" s="1">
        <v>5</v>
      </c>
      <c r="K76" s="1">
        <v>7</v>
      </c>
    </row>
    <row r="77" spans="1:11" ht="15.75" customHeight="1" x14ac:dyDescent="0.3">
      <c r="A77" s="15" t="s">
        <v>153</v>
      </c>
      <c r="B77" s="23" t="s">
        <v>176</v>
      </c>
      <c r="C77" s="15">
        <v>99</v>
      </c>
      <c r="D77" s="18">
        <v>6.06</v>
      </c>
      <c r="E77" s="15">
        <v>25.35</v>
      </c>
      <c r="F77" s="15">
        <v>0</v>
      </c>
      <c r="G77" s="15">
        <v>100</v>
      </c>
      <c r="H77" s="15">
        <v>580</v>
      </c>
      <c r="I77" s="17">
        <v>4</v>
      </c>
      <c r="J77" s="1">
        <v>9</v>
      </c>
      <c r="K77" s="1">
        <v>9</v>
      </c>
    </row>
    <row r="78" spans="1:11" ht="15.75" customHeight="1" x14ac:dyDescent="0.3">
      <c r="A78" s="15" t="s">
        <v>153</v>
      </c>
      <c r="B78" s="23" t="s">
        <v>177</v>
      </c>
      <c r="C78" s="15">
        <v>98</v>
      </c>
      <c r="D78" s="18">
        <v>0.77</v>
      </c>
      <c r="E78" s="15">
        <v>22.6</v>
      </c>
      <c r="F78" s="15">
        <v>0</v>
      </c>
      <c r="G78" s="15">
        <v>100</v>
      </c>
      <c r="H78" s="15">
        <v>580</v>
      </c>
      <c r="I78" s="17">
        <v>3</v>
      </c>
      <c r="J78" s="1">
        <v>8</v>
      </c>
      <c r="K78" s="1">
        <v>14</v>
      </c>
    </row>
    <row r="79" spans="1:11" ht="15.75" customHeight="1" x14ac:dyDescent="0.3">
      <c r="A79" s="15" t="s">
        <v>153</v>
      </c>
      <c r="B79" s="23" t="s">
        <v>177</v>
      </c>
      <c r="C79" s="15">
        <v>82</v>
      </c>
      <c r="D79" s="36">
        <v>0.19800000000000001</v>
      </c>
      <c r="E79" s="15">
        <v>24.3</v>
      </c>
      <c r="F79" s="15">
        <v>0</v>
      </c>
      <c r="G79" s="15">
        <v>20</v>
      </c>
      <c r="H79" s="15"/>
      <c r="I79" s="17">
        <v>3</v>
      </c>
      <c r="J79" s="1">
        <v>9</v>
      </c>
      <c r="K79" s="1">
        <v>12</v>
      </c>
    </row>
    <row r="80" spans="1:11" ht="15.75" customHeight="1" x14ac:dyDescent="0.3">
      <c r="A80" s="15" t="s">
        <v>153</v>
      </c>
      <c r="B80" s="23" t="s">
        <v>200</v>
      </c>
      <c r="C80" s="15">
        <v>98</v>
      </c>
      <c r="D80" s="18">
        <v>3.69</v>
      </c>
      <c r="E80" s="15">
        <v>22.35</v>
      </c>
      <c r="F80" s="15">
        <v>0</v>
      </c>
      <c r="G80" s="15">
        <v>0</v>
      </c>
      <c r="H80" s="15">
        <v>870</v>
      </c>
      <c r="I80" s="17">
        <v>5</v>
      </c>
      <c r="J80" s="1">
        <v>3</v>
      </c>
      <c r="K80" s="1">
        <v>7</v>
      </c>
    </row>
    <row r="81" spans="1:11" ht="15.75" customHeight="1" x14ac:dyDescent="0.3">
      <c r="A81" s="15" t="s">
        <v>153</v>
      </c>
      <c r="B81" s="23" t="s">
        <v>200</v>
      </c>
      <c r="C81" s="15">
        <v>98</v>
      </c>
      <c r="D81" s="18">
        <v>3.69</v>
      </c>
      <c r="E81" s="15">
        <v>22.35</v>
      </c>
      <c r="F81" s="15">
        <v>0</v>
      </c>
      <c r="G81" s="15">
        <v>0</v>
      </c>
      <c r="H81" s="15">
        <v>870</v>
      </c>
      <c r="I81" s="17">
        <v>5</v>
      </c>
      <c r="J81" s="1">
        <v>13</v>
      </c>
      <c r="K81" s="1">
        <v>14</v>
      </c>
    </row>
    <row r="82" spans="1:11" ht="15.75" customHeight="1" x14ac:dyDescent="0.3">
      <c r="A82" s="15" t="s">
        <v>153</v>
      </c>
      <c r="B82" s="23" t="s">
        <v>200</v>
      </c>
      <c r="C82" s="15">
        <v>90</v>
      </c>
      <c r="D82" s="36">
        <v>3.5000000000000003E-2</v>
      </c>
      <c r="E82" s="15">
        <v>24.2</v>
      </c>
      <c r="F82" s="15">
        <v>0</v>
      </c>
      <c r="G82" s="15">
        <v>20</v>
      </c>
      <c r="H82" s="15"/>
      <c r="I82" s="17">
        <v>5</v>
      </c>
      <c r="J82" s="1">
        <v>1</v>
      </c>
      <c r="K82" s="1">
        <v>1</v>
      </c>
    </row>
    <row r="83" spans="1:11" ht="15.75" customHeight="1" x14ac:dyDescent="0.3">
      <c r="A83" s="15" t="s">
        <v>153</v>
      </c>
      <c r="B83" s="23" t="s">
        <v>200</v>
      </c>
      <c r="C83" s="15">
        <v>61</v>
      </c>
      <c r="D83" s="36">
        <v>9.4E-2</v>
      </c>
      <c r="E83" s="15">
        <v>25.5</v>
      </c>
      <c r="F83" s="15">
        <v>0</v>
      </c>
      <c r="G83" s="15">
        <v>15</v>
      </c>
      <c r="H83" s="15"/>
      <c r="I83" s="17">
        <v>5</v>
      </c>
      <c r="J83" s="1">
        <v>6</v>
      </c>
      <c r="K83" s="1">
        <v>8</v>
      </c>
    </row>
    <row r="84" spans="1:11" ht="15.75" customHeight="1" x14ac:dyDescent="0.3">
      <c r="A84" s="15" t="s">
        <v>153</v>
      </c>
      <c r="B84" s="23" t="s">
        <v>200</v>
      </c>
      <c r="C84" s="15">
        <v>65</v>
      </c>
      <c r="D84" s="36">
        <v>3.5000000000000003E-2</v>
      </c>
      <c r="E84" s="15">
        <v>25.7</v>
      </c>
      <c r="F84" s="15">
        <v>0</v>
      </c>
      <c r="G84" s="15">
        <v>100</v>
      </c>
      <c r="H84" s="15"/>
      <c r="I84" s="17">
        <v>5</v>
      </c>
      <c r="J84" s="1">
        <v>3</v>
      </c>
      <c r="K84" s="1">
        <v>3</v>
      </c>
    </row>
    <row r="85" spans="1:11" ht="15.75" customHeight="1" x14ac:dyDescent="0.3">
      <c r="A85" s="15" t="s">
        <v>153</v>
      </c>
      <c r="B85" s="23" t="s">
        <v>180</v>
      </c>
      <c r="C85" s="15">
        <v>85</v>
      </c>
      <c r="D85" s="18">
        <v>3.81</v>
      </c>
      <c r="E85" s="15">
        <v>25</v>
      </c>
      <c r="F85" s="15">
        <v>0</v>
      </c>
      <c r="G85" s="15">
        <v>78.33</v>
      </c>
      <c r="H85" s="15">
        <v>870</v>
      </c>
      <c r="I85" s="17">
        <v>5</v>
      </c>
      <c r="J85" s="1">
        <v>3</v>
      </c>
      <c r="K85" s="1">
        <v>3</v>
      </c>
    </row>
    <row r="86" spans="1:11" ht="15.75" customHeight="1" x14ac:dyDescent="0.3">
      <c r="A86" s="15" t="s">
        <v>153</v>
      </c>
      <c r="B86" s="23" t="s">
        <v>180</v>
      </c>
      <c r="C86" s="15">
        <v>61</v>
      </c>
      <c r="D86" s="18">
        <v>4.78</v>
      </c>
      <c r="E86" s="15">
        <v>28.7</v>
      </c>
      <c r="F86" s="15">
        <v>0</v>
      </c>
      <c r="G86" s="15">
        <v>100</v>
      </c>
      <c r="H86" s="15"/>
      <c r="I86" s="17">
        <v>5</v>
      </c>
      <c r="J86" s="1">
        <v>0</v>
      </c>
      <c r="K86" s="1">
        <v>0</v>
      </c>
    </row>
    <row r="87" spans="1:11" ht="15.75" customHeight="1" x14ac:dyDescent="0.3">
      <c r="A87" s="15" t="s">
        <v>153</v>
      </c>
      <c r="B87" s="23" t="s">
        <v>180</v>
      </c>
      <c r="C87" s="15">
        <v>47</v>
      </c>
      <c r="D87" s="36">
        <v>0.74399999999999999</v>
      </c>
      <c r="E87" s="15">
        <v>29.9</v>
      </c>
      <c r="F87" s="15">
        <v>0</v>
      </c>
      <c r="G87" s="15">
        <v>2</v>
      </c>
      <c r="H87" s="15"/>
      <c r="I87" s="17">
        <v>5</v>
      </c>
      <c r="J87" s="1">
        <v>2</v>
      </c>
      <c r="K87" s="1">
        <v>2</v>
      </c>
    </row>
    <row r="88" spans="1:11" ht="15.75" customHeight="1" x14ac:dyDescent="0.3">
      <c r="A88" s="15" t="s">
        <v>153</v>
      </c>
      <c r="B88" s="23" t="s">
        <v>180</v>
      </c>
      <c r="C88" s="15">
        <v>50</v>
      </c>
      <c r="D88" s="36">
        <v>0.7</v>
      </c>
      <c r="E88" s="15">
        <v>26.3</v>
      </c>
      <c r="F88" s="15">
        <v>0</v>
      </c>
      <c r="G88" s="15">
        <v>100</v>
      </c>
      <c r="H88" s="15"/>
      <c r="I88" s="17">
        <v>5</v>
      </c>
      <c r="J88" s="1">
        <v>2</v>
      </c>
      <c r="K88" s="1">
        <v>5</v>
      </c>
    </row>
    <row r="89" spans="1:11" ht="15.75" customHeight="1" x14ac:dyDescent="0.3">
      <c r="A89" s="15" t="s">
        <v>153</v>
      </c>
      <c r="B89" s="23" t="s">
        <v>181</v>
      </c>
      <c r="C89" s="15">
        <v>85</v>
      </c>
      <c r="D89" s="18">
        <v>13.84</v>
      </c>
      <c r="E89" s="15">
        <v>26.7</v>
      </c>
      <c r="F89" s="15">
        <v>0</v>
      </c>
      <c r="G89" s="15">
        <v>100</v>
      </c>
      <c r="H89" s="15">
        <v>870</v>
      </c>
      <c r="I89" s="17">
        <v>3</v>
      </c>
      <c r="J89" s="1">
        <v>4</v>
      </c>
      <c r="K89" s="1">
        <v>6</v>
      </c>
    </row>
    <row r="90" spans="1:11" ht="15.75" customHeight="1" x14ac:dyDescent="0.3">
      <c r="A90" s="15" t="s">
        <v>153</v>
      </c>
      <c r="B90" s="23" t="s">
        <v>181</v>
      </c>
      <c r="C90" s="15">
        <v>55</v>
      </c>
      <c r="D90" s="18">
        <v>55.3</v>
      </c>
      <c r="E90" s="15">
        <v>30.2</v>
      </c>
      <c r="F90" s="15">
        <v>0</v>
      </c>
      <c r="G90" s="15">
        <v>100</v>
      </c>
      <c r="H90" s="15"/>
      <c r="I90" s="17">
        <v>3</v>
      </c>
      <c r="J90" s="1">
        <v>0</v>
      </c>
      <c r="K90" s="1">
        <v>0</v>
      </c>
    </row>
    <row r="91" spans="1:11" ht="15.75" customHeight="1" x14ac:dyDescent="0.3">
      <c r="A91" s="15" t="s">
        <v>153</v>
      </c>
      <c r="B91" s="23" t="s">
        <v>181</v>
      </c>
      <c r="C91" s="15">
        <v>51</v>
      </c>
      <c r="D91" s="18">
        <v>26.78</v>
      </c>
      <c r="E91" s="15">
        <v>30.7</v>
      </c>
      <c r="F91" s="15">
        <v>0</v>
      </c>
      <c r="G91" s="15">
        <v>23.33</v>
      </c>
      <c r="H91" s="15"/>
      <c r="I91" s="17">
        <v>3</v>
      </c>
      <c r="J91" s="1">
        <v>2</v>
      </c>
      <c r="K91" s="1">
        <v>2</v>
      </c>
    </row>
    <row r="92" spans="1:11" ht="15.75" customHeight="1" x14ac:dyDescent="0.3">
      <c r="A92" s="15" t="s">
        <v>153</v>
      </c>
      <c r="B92" s="23" t="s">
        <v>198</v>
      </c>
      <c r="C92" s="15">
        <v>90</v>
      </c>
      <c r="D92" s="18">
        <v>8.44</v>
      </c>
      <c r="E92" s="15">
        <v>27.4</v>
      </c>
      <c r="F92" s="15">
        <v>0.8</v>
      </c>
      <c r="G92" s="15">
        <v>100</v>
      </c>
      <c r="H92" s="15">
        <v>870</v>
      </c>
      <c r="I92" s="17">
        <v>3</v>
      </c>
      <c r="J92" s="1">
        <v>12</v>
      </c>
      <c r="K92" s="1">
        <v>17</v>
      </c>
    </row>
    <row r="93" spans="1:11" ht="15.75" customHeight="1" x14ac:dyDescent="0.3">
      <c r="A93" s="15" t="s">
        <v>153</v>
      </c>
      <c r="B93" s="16" t="s">
        <v>198</v>
      </c>
      <c r="C93" s="15">
        <v>58</v>
      </c>
      <c r="D93" s="18">
        <v>30.1</v>
      </c>
      <c r="E93" s="15">
        <v>29.1</v>
      </c>
      <c r="F93" s="15">
        <v>0</v>
      </c>
      <c r="G93" s="15">
        <v>98.75</v>
      </c>
      <c r="H93" s="15"/>
      <c r="I93" s="17">
        <v>3</v>
      </c>
      <c r="J93" s="1">
        <v>2</v>
      </c>
      <c r="K93" s="1">
        <v>2</v>
      </c>
    </row>
    <row r="94" spans="1:11" ht="15.75" customHeight="1" x14ac:dyDescent="0.3">
      <c r="A94" s="15" t="s">
        <v>153</v>
      </c>
      <c r="B94" s="23" t="s">
        <v>199</v>
      </c>
      <c r="C94" s="15">
        <v>77</v>
      </c>
      <c r="D94" s="36">
        <v>1.79</v>
      </c>
      <c r="E94" s="15">
        <v>23.98</v>
      </c>
      <c r="F94" s="15">
        <v>0.83</v>
      </c>
      <c r="G94" s="15">
        <v>100</v>
      </c>
      <c r="H94" s="15">
        <v>1100</v>
      </c>
      <c r="I94" s="17">
        <v>2</v>
      </c>
      <c r="J94" s="1">
        <v>3</v>
      </c>
      <c r="K94" s="1">
        <v>3</v>
      </c>
    </row>
    <row r="95" spans="1:11" ht="15.75" customHeight="1" x14ac:dyDescent="0.3">
      <c r="A95" s="15" t="s">
        <v>153</v>
      </c>
      <c r="B95" s="23" t="s">
        <v>199</v>
      </c>
      <c r="C95" s="15">
        <v>78</v>
      </c>
      <c r="D95" s="36">
        <v>20.350000000000001</v>
      </c>
      <c r="E95" s="15">
        <v>22.55</v>
      </c>
      <c r="F95" s="15">
        <v>0</v>
      </c>
      <c r="G95" s="15">
        <v>38.33</v>
      </c>
      <c r="H95" s="1">
        <v>1420</v>
      </c>
      <c r="I95" s="17">
        <v>2</v>
      </c>
      <c r="J95" s="1">
        <v>6</v>
      </c>
      <c r="K95" s="1">
        <v>14</v>
      </c>
    </row>
    <row r="96" spans="1:11" ht="15.75" customHeight="1" x14ac:dyDescent="0.3">
      <c r="A96" s="15" t="s">
        <v>153</v>
      </c>
      <c r="B96" s="23" t="s">
        <v>199</v>
      </c>
      <c r="C96" s="15">
        <v>98</v>
      </c>
      <c r="D96" s="36">
        <v>3.05</v>
      </c>
      <c r="E96" s="15">
        <v>21.7</v>
      </c>
      <c r="F96" s="15">
        <v>0.9</v>
      </c>
      <c r="G96" s="15">
        <v>100</v>
      </c>
      <c r="H96" s="15"/>
      <c r="I96" s="17">
        <v>2</v>
      </c>
      <c r="J96" s="1">
        <v>1</v>
      </c>
      <c r="K96" s="1">
        <v>1</v>
      </c>
    </row>
    <row r="97" spans="1:11" ht="15.75" customHeight="1" x14ac:dyDescent="0.3">
      <c r="A97" s="15" t="s">
        <v>153</v>
      </c>
      <c r="B97" s="23" t="s">
        <v>199</v>
      </c>
      <c r="C97" s="15">
        <v>77</v>
      </c>
      <c r="D97" s="36">
        <v>12.54</v>
      </c>
      <c r="E97" s="15">
        <v>25.3</v>
      </c>
      <c r="F97" s="15">
        <v>1</v>
      </c>
      <c r="G97" s="15">
        <v>100</v>
      </c>
      <c r="H97" s="15"/>
      <c r="I97" s="17">
        <v>2</v>
      </c>
      <c r="J97" s="1">
        <v>1</v>
      </c>
      <c r="K97" s="1">
        <v>5</v>
      </c>
    </row>
    <row r="98" spans="1:11" ht="15.75" customHeight="1" x14ac:dyDescent="0.3">
      <c r="A98" s="15" t="s">
        <v>153</v>
      </c>
      <c r="B98" s="23" t="s">
        <v>183</v>
      </c>
      <c r="C98" s="15">
        <v>95</v>
      </c>
      <c r="D98" s="18">
        <v>10.69</v>
      </c>
      <c r="E98" s="15">
        <v>22.8</v>
      </c>
      <c r="F98" s="15">
        <v>1.2</v>
      </c>
      <c r="G98" s="15">
        <v>100</v>
      </c>
      <c r="H98" s="15">
        <v>1100</v>
      </c>
      <c r="I98" s="17">
        <v>3</v>
      </c>
      <c r="J98" s="1">
        <v>4</v>
      </c>
      <c r="K98" s="1">
        <v>7</v>
      </c>
    </row>
    <row r="99" spans="1:11" ht="15.75" customHeight="1" x14ac:dyDescent="0.3">
      <c r="A99" s="15" t="s">
        <v>153</v>
      </c>
      <c r="B99" s="23" t="s">
        <v>183</v>
      </c>
      <c r="C99" s="15">
        <v>95</v>
      </c>
      <c r="D99" s="18">
        <v>5.99</v>
      </c>
      <c r="E99" s="15">
        <v>25.7</v>
      </c>
      <c r="F99" s="15">
        <v>0</v>
      </c>
      <c r="G99" s="15">
        <v>100</v>
      </c>
      <c r="H99" s="15">
        <v>1420</v>
      </c>
      <c r="I99" s="17">
        <v>3</v>
      </c>
      <c r="J99" s="1">
        <v>5</v>
      </c>
      <c r="K99" s="1">
        <v>7</v>
      </c>
    </row>
    <row r="100" spans="1:11" ht="15.75" customHeight="1" x14ac:dyDescent="0.3">
      <c r="A100" s="15" t="s">
        <v>153</v>
      </c>
      <c r="B100" s="16" t="s">
        <v>183</v>
      </c>
      <c r="C100" s="15">
        <v>98</v>
      </c>
      <c r="D100" s="18">
        <v>3.61</v>
      </c>
      <c r="E100" s="15">
        <v>23</v>
      </c>
      <c r="F100" s="15">
        <v>0</v>
      </c>
      <c r="G100" s="15">
        <v>100</v>
      </c>
      <c r="H100" s="15"/>
      <c r="I100" s="17">
        <v>3</v>
      </c>
      <c r="J100" s="1">
        <v>0</v>
      </c>
      <c r="K100" s="1">
        <v>0</v>
      </c>
    </row>
    <row r="101" spans="1:11" ht="15.75" customHeight="1" x14ac:dyDescent="0.3">
      <c r="A101" s="15" t="s">
        <v>153</v>
      </c>
      <c r="B101" s="23" t="s">
        <v>183</v>
      </c>
      <c r="C101" s="15">
        <v>80</v>
      </c>
      <c r="D101" s="18">
        <v>6.89</v>
      </c>
      <c r="E101" s="15">
        <v>24.3</v>
      </c>
      <c r="F101" s="15">
        <v>0.87</v>
      </c>
      <c r="G101" s="15">
        <v>100</v>
      </c>
      <c r="H101" s="15"/>
      <c r="I101" s="17">
        <v>3</v>
      </c>
      <c r="J101" s="1">
        <v>2</v>
      </c>
      <c r="K101" s="1">
        <v>2</v>
      </c>
    </row>
    <row r="102" spans="1:11" ht="15.75" customHeight="1" x14ac:dyDescent="0.3">
      <c r="A102" s="15" t="s">
        <v>153</v>
      </c>
      <c r="B102" s="23" t="s">
        <v>185</v>
      </c>
      <c r="C102" s="15">
        <v>80</v>
      </c>
      <c r="D102" s="36">
        <v>14.7</v>
      </c>
      <c r="E102" s="15">
        <v>24.13</v>
      </c>
      <c r="F102" s="15">
        <v>2.1</v>
      </c>
      <c r="G102" s="15">
        <v>100</v>
      </c>
      <c r="H102" s="15">
        <v>1420</v>
      </c>
      <c r="I102" s="17">
        <v>1</v>
      </c>
      <c r="J102" s="1">
        <v>3</v>
      </c>
      <c r="K102" s="1">
        <v>11</v>
      </c>
    </row>
    <row r="103" spans="1:11" ht="15.75" customHeight="1" x14ac:dyDescent="0.3">
      <c r="A103" s="15" t="s">
        <v>153</v>
      </c>
      <c r="B103" s="23" t="s">
        <v>185</v>
      </c>
      <c r="C103" s="15">
        <v>99</v>
      </c>
      <c r="D103" s="36">
        <v>12.46</v>
      </c>
      <c r="E103" s="15">
        <v>22.9</v>
      </c>
      <c r="F103" s="15">
        <v>0</v>
      </c>
      <c r="G103" s="15">
        <v>100</v>
      </c>
      <c r="H103" s="15">
        <v>1420</v>
      </c>
      <c r="I103" s="17">
        <v>1</v>
      </c>
      <c r="J103" s="1">
        <v>4</v>
      </c>
      <c r="K103" s="1">
        <v>5</v>
      </c>
    </row>
    <row r="104" spans="1:11" ht="15.75" customHeight="1" x14ac:dyDescent="0.3">
      <c r="A104" s="15" t="s">
        <v>153</v>
      </c>
      <c r="B104" s="16" t="s">
        <v>185</v>
      </c>
      <c r="C104" s="15">
        <v>99</v>
      </c>
      <c r="D104" s="18">
        <v>8.2799999999999994</v>
      </c>
      <c r="E104" s="15">
        <v>24.2</v>
      </c>
      <c r="F104" s="15">
        <v>0</v>
      </c>
      <c r="G104" s="15">
        <v>100</v>
      </c>
      <c r="H104" s="15"/>
      <c r="I104" s="17">
        <v>1</v>
      </c>
      <c r="J104" s="1">
        <v>0</v>
      </c>
      <c r="K104" s="1">
        <v>0</v>
      </c>
    </row>
    <row r="105" spans="1:11" ht="15.75" customHeight="1" x14ac:dyDescent="0.3">
      <c r="A105" s="15" t="s">
        <v>153</v>
      </c>
      <c r="B105" s="16" t="s">
        <v>185</v>
      </c>
      <c r="C105" s="15">
        <v>99</v>
      </c>
      <c r="D105" s="18">
        <v>7.19</v>
      </c>
      <c r="E105" s="15">
        <v>23.4</v>
      </c>
      <c r="F105" s="15">
        <v>1.5</v>
      </c>
      <c r="G105" s="15">
        <v>100</v>
      </c>
      <c r="H105" s="15"/>
      <c r="I105" s="17">
        <v>1</v>
      </c>
      <c r="J105" s="1">
        <v>0</v>
      </c>
      <c r="K105" s="1">
        <v>0</v>
      </c>
    </row>
    <row r="106" spans="1:11" ht="15.75" customHeight="1" x14ac:dyDescent="0.3">
      <c r="A106" s="15" t="s">
        <v>153</v>
      </c>
      <c r="B106" s="23" t="s">
        <v>186</v>
      </c>
      <c r="C106" s="15">
        <v>95</v>
      </c>
      <c r="D106" s="18">
        <v>1.44</v>
      </c>
      <c r="E106" s="15">
        <v>25.1</v>
      </c>
      <c r="F106" s="15">
        <v>0</v>
      </c>
      <c r="G106" s="15">
        <v>100</v>
      </c>
      <c r="H106" s="15">
        <v>1420</v>
      </c>
      <c r="I106" s="17">
        <v>6</v>
      </c>
      <c r="J106" s="1">
        <v>2</v>
      </c>
      <c r="K106" s="1">
        <v>7</v>
      </c>
    </row>
    <row r="107" spans="1:11" ht="15.75" customHeight="1" x14ac:dyDescent="0.3">
      <c r="A107" s="15" t="s">
        <v>153</v>
      </c>
      <c r="B107" s="23" t="s">
        <v>186</v>
      </c>
      <c r="C107" s="15">
        <v>99</v>
      </c>
      <c r="D107" s="18">
        <v>0.54</v>
      </c>
      <c r="E107" s="15">
        <v>21.9</v>
      </c>
      <c r="F107" s="15">
        <v>0</v>
      </c>
      <c r="G107" s="15">
        <v>100</v>
      </c>
      <c r="H107" s="15">
        <v>1420</v>
      </c>
      <c r="I107" s="17">
        <v>6</v>
      </c>
      <c r="J107" s="1">
        <v>3</v>
      </c>
      <c r="K107" s="1">
        <v>3</v>
      </c>
    </row>
    <row r="108" spans="1:11" ht="15.75" customHeight="1" x14ac:dyDescent="0.3">
      <c r="A108" s="15" t="s">
        <v>153</v>
      </c>
      <c r="B108" s="23" t="s">
        <v>186</v>
      </c>
      <c r="C108" s="15">
        <v>99</v>
      </c>
      <c r="D108" s="18">
        <v>0.63</v>
      </c>
      <c r="E108" s="15">
        <v>25.1</v>
      </c>
      <c r="F108" s="15">
        <v>0</v>
      </c>
      <c r="G108" s="15">
        <v>100</v>
      </c>
      <c r="H108" s="15"/>
      <c r="I108" s="17">
        <v>6</v>
      </c>
      <c r="J108" s="1">
        <v>3</v>
      </c>
      <c r="K108" s="1">
        <v>8</v>
      </c>
    </row>
    <row r="109" spans="1:11" ht="15.75" customHeight="1" x14ac:dyDescent="0.3">
      <c r="A109" s="15" t="s">
        <v>153</v>
      </c>
      <c r="B109" s="23" t="s">
        <v>186</v>
      </c>
      <c r="C109" s="15">
        <v>99</v>
      </c>
      <c r="D109" s="18">
        <v>1.67</v>
      </c>
      <c r="E109" s="15">
        <v>25.2</v>
      </c>
      <c r="F109" s="15">
        <v>0</v>
      </c>
      <c r="G109" s="15">
        <v>100</v>
      </c>
      <c r="H109" s="15"/>
      <c r="I109" s="17">
        <v>6</v>
      </c>
      <c r="J109" s="1">
        <v>3</v>
      </c>
      <c r="K109" s="1">
        <v>4</v>
      </c>
    </row>
    <row r="110" spans="1:11" ht="15.75" customHeight="1" x14ac:dyDescent="0.3">
      <c r="A110" s="15" t="s">
        <v>158</v>
      </c>
      <c r="B110" s="23" t="s">
        <v>176</v>
      </c>
      <c r="C110" s="15">
        <v>96</v>
      </c>
      <c r="D110" s="18">
        <v>1.1399999999999999</v>
      </c>
      <c r="E110" s="15">
        <v>26.4</v>
      </c>
      <c r="F110" s="15">
        <v>0</v>
      </c>
      <c r="G110" s="15">
        <v>22</v>
      </c>
      <c r="H110" s="15">
        <v>550</v>
      </c>
      <c r="I110" s="17">
        <v>4</v>
      </c>
      <c r="J110" s="1">
        <v>4</v>
      </c>
      <c r="K110" s="1">
        <v>7</v>
      </c>
    </row>
    <row r="111" spans="1:11" ht="15.75" customHeight="1" x14ac:dyDescent="0.3">
      <c r="A111" s="15" t="s">
        <v>158</v>
      </c>
      <c r="B111" s="23" t="s">
        <v>176</v>
      </c>
      <c r="C111" s="15">
        <v>99</v>
      </c>
      <c r="D111" s="18">
        <v>8.51</v>
      </c>
      <c r="E111" s="15">
        <v>26.5</v>
      </c>
      <c r="F111" s="15">
        <v>0</v>
      </c>
      <c r="G111" s="15">
        <v>36.659999999999997</v>
      </c>
      <c r="H111" s="15"/>
      <c r="I111" s="17">
        <v>4</v>
      </c>
      <c r="J111" s="1">
        <v>9</v>
      </c>
      <c r="K111" s="1">
        <v>9</v>
      </c>
    </row>
    <row r="112" spans="1:11" ht="15.75" customHeight="1" x14ac:dyDescent="0.3">
      <c r="A112" s="15" t="s">
        <v>158</v>
      </c>
      <c r="B112" s="23" t="s">
        <v>176</v>
      </c>
      <c r="C112" s="15">
        <v>99</v>
      </c>
      <c r="D112" s="18">
        <v>8.52</v>
      </c>
      <c r="E112" s="15">
        <v>26.5</v>
      </c>
      <c r="F112" s="15">
        <v>0</v>
      </c>
      <c r="G112" s="15">
        <v>100</v>
      </c>
      <c r="H112" s="15"/>
      <c r="I112" s="17">
        <v>4</v>
      </c>
      <c r="J112" s="1">
        <v>5</v>
      </c>
      <c r="K112" s="1">
        <v>6</v>
      </c>
    </row>
    <row r="113" spans="1:11" ht="15.75" customHeight="1" x14ac:dyDescent="0.3">
      <c r="A113" s="15" t="s">
        <v>158</v>
      </c>
      <c r="B113" s="23" t="s">
        <v>178</v>
      </c>
      <c r="C113" s="15">
        <v>99</v>
      </c>
      <c r="D113" s="18">
        <v>6.93</v>
      </c>
      <c r="E113" s="15">
        <v>23.5</v>
      </c>
      <c r="F113" s="15">
        <v>0</v>
      </c>
      <c r="G113" s="15">
        <v>98</v>
      </c>
      <c r="H113" s="15"/>
      <c r="I113" s="17">
        <v>3</v>
      </c>
      <c r="J113" s="1">
        <v>7</v>
      </c>
      <c r="K113" s="1">
        <v>7</v>
      </c>
    </row>
    <row r="114" spans="1:11" ht="15.75" customHeight="1" x14ac:dyDescent="0.3">
      <c r="A114" s="15" t="s">
        <v>158</v>
      </c>
      <c r="B114" s="23" t="s">
        <v>178</v>
      </c>
      <c r="C114" s="15">
        <v>99</v>
      </c>
      <c r="D114" s="18">
        <v>6.8</v>
      </c>
      <c r="E114" s="15">
        <v>23.5</v>
      </c>
      <c r="F114" s="15">
        <v>0</v>
      </c>
      <c r="G114" s="15">
        <v>100</v>
      </c>
      <c r="H114" s="15"/>
      <c r="I114" s="17">
        <v>3</v>
      </c>
      <c r="J114" s="1">
        <v>1</v>
      </c>
      <c r="K114" s="1">
        <v>1</v>
      </c>
    </row>
    <row r="115" spans="1:11" ht="15.75" customHeight="1" x14ac:dyDescent="0.3">
      <c r="A115" s="15" t="s">
        <v>158</v>
      </c>
      <c r="B115" s="23" t="s">
        <v>200</v>
      </c>
      <c r="C115" s="15">
        <v>89</v>
      </c>
      <c r="D115" s="18">
        <v>2.74</v>
      </c>
      <c r="E115" s="15">
        <v>23.5</v>
      </c>
      <c r="F115" s="15">
        <v>0</v>
      </c>
      <c r="G115" s="15">
        <v>0</v>
      </c>
      <c r="H115" s="15">
        <v>700</v>
      </c>
      <c r="I115" s="17">
        <v>5</v>
      </c>
      <c r="J115" s="1">
        <v>13</v>
      </c>
      <c r="K115" s="1">
        <v>16</v>
      </c>
    </row>
    <row r="116" spans="1:11" ht="15.75" customHeight="1" x14ac:dyDescent="0.3">
      <c r="A116" s="15" t="s">
        <v>158</v>
      </c>
      <c r="B116" s="23" t="s">
        <v>200</v>
      </c>
      <c r="C116" s="15">
        <v>99</v>
      </c>
      <c r="D116" s="18">
        <v>0.32</v>
      </c>
      <c r="E116" s="15">
        <v>21.5</v>
      </c>
      <c r="F116" s="15">
        <v>0</v>
      </c>
      <c r="G116" s="15">
        <v>100</v>
      </c>
      <c r="H116" s="15"/>
      <c r="I116" s="17">
        <v>5</v>
      </c>
      <c r="J116" s="1">
        <v>3</v>
      </c>
      <c r="K116" s="1">
        <v>3</v>
      </c>
    </row>
    <row r="117" spans="1:11" ht="15.75" customHeight="1" x14ac:dyDescent="0.3">
      <c r="A117" s="15" t="s">
        <v>158</v>
      </c>
      <c r="B117" s="23" t="s">
        <v>200</v>
      </c>
      <c r="C117" s="15">
        <v>87</v>
      </c>
      <c r="D117" s="18">
        <v>0.03</v>
      </c>
      <c r="E117" s="15">
        <v>23.2</v>
      </c>
      <c r="F117" s="15">
        <v>0</v>
      </c>
      <c r="G117" s="15">
        <v>100</v>
      </c>
      <c r="H117" s="15"/>
      <c r="I117" s="17">
        <v>5</v>
      </c>
      <c r="J117" s="1">
        <v>3</v>
      </c>
      <c r="K117" s="1">
        <v>3</v>
      </c>
    </row>
    <row r="118" spans="1:11" ht="15.75" customHeight="1" x14ac:dyDescent="0.3">
      <c r="A118" s="15" t="s">
        <v>158</v>
      </c>
      <c r="B118" s="23" t="s">
        <v>200</v>
      </c>
      <c r="C118" s="15">
        <v>85</v>
      </c>
      <c r="D118" s="18">
        <v>0.04</v>
      </c>
      <c r="E118" s="15">
        <v>23.2</v>
      </c>
      <c r="F118" s="15">
        <v>0</v>
      </c>
      <c r="G118" s="15">
        <v>50</v>
      </c>
      <c r="H118" s="15"/>
      <c r="I118" s="17">
        <v>5</v>
      </c>
      <c r="J118" s="1">
        <v>1</v>
      </c>
      <c r="K118" s="1">
        <v>1</v>
      </c>
    </row>
    <row r="119" spans="1:11" ht="15.75" customHeight="1" x14ac:dyDescent="0.3">
      <c r="A119" s="15" t="s">
        <v>158</v>
      </c>
      <c r="B119" s="23" t="s">
        <v>180</v>
      </c>
      <c r="C119" s="15">
        <v>88</v>
      </c>
      <c r="D119" s="18">
        <v>0.69</v>
      </c>
      <c r="E119" s="15">
        <v>23.4</v>
      </c>
      <c r="F119" s="15">
        <v>6</v>
      </c>
      <c r="G119" s="15">
        <v>100</v>
      </c>
      <c r="H119" s="15">
        <v>700</v>
      </c>
      <c r="I119" s="17">
        <v>5</v>
      </c>
      <c r="J119" s="1">
        <v>8</v>
      </c>
      <c r="K119" s="1">
        <v>9</v>
      </c>
    </row>
    <row r="120" spans="1:11" ht="15.75" customHeight="1" x14ac:dyDescent="0.3">
      <c r="A120" s="15" t="s">
        <v>158</v>
      </c>
      <c r="B120" s="23" t="s">
        <v>180</v>
      </c>
      <c r="C120" s="15">
        <v>88</v>
      </c>
      <c r="D120" s="18">
        <v>1.86</v>
      </c>
      <c r="E120" s="15">
        <v>27.2</v>
      </c>
      <c r="F120" s="15">
        <v>0.6</v>
      </c>
      <c r="G120" s="15">
        <v>100</v>
      </c>
      <c r="H120" s="15"/>
      <c r="I120" s="17">
        <v>5</v>
      </c>
      <c r="J120" s="1">
        <v>4</v>
      </c>
      <c r="K120" s="1">
        <v>4</v>
      </c>
    </row>
    <row r="121" spans="1:11" ht="15.75" customHeight="1" x14ac:dyDescent="0.3">
      <c r="A121" s="15" t="s">
        <v>158</v>
      </c>
      <c r="B121" s="23" t="s">
        <v>181</v>
      </c>
      <c r="C121" s="15">
        <v>80</v>
      </c>
      <c r="D121" s="18">
        <v>51.6</v>
      </c>
      <c r="E121" s="15">
        <v>28.7</v>
      </c>
      <c r="F121" s="15">
        <v>2.5</v>
      </c>
      <c r="G121" s="15">
        <v>0</v>
      </c>
      <c r="H121" s="15">
        <v>700</v>
      </c>
      <c r="I121" s="17">
        <v>3</v>
      </c>
      <c r="J121" s="1">
        <v>5</v>
      </c>
      <c r="K121" s="1">
        <v>5</v>
      </c>
    </row>
    <row r="122" spans="1:11" ht="15.75" customHeight="1" x14ac:dyDescent="0.3">
      <c r="A122" s="15" t="s">
        <v>158</v>
      </c>
      <c r="B122" s="23" t="s">
        <v>198</v>
      </c>
      <c r="C122" s="15">
        <v>71</v>
      </c>
      <c r="D122" s="18">
        <v>7.17</v>
      </c>
      <c r="E122" s="15">
        <v>26.1</v>
      </c>
      <c r="F122" s="15">
        <v>1.9</v>
      </c>
      <c r="G122" s="15">
        <v>0</v>
      </c>
      <c r="H122" s="15">
        <v>700</v>
      </c>
      <c r="I122" s="17">
        <v>3</v>
      </c>
      <c r="J122" s="1">
        <v>9</v>
      </c>
      <c r="K122" s="1">
        <v>11</v>
      </c>
    </row>
    <row r="123" spans="1:11" ht="15.75" customHeight="1" x14ac:dyDescent="0.3">
      <c r="A123" s="15" t="s">
        <v>158</v>
      </c>
      <c r="B123" s="23" t="s">
        <v>198</v>
      </c>
      <c r="C123" s="15">
        <v>74</v>
      </c>
      <c r="D123" s="18">
        <v>7.5</v>
      </c>
      <c r="E123" s="15">
        <v>26</v>
      </c>
      <c r="F123" s="15">
        <v>0</v>
      </c>
      <c r="G123" s="15">
        <v>100</v>
      </c>
      <c r="H123" s="15"/>
      <c r="I123" s="17">
        <v>3</v>
      </c>
      <c r="J123" s="1">
        <v>1</v>
      </c>
      <c r="K123" s="1">
        <v>1</v>
      </c>
    </row>
    <row r="124" spans="1:11" ht="15.75" customHeight="1" x14ac:dyDescent="0.3">
      <c r="A124" s="15" t="s">
        <v>158</v>
      </c>
      <c r="B124" s="23" t="s">
        <v>198</v>
      </c>
      <c r="C124" s="15">
        <v>54</v>
      </c>
      <c r="D124" s="18">
        <v>10.85</v>
      </c>
      <c r="E124" s="15">
        <v>28.3</v>
      </c>
      <c r="F124" s="15">
        <v>1.45</v>
      </c>
      <c r="G124" s="15">
        <v>35</v>
      </c>
      <c r="H124" s="15"/>
      <c r="I124" s="17">
        <v>3</v>
      </c>
      <c r="J124" s="1">
        <v>4</v>
      </c>
      <c r="K124" s="1">
        <v>4</v>
      </c>
    </row>
    <row r="125" spans="1:11" ht="15.75" customHeight="1" x14ac:dyDescent="0.3">
      <c r="A125" s="15" t="s">
        <v>158</v>
      </c>
      <c r="B125" s="23" t="s">
        <v>199</v>
      </c>
      <c r="C125" s="1">
        <v>72</v>
      </c>
      <c r="D125" s="1">
        <v>17.850000000000001</v>
      </c>
      <c r="E125" s="1">
        <v>26.9</v>
      </c>
      <c r="F125" s="1">
        <v>1.6</v>
      </c>
      <c r="G125" s="1">
        <v>90</v>
      </c>
      <c r="H125" s="15">
        <v>700</v>
      </c>
      <c r="I125" s="17">
        <v>2</v>
      </c>
      <c r="J125" s="1">
        <v>2</v>
      </c>
      <c r="K125" s="1">
        <v>3</v>
      </c>
    </row>
    <row r="126" spans="1:11" ht="15.75" customHeight="1" x14ac:dyDescent="0.3">
      <c r="A126" s="15" t="s">
        <v>158</v>
      </c>
      <c r="B126" s="23" t="s">
        <v>199</v>
      </c>
      <c r="C126" s="15">
        <v>66</v>
      </c>
      <c r="D126" s="18">
        <v>6.27</v>
      </c>
      <c r="E126" s="15">
        <v>26.2</v>
      </c>
      <c r="F126" s="15">
        <v>0.8</v>
      </c>
      <c r="G126" s="15">
        <v>100</v>
      </c>
      <c r="H126" s="15"/>
      <c r="I126" s="17">
        <v>2</v>
      </c>
      <c r="J126" s="1">
        <v>1</v>
      </c>
      <c r="K126" s="1">
        <v>1</v>
      </c>
    </row>
    <row r="127" spans="1:11" ht="15.75" customHeight="1" x14ac:dyDescent="0.3">
      <c r="A127" s="15" t="s">
        <v>158</v>
      </c>
      <c r="B127" s="23" t="s">
        <v>183</v>
      </c>
      <c r="C127" s="15">
        <v>77</v>
      </c>
      <c r="D127" s="18">
        <v>19</v>
      </c>
      <c r="E127" s="15">
        <v>23.9</v>
      </c>
      <c r="F127" s="15">
        <v>0</v>
      </c>
      <c r="G127" s="15">
        <v>100</v>
      </c>
      <c r="H127" s="15"/>
      <c r="I127" s="17">
        <v>3</v>
      </c>
      <c r="J127" s="1">
        <v>4</v>
      </c>
      <c r="K127" s="1">
        <v>13</v>
      </c>
    </row>
    <row r="128" spans="1:11" ht="15.75" customHeight="1" x14ac:dyDescent="0.3">
      <c r="A128" s="15" t="s">
        <v>158</v>
      </c>
      <c r="B128" s="23" t="s">
        <v>183</v>
      </c>
      <c r="C128" s="15">
        <v>99</v>
      </c>
      <c r="D128" s="18">
        <v>29.59</v>
      </c>
      <c r="E128" s="15">
        <v>24.9</v>
      </c>
      <c r="F128" s="15">
        <v>0.65</v>
      </c>
      <c r="G128" s="15">
        <v>99</v>
      </c>
      <c r="H128" s="15">
        <v>700</v>
      </c>
      <c r="I128" s="17">
        <v>3</v>
      </c>
      <c r="J128" s="1">
        <v>4</v>
      </c>
      <c r="K128" s="1">
        <v>7</v>
      </c>
    </row>
    <row r="129" spans="1:11" ht="15.75" customHeight="1" x14ac:dyDescent="0.3">
      <c r="A129" s="15" t="s">
        <v>158</v>
      </c>
      <c r="B129" s="23" t="s">
        <v>183</v>
      </c>
      <c r="C129" s="15">
        <v>74</v>
      </c>
      <c r="D129" s="18">
        <v>1.52</v>
      </c>
      <c r="E129" s="15">
        <v>19.829999999999998</v>
      </c>
      <c r="F129" s="15">
        <v>0.85</v>
      </c>
      <c r="G129" s="15">
        <v>100</v>
      </c>
      <c r="H129" s="15"/>
      <c r="I129" s="17">
        <v>3</v>
      </c>
      <c r="J129" s="1">
        <v>2</v>
      </c>
      <c r="K129" s="1">
        <v>2</v>
      </c>
    </row>
    <row r="130" spans="1:11" ht="15.75" customHeight="1" x14ac:dyDescent="0.3">
      <c r="A130" s="15" t="s">
        <v>158</v>
      </c>
      <c r="B130" s="23" t="s">
        <v>185</v>
      </c>
      <c r="C130" s="15">
        <v>99</v>
      </c>
      <c r="D130" s="18">
        <v>27.94</v>
      </c>
      <c r="E130" s="15">
        <v>22.3</v>
      </c>
      <c r="F130" s="15">
        <v>1.2</v>
      </c>
      <c r="G130" s="15">
        <v>100</v>
      </c>
      <c r="H130" s="15">
        <v>700</v>
      </c>
      <c r="I130" s="17">
        <v>1</v>
      </c>
      <c r="J130" s="1">
        <v>5</v>
      </c>
      <c r="K130" s="1">
        <v>15</v>
      </c>
    </row>
    <row r="131" spans="1:11" ht="15.75" customHeight="1" x14ac:dyDescent="0.3">
      <c r="A131" s="15" t="s">
        <v>158</v>
      </c>
      <c r="B131" s="23" t="s">
        <v>185</v>
      </c>
      <c r="C131" s="15">
        <v>80</v>
      </c>
      <c r="D131" s="18">
        <v>6.81</v>
      </c>
      <c r="E131" s="15">
        <v>19.03</v>
      </c>
      <c r="F131" s="15">
        <v>1.8</v>
      </c>
      <c r="G131" s="15">
        <v>100</v>
      </c>
      <c r="H131" s="15"/>
      <c r="I131" s="17">
        <v>1</v>
      </c>
      <c r="J131" s="1">
        <v>2</v>
      </c>
      <c r="K131" s="1">
        <v>4</v>
      </c>
    </row>
    <row r="132" spans="1:11" ht="15.75" customHeight="1" x14ac:dyDescent="0.3">
      <c r="A132" s="15" t="s">
        <v>158</v>
      </c>
      <c r="B132" s="23" t="s">
        <v>186</v>
      </c>
      <c r="C132" s="15">
        <v>95</v>
      </c>
      <c r="D132" s="18">
        <v>0.4</v>
      </c>
      <c r="E132" s="15">
        <v>17.100000000000001</v>
      </c>
      <c r="F132" s="15">
        <v>0</v>
      </c>
      <c r="G132" s="15">
        <v>0</v>
      </c>
      <c r="H132" s="15">
        <v>700</v>
      </c>
      <c r="I132" s="17">
        <v>6</v>
      </c>
      <c r="J132" s="1">
        <v>10</v>
      </c>
      <c r="K132" s="1">
        <v>33</v>
      </c>
    </row>
    <row r="133" spans="1:11" ht="15.75" customHeight="1" x14ac:dyDescent="0.3">
      <c r="A133" s="15" t="s">
        <v>158</v>
      </c>
      <c r="B133" s="23" t="s">
        <v>186</v>
      </c>
      <c r="C133" s="15">
        <v>95</v>
      </c>
      <c r="D133" s="18">
        <v>0.42</v>
      </c>
      <c r="E133" s="15">
        <v>17.2</v>
      </c>
      <c r="F133" s="15">
        <v>0</v>
      </c>
      <c r="G133" s="15">
        <v>100</v>
      </c>
      <c r="H133" s="15"/>
      <c r="I133" s="17">
        <v>6</v>
      </c>
      <c r="J133" s="1">
        <v>1</v>
      </c>
      <c r="K133" s="1">
        <v>1</v>
      </c>
    </row>
    <row r="134" spans="1:11" ht="15.75" customHeight="1" x14ac:dyDescent="0.3">
      <c r="A134" s="15" t="s">
        <v>158</v>
      </c>
      <c r="B134" s="23" t="s">
        <v>186</v>
      </c>
      <c r="C134" s="15">
        <v>95</v>
      </c>
      <c r="D134" s="18">
        <v>0.41</v>
      </c>
      <c r="E134" s="15">
        <v>17.100000000000001</v>
      </c>
      <c r="F134" s="15">
        <v>0</v>
      </c>
      <c r="G134" s="15">
        <v>100</v>
      </c>
      <c r="H134" s="15">
        <v>700</v>
      </c>
      <c r="I134" s="17">
        <v>6</v>
      </c>
      <c r="J134" s="1">
        <v>8</v>
      </c>
      <c r="K134" s="1">
        <v>11</v>
      </c>
    </row>
    <row r="135" spans="1:11" ht="15.75" customHeight="1" x14ac:dyDescent="0.3">
      <c r="A135" s="15" t="s">
        <v>158</v>
      </c>
      <c r="B135" s="23" t="s">
        <v>186</v>
      </c>
      <c r="C135" s="15">
        <v>87</v>
      </c>
      <c r="D135" s="18">
        <v>0.16</v>
      </c>
      <c r="E135" s="15">
        <v>20.2</v>
      </c>
      <c r="F135" s="15">
        <v>0</v>
      </c>
      <c r="G135" s="15">
        <v>100</v>
      </c>
      <c r="H135" s="15"/>
      <c r="I135" s="17">
        <v>6</v>
      </c>
      <c r="J135" s="1">
        <v>6</v>
      </c>
      <c r="K135" s="1">
        <v>6</v>
      </c>
    </row>
    <row r="136" spans="1:11" ht="15.75" customHeight="1" x14ac:dyDescent="0.3">
      <c r="A136" s="15" t="s">
        <v>164</v>
      </c>
      <c r="B136" s="23" t="s">
        <v>176</v>
      </c>
      <c r="C136" s="15">
        <v>89</v>
      </c>
      <c r="D136" s="18">
        <v>1.36</v>
      </c>
      <c r="E136" s="15">
        <v>23.18</v>
      </c>
      <c r="F136" s="15">
        <v>0</v>
      </c>
      <c r="G136" s="15">
        <v>100</v>
      </c>
      <c r="H136" s="15"/>
      <c r="I136" s="17">
        <v>4</v>
      </c>
      <c r="J136" s="1">
        <v>8</v>
      </c>
      <c r="K136" s="1">
        <v>11</v>
      </c>
    </row>
    <row r="137" spans="1:11" ht="15.75" customHeight="1" x14ac:dyDescent="0.3">
      <c r="A137" s="15" t="s">
        <v>164</v>
      </c>
      <c r="B137" s="23" t="s">
        <v>177</v>
      </c>
      <c r="C137" s="15">
        <v>94</v>
      </c>
      <c r="D137" s="18">
        <v>7.68</v>
      </c>
      <c r="E137" s="15">
        <v>26.7</v>
      </c>
      <c r="F137" s="15">
        <v>0.75</v>
      </c>
      <c r="G137" s="15">
        <v>100</v>
      </c>
      <c r="H137" s="15"/>
      <c r="I137" s="17">
        <v>3</v>
      </c>
      <c r="J137" s="1">
        <v>6</v>
      </c>
      <c r="K137" s="1">
        <v>8</v>
      </c>
    </row>
    <row r="138" spans="1:11" ht="15.75" customHeight="1" x14ac:dyDescent="0.3">
      <c r="A138" s="15" t="s">
        <v>164</v>
      </c>
      <c r="B138" s="23" t="s">
        <v>177</v>
      </c>
      <c r="C138" s="15">
        <v>90</v>
      </c>
      <c r="D138" s="18">
        <v>1.5</v>
      </c>
      <c r="E138" s="15">
        <v>23.4</v>
      </c>
      <c r="F138" s="15">
        <v>0</v>
      </c>
      <c r="G138" s="15">
        <v>100</v>
      </c>
      <c r="H138" s="15"/>
      <c r="I138" s="17">
        <v>3</v>
      </c>
      <c r="J138" s="1">
        <v>1</v>
      </c>
      <c r="K138" s="1">
        <v>1</v>
      </c>
    </row>
    <row r="139" spans="1:11" ht="15.75" customHeight="1" x14ac:dyDescent="0.3">
      <c r="A139" s="15" t="s">
        <v>164</v>
      </c>
      <c r="B139" s="23" t="s">
        <v>200</v>
      </c>
      <c r="C139" s="15">
        <v>91</v>
      </c>
      <c r="D139" s="18">
        <v>1.1499999999999999</v>
      </c>
      <c r="E139" s="15">
        <v>24.4</v>
      </c>
      <c r="F139" s="15">
        <v>0</v>
      </c>
      <c r="G139" s="15">
        <v>100</v>
      </c>
      <c r="H139" s="15">
        <v>480</v>
      </c>
      <c r="I139" s="17">
        <v>5</v>
      </c>
      <c r="J139" s="1">
        <v>8</v>
      </c>
      <c r="K139" s="1">
        <v>8</v>
      </c>
    </row>
    <row r="140" spans="1:11" ht="15.75" customHeight="1" x14ac:dyDescent="0.3">
      <c r="A140" s="15" t="s">
        <v>164</v>
      </c>
      <c r="B140" s="23" t="s">
        <v>200</v>
      </c>
      <c r="C140" s="15">
        <v>94</v>
      </c>
      <c r="D140" s="18">
        <v>1.2</v>
      </c>
      <c r="E140" s="15">
        <v>24.4</v>
      </c>
      <c r="F140" s="15">
        <v>0</v>
      </c>
      <c r="G140" s="15">
        <v>100</v>
      </c>
      <c r="H140" s="15"/>
      <c r="I140" s="17">
        <v>5</v>
      </c>
      <c r="J140" s="1">
        <v>1</v>
      </c>
      <c r="K140" s="1">
        <v>1</v>
      </c>
    </row>
    <row r="141" spans="1:11" ht="15.75" customHeight="1" x14ac:dyDescent="0.3">
      <c r="A141" s="15" t="s">
        <v>164</v>
      </c>
      <c r="B141" s="23" t="s">
        <v>200</v>
      </c>
      <c r="C141" s="15">
        <v>85</v>
      </c>
      <c r="D141" s="18">
        <v>1.3</v>
      </c>
      <c r="E141" s="15">
        <v>24.4</v>
      </c>
      <c r="F141" s="15">
        <v>0</v>
      </c>
      <c r="G141" s="15">
        <v>100</v>
      </c>
      <c r="H141" s="15"/>
      <c r="I141" s="17">
        <v>5</v>
      </c>
      <c r="J141" s="1">
        <v>8</v>
      </c>
      <c r="K141" s="1">
        <v>8</v>
      </c>
    </row>
    <row r="142" spans="1:11" ht="15.75" customHeight="1" x14ac:dyDescent="0.3">
      <c r="A142" s="15" t="s">
        <v>164</v>
      </c>
      <c r="B142" s="23" t="s">
        <v>180</v>
      </c>
      <c r="C142" s="15">
        <v>91</v>
      </c>
      <c r="D142" s="18">
        <v>0.57999999999999996</v>
      </c>
      <c r="E142" s="15">
        <v>26.4</v>
      </c>
      <c r="F142" s="15">
        <v>0</v>
      </c>
      <c r="G142" s="15">
        <v>100</v>
      </c>
      <c r="H142" s="15">
        <v>780</v>
      </c>
      <c r="I142" s="17">
        <v>5</v>
      </c>
      <c r="J142" s="1">
        <v>10</v>
      </c>
      <c r="K142" s="1">
        <v>10</v>
      </c>
    </row>
    <row r="143" spans="1:11" ht="15.75" customHeight="1" x14ac:dyDescent="0.3">
      <c r="A143" s="15" t="s">
        <v>164</v>
      </c>
      <c r="B143" s="23" t="s">
        <v>180</v>
      </c>
      <c r="C143" s="15">
        <v>91</v>
      </c>
      <c r="D143" s="18">
        <v>0.81</v>
      </c>
      <c r="E143" s="15">
        <v>23.28</v>
      </c>
      <c r="F143" s="15">
        <v>0</v>
      </c>
      <c r="G143" s="15">
        <v>100</v>
      </c>
      <c r="H143" s="15">
        <v>480</v>
      </c>
      <c r="I143" s="17">
        <v>5</v>
      </c>
      <c r="J143" s="1">
        <v>5</v>
      </c>
      <c r="K143" s="1">
        <v>5</v>
      </c>
    </row>
    <row r="144" spans="1:11" ht="15.75" customHeight="1" x14ac:dyDescent="0.3">
      <c r="A144" s="15" t="s">
        <v>164</v>
      </c>
      <c r="B144" s="23" t="s">
        <v>181</v>
      </c>
      <c r="C144" s="15">
        <v>91</v>
      </c>
      <c r="D144" s="18">
        <v>0.81</v>
      </c>
      <c r="E144" s="15">
        <v>23.3</v>
      </c>
      <c r="F144" s="15">
        <v>0</v>
      </c>
      <c r="G144" s="15">
        <v>100</v>
      </c>
      <c r="H144" s="15"/>
      <c r="I144" s="17">
        <v>3</v>
      </c>
      <c r="J144" s="1">
        <v>1</v>
      </c>
      <c r="K144" s="1">
        <v>2</v>
      </c>
    </row>
    <row r="145" spans="1:11" ht="15.75" customHeight="1" x14ac:dyDescent="0.3">
      <c r="A145" s="15" t="s">
        <v>164</v>
      </c>
      <c r="B145" s="23" t="s">
        <v>181</v>
      </c>
      <c r="C145" s="15">
        <v>99</v>
      </c>
      <c r="D145" s="18">
        <v>85.6</v>
      </c>
      <c r="E145" s="15">
        <v>28.5</v>
      </c>
      <c r="F145" s="15">
        <v>1.2</v>
      </c>
      <c r="G145" s="15">
        <v>100</v>
      </c>
      <c r="H145" s="15">
        <v>780</v>
      </c>
      <c r="I145" s="17">
        <v>3</v>
      </c>
      <c r="J145" s="1">
        <v>1</v>
      </c>
      <c r="K145" s="1">
        <v>1</v>
      </c>
    </row>
    <row r="146" spans="1:11" ht="15.75" customHeight="1" x14ac:dyDescent="0.3">
      <c r="A146" s="15" t="s">
        <v>164</v>
      </c>
      <c r="B146" s="23" t="s">
        <v>181</v>
      </c>
      <c r="C146" s="15">
        <v>91</v>
      </c>
      <c r="D146" s="18">
        <v>13.15</v>
      </c>
      <c r="E146" s="15">
        <v>26.13</v>
      </c>
      <c r="F146" s="15">
        <v>0</v>
      </c>
      <c r="G146" s="15">
        <v>100</v>
      </c>
      <c r="H146" s="15">
        <v>480</v>
      </c>
      <c r="I146" s="17">
        <v>3</v>
      </c>
      <c r="J146" s="1">
        <v>3</v>
      </c>
      <c r="K146" s="1">
        <v>3</v>
      </c>
    </row>
    <row r="147" spans="1:11" ht="15.75" customHeight="1" x14ac:dyDescent="0.3">
      <c r="A147" s="15" t="s">
        <v>164</v>
      </c>
      <c r="B147" s="23" t="s">
        <v>198</v>
      </c>
      <c r="C147" s="15">
        <v>75</v>
      </c>
      <c r="D147" s="18">
        <v>17.2</v>
      </c>
      <c r="E147" s="15">
        <v>28</v>
      </c>
      <c r="F147" s="15">
        <v>0</v>
      </c>
      <c r="G147" s="15">
        <v>100</v>
      </c>
      <c r="H147" s="15"/>
      <c r="I147" s="17">
        <v>3</v>
      </c>
      <c r="J147" s="1">
        <v>2</v>
      </c>
      <c r="K147" s="1">
        <v>2</v>
      </c>
    </row>
    <row r="148" spans="1:11" s="44" customFormat="1" ht="15.75" customHeight="1" x14ac:dyDescent="0.3">
      <c r="A148" s="39" t="s">
        <v>164</v>
      </c>
      <c r="B148" s="40" t="s">
        <v>198</v>
      </c>
      <c r="C148" s="39">
        <v>93</v>
      </c>
      <c r="D148" s="42">
        <v>14.5</v>
      </c>
      <c r="E148" s="39">
        <v>28.73</v>
      </c>
      <c r="F148" s="39">
        <v>0</v>
      </c>
      <c r="G148" s="39">
        <v>100</v>
      </c>
      <c r="H148" s="39">
        <v>480</v>
      </c>
      <c r="I148" s="43">
        <v>3</v>
      </c>
      <c r="J148" s="44">
        <v>6</v>
      </c>
      <c r="K148" s="44">
        <v>9</v>
      </c>
    </row>
    <row r="149" spans="1:11" ht="15.75" customHeight="1" x14ac:dyDescent="0.3">
      <c r="A149" s="15" t="s">
        <v>164</v>
      </c>
      <c r="B149" s="23" t="s">
        <v>198</v>
      </c>
      <c r="C149" s="15">
        <v>74</v>
      </c>
      <c r="D149" s="18">
        <v>18</v>
      </c>
      <c r="E149" s="15">
        <v>28</v>
      </c>
      <c r="F149" s="15">
        <v>0</v>
      </c>
      <c r="G149" s="15">
        <v>2</v>
      </c>
      <c r="H149" s="15"/>
      <c r="I149" s="17">
        <v>3</v>
      </c>
      <c r="J149" s="1">
        <v>2</v>
      </c>
      <c r="K149" s="1">
        <v>2</v>
      </c>
    </row>
    <row r="150" spans="1:11" ht="15.75" customHeight="1" x14ac:dyDescent="0.3">
      <c r="A150" s="15" t="s">
        <v>164</v>
      </c>
      <c r="B150" s="23" t="s">
        <v>199</v>
      </c>
      <c r="C150" s="15">
        <v>92</v>
      </c>
      <c r="D150" s="18">
        <v>97.97</v>
      </c>
      <c r="E150" s="15">
        <v>28.73</v>
      </c>
      <c r="F150" s="15">
        <v>0.97</v>
      </c>
      <c r="G150" s="15">
        <v>100</v>
      </c>
      <c r="H150" s="15">
        <v>480</v>
      </c>
      <c r="I150" s="17">
        <v>2</v>
      </c>
      <c r="J150" s="1">
        <v>0</v>
      </c>
      <c r="K150" s="1">
        <v>0</v>
      </c>
    </row>
    <row r="151" spans="1:11" ht="15.75" customHeight="1" x14ac:dyDescent="0.3">
      <c r="A151" s="15" t="s">
        <v>164</v>
      </c>
      <c r="B151" s="23" t="s">
        <v>199</v>
      </c>
      <c r="C151" s="15">
        <v>86.5</v>
      </c>
      <c r="D151" s="18">
        <v>33.18</v>
      </c>
      <c r="E151" s="15">
        <v>25.7</v>
      </c>
      <c r="F151" s="15">
        <v>1.2</v>
      </c>
      <c r="G151" s="15">
        <v>100</v>
      </c>
      <c r="H151" s="15"/>
      <c r="I151" s="17">
        <v>2</v>
      </c>
      <c r="J151" s="1">
        <v>3</v>
      </c>
      <c r="K151" s="1">
        <v>6</v>
      </c>
    </row>
    <row r="152" spans="1:11" ht="15.75" customHeight="1" x14ac:dyDescent="0.3">
      <c r="A152" s="15" t="s">
        <v>164</v>
      </c>
      <c r="B152" s="23" t="s">
        <v>199</v>
      </c>
      <c r="C152" s="15">
        <v>70</v>
      </c>
      <c r="D152" s="18">
        <v>5.91</v>
      </c>
      <c r="E152" s="15">
        <v>20.5</v>
      </c>
      <c r="F152" s="15">
        <v>1.5</v>
      </c>
      <c r="G152" s="15">
        <v>2</v>
      </c>
      <c r="H152" s="15"/>
      <c r="I152" s="17">
        <v>2</v>
      </c>
      <c r="J152" s="1">
        <v>3</v>
      </c>
      <c r="K152" s="1">
        <v>3</v>
      </c>
    </row>
    <row r="153" spans="1:11" ht="15.75" customHeight="1" x14ac:dyDescent="0.3">
      <c r="A153" s="15" t="s">
        <v>164</v>
      </c>
      <c r="B153" s="23" t="s">
        <v>183</v>
      </c>
      <c r="C153" s="15">
        <v>89</v>
      </c>
      <c r="D153" s="18">
        <v>7.61</v>
      </c>
      <c r="E153" s="15">
        <v>23.8</v>
      </c>
      <c r="F153" s="15">
        <v>0.75</v>
      </c>
      <c r="G153" s="15">
        <v>100</v>
      </c>
      <c r="H153" s="15"/>
      <c r="I153" s="17">
        <v>3</v>
      </c>
      <c r="J153" s="1">
        <v>5</v>
      </c>
      <c r="K153" s="1">
        <v>10</v>
      </c>
    </row>
    <row r="154" spans="1:11" ht="15.75" customHeight="1" x14ac:dyDescent="0.3">
      <c r="A154" s="15" t="s">
        <v>164</v>
      </c>
      <c r="B154" s="23" t="s">
        <v>183</v>
      </c>
      <c r="C154" s="15">
        <v>81</v>
      </c>
      <c r="D154" s="18">
        <v>5.23</v>
      </c>
      <c r="E154" s="15">
        <v>27.03</v>
      </c>
      <c r="F154" s="15">
        <v>0</v>
      </c>
      <c r="G154" s="15">
        <v>100</v>
      </c>
      <c r="H154" s="15">
        <v>480</v>
      </c>
      <c r="I154" s="17">
        <v>3</v>
      </c>
      <c r="J154" s="1">
        <v>4</v>
      </c>
      <c r="K154" s="1">
        <v>5</v>
      </c>
    </row>
    <row r="155" spans="1:11" ht="15.75" customHeight="1" x14ac:dyDescent="0.3">
      <c r="A155" s="15" t="s">
        <v>164</v>
      </c>
      <c r="B155" s="23" t="s">
        <v>185</v>
      </c>
      <c r="C155" s="15">
        <v>88</v>
      </c>
      <c r="D155" s="18">
        <v>24.87</v>
      </c>
      <c r="E155" s="15">
        <v>23.25</v>
      </c>
      <c r="F155" s="15">
        <v>0.45</v>
      </c>
      <c r="G155" s="15">
        <v>100</v>
      </c>
      <c r="H155" s="15"/>
      <c r="I155" s="17">
        <v>1</v>
      </c>
      <c r="J155" s="1">
        <v>1</v>
      </c>
      <c r="K155" s="1">
        <v>1</v>
      </c>
    </row>
    <row r="156" spans="1:11" ht="15.75" customHeight="1" x14ac:dyDescent="0.3">
      <c r="A156" s="15" t="s">
        <v>164</v>
      </c>
      <c r="B156" s="23" t="s">
        <v>185</v>
      </c>
      <c r="C156" s="15">
        <v>72</v>
      </c>
      <c r="D156" s="18">
        <v>4.6399999999999997</v>
      </c>
      <c r="E156" s="15">
        <v>24.9</v>
      </c>
      <c r="F156" s="15">
        <v>3.17</v>
      </c>
      <c r="G156" s="15">
        <v>100</v>
      </c>
      <c r="H156" s="15">
        <v>480</v>
      </c>
      <c r="I156" s="17">
        <v>1</v>
      </c>
      <c r="J156" s="1">
        <v>2</v>
      </c>
      <c r="K156" s="1">
        <v>4</v>
      </c>
    </row>
    <row r="157" spans="1:11" ht="15.75" customHeight="1" x14ac:dyDescent="0.3">
      <c r="A157" s="15" t="s">
        <v>164</v>
      </c>
      <c r="B157" s="23" t="s">
        <v>186</v>
      </c>
      <c r="C157" s="15">
        <v>86</v>
      </c>
      <c r="D157" s="18">
        <v>0.14000000000000001</v>
      </c>
      <c r="E157" s="15">
        <v>18.55</v>
      </c>
      <c r="F157" s="15">
        <v>0</v>
      </c>
      <c r="G157" s="15">
        <v>100</v>
      </c>
      <c r="H157" s="15"/>
      <c r="I157" s="17">
        <v>6</v>
      </c>
      <c r="J157" s="1">
        <v>5</v>
      </c>
      <c r="K157" s="1">
        <v>5</v>
      </c>
    </row>
    <row r="158" spans="1:11" ht="15.75" customHeight="1" x14ac:dyDescent="0.3">
      <c r="A158" s="15" t="s">
        <v>164</v>
      </c>
      <c r="B158" s="23" t="s">
        <v>186</v>
      </c>
      <c r="C158" s="15">
        <v>87</v>
      </c>
      <c r="D158" s="18">
        <v>0.15</v>
      </c>
      <c r="E158" s="15">
        <v>15.2</v>
      </c>
      <c r="F158" s="15">
        <v>0</v>
      </c>
      <c r="G158" s="15">
        <v>100</v>
      </c>
      <c r="H158" s="15"/>
      <c r="I158" s="17">
        <v>6</v>
      </c>
      <c r="J158" s="1">
        <v>3</v>
      </c>
      <c r="K158" s="1">
        <v>3</v>
      </c>
    </row>
    <row r="159" spans="1:11" ht="15.75" customHeight="1" x14ac:dyDescent="0.3">
      <c r="A159" s="15" t="s">
        <v>164</v>
      </c>
      <c r="B159" s="23" t="s">
        <v>186</v>
      </c>
      <c r="C159" s="15">
        <v>83</v>
      </c>
      <c r="D159" s="18">
        <v>0.20499999999999999</v>
      </c>
      <c r="E159" s="15">
        <v>24.8</v>
      </c>
      <c r="F159" s="15">
        <v>0</v>
      </c>
      <c r="G159" s="15">
        <v>100</v>
      </c>
      <c r="H159" s="15">
        <v>480</v>
      </c>
      <c r="I159" s="17">
        <v>6</v>
      </c>
      <c r="J159" s="1">
        <v>0</v>
      </c>
      <c r="K159" s="1">
        <v>0</v>
      </c>
    </row>
    <row r="160" spans="1:11" ht="15.75" customHeight="1" x14ac:dyDescent="0.3">
      <c r="A160" s="15" t="s">
        <v>168</v>
      </c>
      <c r="B160" s="15" t="s">
        <v>176</v>
      </c>
      <c r="C160" s="15">
        <v>92</v>
      </c>
      <c r="D160" s="18">
        <v>0.14000000000000001</v>
      </c>
      <c r="E160" s="15">
        <v>22.5</v>
      </c>
      <c r="F160" s="15">
        <v>0</v>
      </c>
      <c r="G160" s="15">
        <v>100</v>
      </c>
      <c r="H160" s="15">
        <v>480</v>
      </c>
      <c r="I160" s="17">
        <v>4</v>
      </c>
      <c r="J160" s="1">
        <v>6</v>
      </c>
      <c r="K160" s="1">
        <v>11</v>
      </c>
    </row>
    <row r="161" spans="1:11" ht="15.75" customHeight="1" x14ac:dyDescent="0.3">
      <c r="A161" s="15" t="s">
        <v>168</v>
      </c>
      <c r="B161" s="15" t="s">
        <v>176</v>
      </c>
      <c r="C161" s="15">
        <v>92</v>
      </c>
      <c r="D161" s="18">
        <v>0.14000000000000001</v>
      </c>
      <c r="E161" s="15">
        <v>22.5</v>
      </c>
      <c r="F161" s="15">
        <v>0</v>
      </c>
      <c r="G161" s="15">
        <v>60</v>
      </c>
      <c r="H161" s="15"/>
      <c r="I161" s="17">
        <v>4</v>
      </c>
      <c r="J161" s="1">
        <v>1</v>
      </c>
      <c r="K161" s="1">
        <v>2</v>
      </c>
    </row>
    <row r="162" spans="1:11" ht="15.75" customHeight="1" x14ac:dyDescent="0.3">
      <c r="A162" s="15" t="s">
        <v>168</v>
      </c>
      <c r="B162" s="15" t="s">
        <v>177</v>
      </c>
      <c r="C162" s="15">
        <v>97</v>
      </c>
      <c r="D162" s="18">
        <v>4.5999999999999996</v>
      </c>
      <c r="E162" s="15">
        <v>24.3</v>
      </c>
      <c r="F162" s="15">
        <v>0</v>
      </c>
      <c r="G162" s="15">
        <v>100</v>
      </c>
      <c r="H162" s="15">
        <v>480</v>
      </c>
      <c r="I162" s="17">
        <v>3</v>
      </c>
      <c r="J162" s="1">
        <v>17</v>
      </c>
      <c r="K162" s="1">
        <v>24</v>
      </c>
    </row>
    <row r="163" spans="1:11" ht="15.75" customHeight="1" x14ac:dyDescent="0.3">
      <c r="A163" s="15" t="s">
        <v>168</v>
      </c>
      <c r="B163" s="15" t="s">
        <v>200</v>
      </c>
      <c r="C163" s="15">
        <v>99</v>
      </c>
      <c r="D163" s="18">
        <v>24.2</v>
      </c>
      <c r="E163" s="15">
        <v>26.1</v>
      </c>
      <c r="F163" s="15">
        <v>0</v>
      </c>
      <c r="G163" s="15">
        <v>60</v>
      </c>
      <c r="H163" s="15"/>
      <c r="I163" s="17">
        <v>5</v>
      </c>
      <c r="J163" s="1">
        <v>1</v>
      </c>
      <c r="K163" s="1">
        <v>1</v>
      </c>
    </row>
    <row r="164" spans="1:11" ht="15.75" customHeight="1" x14ac:dyDescent="0.3">
      <c r="A164" s="15" t="s">
        <v>168</v>
      </c>
      <c r="B164" s="15" t="s">
        <v>200</v>
      </c>
      <c r="C164" s="15">
        <v>99</v>
      </c>
      <c r="D164" s="18">
        <v>24.2</v>
      </c>
      <c r="E164" s="15">
        <v>26.1</v>
      </c>
      <c r="F164" s="15">
        <v>0</v>
      </c>
      <c r="G164" s="15">
        <v>35</v>
      </c>
      <c r="H164" s="15">
        <v>480</v>
      </c>
      <c r="I164" s="17">
        <v>5</v>
      </c>
      <c r="J164" s="1">
        <v>11</v>
      </c>
      <c r="K164" s="1">
        <v>11</v>
      </c>
    </row>
    <row r="165" spans="1:11" ht="15.75" customHeight="1" x14ac:dyDescent="0.3">
      <c r="A165" s="15" t="s">
        <v>168</v>
      </c>
      <c r="B165" s="15" t="s">
        <v>200</v>
      </c>
      <c r="C165" s="15">
        <v>84</v>
      </c>
      <c r="D165" s="18">
        <v>0.17</v>
      </c>
      <c r="E165" s="15">
        <v>24</v>
      </c>
      <c r="F165" s="15">
        <v>0</v>
      </c>
      <c r="G165" s="15">
        <v>100</v>
      </c>
      <c r="H165" s="15"/>
      <c r="I165" s="17">
        <v>5</v>
      </c>
      <c r="J165" s="1">
        <v>2</v>
      </c>
      <c r="K165" s="1">
        <v>2</v>
      </c>
    </row>
    <row r="166" spans="1:11" ht="15.75" customHeight="1" x14ac:dyDescent="0.3">
      <c r="A166" s="15" t="s">
        <v>168</v>
      </c>
      <c r="B166" s="15" t="s">
        <v>180</v>
      </c>
      <c r="C166" s="15">
        <v>97</v>
      </c>
      <c r="D166" s="18">
        <v>1.08</v>
      </c>
      <c r="E166" s="15">
        <v>25.4</v>
      </c>
      <c r="F166" s="15">
        <v>0</v>
      </c>
      <c r="G166" s="15">
        <v>100</v>
      </c>
      <c r="H166" s="15"/>
      <c r="I166" s="17">
        <v>5</v>
      </c>
      <c r="J166" s="1">
        <v>6</v>
      </c>
      <c r="K166" s="1">
        <v>8</v>
      </c>
    </row>
    <row r="167" spans="1:11" ht="15.75" customHeight="1" x14ac:dyDescent="0.3">
      <c r="A167" s="15" t="s">
        <v>168</v>
      </c>
      <c r="B167" s="15" t="s">
        <v>180</v>
      </c>
      <c r="C167" s="15">
        <v>97</v>
      </c>
      <c r="D167" s="18">
        <v>1.08</v>
      </c>
      <c r="E167" s="15">
        <v>25.4</v>
      </c>
      <c r="F167" s="15">
        <v>0</v>
      </c>
      <c r="G167" s="15">
        <v>65</v>
      </c>
      <c r="H167" s="15">
        <v>480</v>
      </c>
      <c r="I167" s="17">
        <v>5</v>
      </c>
      <c r="J167" s="1">
        <v>9</v>
      </c>
      <c r="K167" s="1">
        <v>9</v>
      </c>
    </row>
    <row r="168" spans="1:11" ht="15.75" customHeight="1" x14ac:dyDescent="0.3">
      <c r="A168" s="15" t="s">
        <v>168</v>
      </c>
      <c r="B168" s="1" t="s">
        <v>180</v>
      </c>
      <c r="C168" s="1">
        <v>80</v>
      </c>
      <c r="D168" s="46">
        <v>0.04</v>
      </c>
      <c r="E168" s="1">
        <v>25.3</v>
      </c>
      <c r="F168" s="1">
        <v>0</v>
      </c>
      <c r="G168" s="1">
        <v>100</v>
      </c>
      <c r="H168" s="15"/>
      <c r="I168" s="2">
        <v>5</v>
      </c>
      <c r="J168" s="1">
        <v>0</v>
      </c>
      <c r="K168" s="1">
        <v>0</v>
      </c>
    </row>
    <row r="169" spans="1:11" ht="15.75" customHeight="1" x14ac:dyDescent="0.3">
      <c r="A169" s="15" t="s">
        <v>168</v>
      </c>
      <c r="B169" s="1" t="s">
        <v>181</v>
      </c>
      <c r="C169" s="1">
        <v>87</v>
      </c>
      <c r="D169" s="46">
        <v>9.8000000000000007</v>
      </c>
      <c r="E169" s="1">
        <v>34.5</v>
      </c>
      <c r="F169" s="1">
        <v>0</v>
      </c>
      <c r="G169" s="1">
        <v>90</v>
      </c>
      <c r="I169" s="2">
        <v>3</v>
      </c>
      <c r="J169" s="1">
        <v>4</v>
      </c>
      <c r="K169" s="1">
        <v>4</v>
      </c>
    </row>
    <row r="170" spans="1:11" ht="15.75" customHeight="1" x14ac:dyDescent="0.3">
      <c r="A170" s="15" t="s">
        <v>168</v>
      </c>
      <c r="B170" s="1" t="s">
        <v>181</v>
      </c>
      <c r="C170" s="1">
        <v>87</v>
      </c>
      <c r="D170" s="46">
        <v>9.8000000000000007</v>
      </c>
      <c r="E170" s="1">
        <v>34.5</v>
      </c>
      <c r="F170" s="1">
        <v>0</v>
      </c>
      <c r="G170" s="1">
        <v>0</v>
      </c>
      <c r="H170" s="1">
        <v>480</v>
      </c>
      <c r="I170" s="2">
        <v>3</v>
      </c>
      <c r="J170" s="1">
        <v>3</v>
      </c>
      <c r="K170" s="1">
        <v>3</v>
      </c>
    </row>
    <row r="171" spans="1:11" ht="15.75" customHeight="1" x14ac:dyDescent="0.3">
      <c r="A171" s="15" t="s">
        <v>168</v>
      </c>
      <c r="B171" s="1" t="s">
        <v>181</v>
      </c>
      <c r="C171" s="1">
        <v>80</v>
      </c>
      <c r="D171" s="46">
        <v>1.5</v>
      </c>
      <c r="E171" s="1">
        <v>26.9</v>
      </c>
      <c r="F171" s="1">
        <v>0</v>
      </c>
      <c r="G171" s="1">
        <v>100</v>
      </c>
      <c r="I171" s="2">
        <v>3</v>
      </c>
      <c r="J171" s="1">
        <v>3</v>
      </c>
      <c r="K171" s="1">
        <v>4</v>
      </c>
    </row>
    <row r="172" spans="1:11" ht="15.75" customHeight="1" x14ac:dyDescent="0.3">
      <c r="A172" s="15" t="s">
        <v>168</v>
      </c>
      <c r="B172" s="1" t="s">
        <v>198</v>
      </c>
      <c r="C172" s="1">
        <v>81</v>
      </c>
      <c r="D172" s="46">
        <v>36.6</v>
      </c>
      <c r="E172" s="1">
        <v>31.4</v>
      </c>
      <c r="F172" s="1">
        <v>0.8</v>
      </c>
      <c r="G172" s="1">
        <v>96</v>
      </c>
      <c r="H172" s="1">
        <v>480</v>
      </c>
      <c r="I172" s="2">
        <v>3</v>
      </c>
      <c r="J172" s="1">
        <v>7</v>
      </c>
      <c r="K172" s="1">
        <v>7</v>
      </c>
    </row>
    <row r="173" spans="1:11" ht="15.75" customHeight="1" x14ac:dyDescent="0.3">
      <c r="A173" s="15" t="s">
        <v>168</v>
      </c>
      <c r="B173" s="1" t="s">
        <v>198</v>
      </c>
      <c r="C173" s="1">
        <v>79</v>
      </c>
      <c r="D173" s="46">
        <v>13.35</v>
      </c>
      <c r="E173" s="1">
        <v>29.2</v>
      </c>
      <c r="F173" s="1">
        <v>0</v>
      </c>
      <c r="G173" s="1">
        <v>100</v>
      </c>
      <c r="I173" s="2">
        <v>3</v>
      </c>
      <c r="J173" s="1">
        <v>2</v>
      </c>
      <c r="K173" s="1">
        <v>2</v>
      </c>
    </row>
    <row r="174" spans="1:11" ht="15.75" customHeight="1" x14ac:dyDescent="0.3">
      <c r="A174" s="15" t="s">
        <v>168</v>
      </c>
      <c r="B174" s="1" t="s">
        <v>199</v>
      </c>
      <c r="C174" s="1">
        <v>92</v>
      </c>
      <c r="D174" s="46">
        <v>15.6</v>
      </c>
      <c r="E174" s="1">
        <v>23.5</v>
      </c>
      <c r="F174" s="1">
        <v>0.7</v>
      </c>
      <c r="G174" s="1">
        <v>2</v>
      </c>
      <c r="H174" s="1">
        <v>480</v>
      </c>
      <c r="I174" s="2">
        <v>2</v>
      </c>
      <c r="J174" s="1">
        <v>1</v>
      </c>
      <c r="K174" s="1">
        <v>1</v>
      </c>
    </row>
    <row r="175" spans="1:11" ht="15.75" customHeight="1" x14ac:dyDescent="0.3">
      <c r="A175" s="15" t="s">
        <v>168</v>
      </c>
      <c r="B175" s="1" t="s">
        <v>199</v>
      </c>
      <c r="C175" s="1">
        <v>79</v>
      </c>
      <c r="D175" s="46">
        <v>7.6</v>
      </c>
      <c r="E175" s="1">
        <v>25.4</v>
      </c>
      <c r="F175" s="1">
        <v>0</v>
      </c>
      <c r="G175" s="1">
        <v>100</v>
      </c>
      <c r="I175" s="2">
        <v>2</v>
      </c>
      <c r="J175" s="1">
        <v>2</v>
      </c>
      <c r="K175" s="1">
        <v>5</v>
      </c>
    </row>
    <row r="176" spans="1:11" ht="15.75" customHeight="1" x14ac:dyDescent="0.3">
      <c r="A176" s="15" t="s">
        <v>168</v>
      </c>
      <c r="B176" s="1" t="s">
        <v>183</v>
      </c>
      <c r="C176" s="1">
        <v>89</v>
      </c>
      <c r="D176" s="46">
        <v>1.1000000000000001</v>
      </c>
      <c r="E176" s="1">
        <v>22.3</v>
      </c>
      <c r="F176" s="1">
        <v>0</v>
      </c>
      <c r="G176" s="1">
        <v>2</v>
      </c>
      <c r="I176" s="2">
        <v>3</v>
      </c>
      <c r="J176" s="1">
        <v>7</v>
      </c>
      <c r="K176" s="1">
        <v>10</v>
      </c>
    </row>
    <row r="177" spans="1:11" ht="15.75" customHeight="1" x14ac:dyDescent="0.3">
      <c r="A177" s="15" t="s">
        <v>168</v>
      </c>
      <c r="B177" s="1" t="s">
        <v>183</v>
      </c>
      <c r="C177" s="1">
        <v>89</v>
      </c>
      <c r="D177" s="46">
        <v>1</v>
      </c>
      <c r="E177" s="1">
        <v>22.2</v>
      </c>
      <c r="F177" s="1">
        <v>0</v>
      </c>
      <c r="G177" s="1">
        <v>100</v>
      </c>
      <c r="H177" s="1">
        <v>1420</v>
      </c>
      <c r="I177" s="2">
        <v>3</v>
      </c>
      <c r="J177" s="1">
        <v>4</v>
      </c>
      <c r="K177" s="1">
        <v>4</v>
      </c>
    </row>
    <row r="178" spans="1:11" ht="15.75" customHeight="1" x14ac:dyDescent="0.3">
      <c r="A178" s="15" t="s">
        <v>168</v>
      </c>
      <c r="B178" s="1" t="s">
        <v>183</v>
      </c>
      <c r="C178" s="1">
        <v>72</v>
      </c>
      <c r="D178" s="1">
        <v>0.75</v>
      </c>
      <c r="E178" s="1">
        <v>25</v>
      </c>
      <c r="F178" s="1">
        <v>0.9</v>
      </c>
      <c r="G178" s="1">
        <v>100</v>
      </c>
      <c r="I178" s="2">
        <v>3</v>
      </c>
      <c r="J178" s="1">
        <v>2</v>
      </c>
      <c r="K178" s="1">
        <v>3</v>
      </c>
    </row>
    <row r="179" spans="1:11" ht="15.75" customHeight="1" x14ac:dyDescent="0.3">
      <c r="A179" s="15" t="s">
        <v>168</v>
      </c>
      <c r="B179" s="1" t="s">
        <v>185</v>
      </c>
      <c r="C179" s="1">
        <v>60</v>
      </c>
      <c r="D179" s="46">
        <v>44</v>
      </c>
      <c r="E179" s="1">
        <v>32.6</v>
      </c>
      <c r="F179" s="1">
        <v>0</v>
      </c>
      <c r="G179" s="1">
        <v>85</v>
      </c>
      <c r="H179" s="1">
        <v>1420</v>
      </c>
      <c r="I179" s="2">
        <v>1</v>
      </c>
      <c r="J179" s="1">
        <v>2</v>
      </c>
      <c r="K179" s="1">
        <v>4</v>
      </c>
    </row>
    <row r="180" spans="1:11" ht="15.75" customHeight="1" x14ac:dyDescent="0.3">
      <c r="A180" s="15" t="s">
        <v>168</v>
      </c>
      <c r="B180" s="1" t="s">
        <v>185</v>
      </c>
      <c r="C180" s="1">
        <v>79</v>
      </c>
      <c r="D180" s="46">
        <v>39.200000000000003</v>
      </c>
      <c r="E180" s="1">
        <v>31.4</v>
      </c>
      <c r="F180" s="1">
        <v>0</v>
      </c>
      <c r="G180" s="1">
        <v>100</v>
      </c>
      <c r="I180" s="2">
        <v>1</v>
      </c>
      <c r="J180" s="1">
        <v>0</v>
      </c>
      <c r="K180" s="1">
        <v>0</v>
      </c>
    </row>
    <row r="181" spans="1:11" ht="15.75" customHeight="1" x14ac:dyDescent="0.3">
      <c r="A181" s="15" t="s">
        <v>168</v>
      </c>
      <c r="B181" s="1" t="s">
        <v>186</v>
      </c>
      <c r="C181" s="1">
        <v>76</v>
      </c>
      <c r="D181" s="46">
        <v>1.53</v>
      </c>
      <c r="E181" s="1">
        <v>25.4</v>
      </c>
      <c r="F181" s="1">
        <v>0</v>
      </c>
      <c r="G181" s="1">
        <v>100</v>
      </c>
      <c r="H181" s="1">
        <v>1420</v>
      </c>
      <c r="I181" s="2">
        <v>6</v>
      </c>
      <c r="J181" s="1">
        <v>4</v>
      </c>
      <c r="K181" s="1">
        <v>5</v>
      </c>
    </row>
    <row r="182" spans="1:11" ht="15.75" customHeight="1" x14ac:dyDescent="0.3">
      <c r="A182" s="1" t="s">
        <v>172</v>
      </c>
      <c r="B182" s="1" t="s">
        <v>176</v>
      </c>
      <c r="C182" s="1">
        <v>81</v>
      </c>
      <c r="D182" s="46">
        <v>1.6</v>
      </c>
      <c r="E182" s="1">
        <v>26.5</v>
      </c>
      <c r="F182" s="1">
        <v>0</v>
      </c>
      <c r="G182" s="1">
        <v>30</v>
      </c>
      <c r="I182" s="2">
        <v>4</v>
      </c>
      <c r="J182" s="1">
        <v>12</v>
      </c>
      <c r="K182" s="1">
        <v>18</v>
      </c>
    </row>
    <row r="183" spans="1:11" ht="15.75" customHeight="1" x14ac:dyDescent="0.3">
      <c r="A183" s="1" t="s">
        <v>172</v>
      </c>
      <c r="B183" s="1" t="s">
        <v>177</v>
      </c>
      <c r="C183" s="1">
        <v>96</v>
      </c>
      <c r="D183" s="46">
        <v>1.1299999999999999</v>
      </c>
      <c r="E183" s="1">
        <v>26.4</v>
      </c>
      <c r="F183" s="1">
        <v>0</v>
      </c>
      <c r="G183" s="1">
        <v>100</v>
      </c>
      <c r="I183" s="2">
        <v>3</v>
      </c>
      <c r="J183" s="1">
        <v>5</v>
      </c>
      <c r="K183" s="1">
        <v>5</v>
      </c>
    </row>
    <row r="184" spans="1:11" ht="15.75" customHeight="1" x14ac:dyDescent="0.3">
      <c r="A184" s="1" t="s">
        <v>172</v>
      </c>
      <c r="B184" s="1" t="s">
        <v>200</v>
      </c>
      <c r="C184" s="1">
        <v>99</v>
      </c>
      <c r="D184" s="46">
        <v>0.28000000000000003</v>
      </c>
      <c r="E184" s="1">
        <v>23.5</v>
      </c>
      <c r="F184" s="1">
        <v>0</v>
      </c>
      <c r="G184" s="1">
        <v>100</v>
      </c>
      <c r="H184" s="1">
        <v>650</v>
      </c>
      <c r="I184" s="2">
        <v>5</v>
      </c>
      <c r="J184" s="1">
        <v>7</v>
      </c>
      <c r="K184" s="1">
        <v>10</v>
      </c>
    </row>
    <row r="185" spans="1:11" ht="15.75" customHeight="1" x14ac:dyDescent="0.3">
      <c r="A185" s="1" t="s">
        <v>172</v>
      </c>
      <c r="B185" s="1" t="s">
        <v>180</v>
      </c>
      <c r="C185" s="1">
        <v>96</v>
      </c>
      <c r="D185" s="46">
        <v>0.64</v>
      </c>
      <c r="E185" s="1">
        <v>24.9</v>
      </c>
      <c r="F185" s="1">
        <v>0</v>
      </c>
      <c r="G185" s="1">
        <v>100</v>
      </c>
      <c r="H185" s="1">
        <v>650</v>
      </c>
      <c r="I185" s="2">
        <v>5</v>
      </c>
      <c r="J185" s="1">
        <v>9</v>
      </c>
      <c r="K185" s="1">
        <v>9</v>
      </c>
    </row>
    <row r="186" spans="1:11" ht="15.75" customHeight="1" x14ac:dyDescent="0.3">
      <c r="A186" s="1" t="s">
        <v>172</v>
      </c>
      <c r="B186" s="1" t="s">
        <v>181</v>
      </c>
      <c r="C186" s="1">
        <v>98</v>
      </c>
      <c r="D186" s="46">
        <v>2.2799999999999998</v>
      </c>
      <c r="E186" s="1">
        <v>23.7</v>
      </c>
      <c r="F186" s="1">
        <v>0</v>
      </c>
      <c r="G186" s="1">
        <v>100</v>
      </c>
      <c r="H186" s="1">
        <v>650</v>
      </c>
      <c r="I186" s="2">
        <v>3</v>
      </c>
      <c r="J186" s="1">
        <v>4</v>
      </c>
      <c r="K186" s="1">
        <v>4</v>
      </c>
    </row>
    <row r="187" spans="1:11" ht="15.75" customHeight="1" x14ac:dyDescent="0.3">
      <c r="A187" s="1" t="s">
        <v>172</v>
      </c>
      <c r="B187" s="1" t="s">
        <v>198</v>
      </c>
      <c r="C187" s="1">
        <v>99</v>
      </c>
      <c r="D187" s="46">
        <v>7.2350000000000003</v>
      </c>
      <c r="E187" s="1">
        <v>24.6</v>
      </c>
      <c r="F187" s="1">
        <v>1.4</v>
      </c>
      <c r="G187" s="1">
        <v>100</v>
      </c>
      <c r="H187" s="1">
        <v>650</v>
      </c>
      <c r="I187" s="2">
        <v>3</v>
      </c>
      <c r="J187" s="1">
        <v>10</v>
      </c>
      <c r="K187" s="1">
        <v>16</v>
      </c>
    </row>
    <row r="188" spans="1:11" ht="15.75" customHeight="1" x14ac:dyDescent="0.3">
      <c r="A188" s="1" t="s">
        <v>172</v>
      </c>
      <c r="B188" s="1" t="s">
        <v>199</v>
      </c>
      <c r="C188" s="1">
        <v>78</v>
      </c>
      <c r="D188" s="46">
        <v>17.850000000000001</v>
      </c>
      <c r="E188" s="1">
        <v>26.8</v>
      </c>
      <c r="F188" s="1">
        <v>0.7</v>
      </c>
      <c r="G188" s="1">
        <v>100</v>
      </c>
      <c r="H188" s="1">
        <v>650</v>
      </c>
      <c r="I188" s="2">
        <v>2</v>
      </c>
      <c r="J188" s="1">
        <v>3</v>
      </c>
      <c r="K188" s="1">
        <v>3</v>
      </c>
    </row>
    <row r="189" spans="1:11" ht="15.75" customHeight="1" x14ac:dyDescent="0.3">
      <c r="A189" s="1" t="s">
        <v>172</v>
      </c>
      <c r="B189" s="1" t="s">
        <v>183</v>
      </c>
      <c r="C189" s="1">
        <v>92</v>
      </c>
      <c r="D189" s="46">
        <v>44.68</v>
      </c>
      <c r="E189" s="1">
        <v>23.2</v>
      </c>
      <c r="F189" s="1">
        <v>0.6</v>
      </c>
      <c r="G189" s="1">
        <v>0</v>
      </c>
      <c r="I189" s="2">
        <v>3</v>
      </c>
      <c r="J189" s="1">
        <v>8</v>
      </c>
      <c r="K189" s="1">
        <v>9</v>
      </c>
    </row>
    <row r="190" spans="1:11" ht="15.75" customHeight="1" x14ac:dyDescent="0.3">
      <c r="A190" s="1" t="s">
        <v>172</v>
      </c>
      <c r="B190" s="1" t="s">
        <v>183</v>
      </c>
      <c r="C190" s="1">
        <v>84</v>
      </c>
      <c r="D190" s="46">
        <v>0.5</v>
      </c>
      <c r="E190" s="1">
        <v>25.9</v>
      </c>
      <c r="F190" s="1">
        <v>0</v>
      </c>
      <c r="G190" s="1">
        <v>100</v>
      </c>
      <c r="I190" s="2">
        <v>3</v>
      </c>
      <c r="J190" s="1">
        <v>4</v>
      </c>
      <c r="K190" s="1">
        <v>4</v>
      </c>
    </row>
    <row r="191" spans="1:11" ht="15.75" customHeight="1" x14ac:dyDescent="0.3">
      <c r="A191" s="1" t="s">
        <v>172</v>
      </c>
      <c r="B191" s="1" t="s">
        <v>186</v>
      </c>
      <c r="C191" s="1">
        <v>83</v>
      </c>
      <c r="D191" s="46">
        <v>1.1299999999999999</v>
      </c>
      <c r="E191" s="1">
        <v>25.5</v>
      </c>
      <c r="F191" s="1">
        <v>0</v>
      </c>
      <c r="G191" s="1">
        <v>100</v>
      </c>
      <c r="I191" s="2">
        <v>6</v>
      </c>
      <c r="J191" s="1">
        <v>9</v>
      </c>
      <c r="K191" s="1">
        <v>19</v>
      </c>
    </row>
    <row r="192" spans="1:11" ht="15.75" customHeight="1" x14ac:dyDescent="0.3">
      <c r="D192" s="46"/>
    </row>
    <row r="193" spans="4:4" ht="15.75" customHeight="1" x14ac:dyDescent="0.3">
      <c r="D193" s="46"/>
    </row>
    <row r="194" spans="4:4" ht="15.75" customHeight="1" x14ac:dyDescent="0.3">
      <c r="D194" s="46"/>
    </row>
    <row r="195" spans="4:4" ht="15.75" customHeight="1" x14ac:dyDescent="0.3">
      <c r="D195" s="46"/>
    </row>
    <row r="196" spans="4:4" ht="15.75" customHeight="1" x14ac:dyDescent="0.3">
      <c r="D196" s="46"/>
    </row>
    <row r="197" spans="4:4" ht="15.75" customHeight="1" x14ac:dyDescent="0.3">
      <c r="D197" s="46"/>
    </row>
    <row r="198" spans="4:4" ht="15.75" customHeight="1" x14ac:dyDescent="0.3">
      <c r="D198" s="46"/>
    </row>
    <row r="199" spans="4:4" ht="15.75" customHeight="1" x14ac:dyDescent="0.3">
      <c r="D199" s="46"/>
    </row>
    <row r="200" spans="4:4" ht="15.75" customHeight="1" x14ac:dyDescent="0.3">
      <c r="D200" s="46"/>
    </row>
    <row r="201" spans="4:4" ht="15.75" customHeight="1" x14ac:dyDescent="0.3">
      <c r="D201" s="46"/>
    </row>
    <row r="202" spans="4:4" ht="15.75" customHeight="1" x14ac:dyDescent="0.3">
      <c r="D202" s="46"/>
    </row>
    <row r="203" spans="4:4" ht="15.75" customHeight="1" x14ac:dyDescent="0.3">
      <c r="D203" s="46"/>
    </row>
    <row r="204" spans="4:4" ht="15.75" customHeight="1" x14ac:dyDescent="0.3">
      <c r="D204" s="46"/>
    </row>
    <row r="205" spans="4:4" ht="15.75" customHeight="1" x14ac:dyDescent="0.3">
      <c r="D205" s="46"/>
    </row>
    <row r="206" spans="4:4" ht="15.75" customHeight="1" x14ac:dyDescent="0.3">
      <c r="D206" s="46"/>
    </row>
    <row r="207" spans="4:4" ht="15.75" customHeight="1" x14ac:dyDescent="0.3">
      <c r="D207" s="46"/>
    </row>
    <row r="208" spans="4:4" ht="15.75" customHeight="1" x14ac:dyDescent="0.3">
      <c r="D208" s="46"/>
    </row>
    <row r="209" spans="4:4" ht="15.75" customHeight="1" x14ac:dyDescent="0.3">
      <c r="D209" s="46"/>
    </row>
    <row r="210" spans="4:4" ht="15.75" customHeight="1" x14ac:dyDescent="0.3">
      <c r="D210" s="46"/>
    </row>
    <row r="211" spans="4:4" ht="15.75" customHeight="1" x14ac:dyDescent="0.3">
      <c r="D211" s="46"/>
    </row>
    <row r="212" spans="4:4" ht="15.75" customHeight="1" x14ac:dyDescent="0.3">
      <c r="D212" s="46"/>
    </row>
    <row r="213" spans="4:4" ht="15.75" customHeight="1" x14ac:dyDescent="0.3">
      <c r="D213" s="46"/>
    </row>
    <row r="214" spans="4:4" ht="15.75" customHeight="1" x14ac:dyDescent="0.3">
      <c r="D214" s="46"/>
    </row>
    <row r="215" spans="4:4" ht="15.75" customHeight="1" x14ac:dyDescent="0.3">
      <c r="D215" s="46"/>
    </row>
    <row r="216" spans="4:4" ht="15.75" customHeight="1" x14ac:dyDescent="0.3">
      <c r="D216" s="46"/>
    </row>
    <row r="217" spans="4:4" ht="15.75" customHeight="1" x14ac:dyDescent="0.3">
      <c r="D217" s="46"/>
    </row>
    <row r="218" spans="4:4" ht="15.75" customHeight="1" x14ac:dyDescent="0.3">
      <c r="D218" s="46"/>
    </row>
    <row r="219" spans="4:4" ht="15.75" customHeight="1" x14ac:dyDescent="0.3">
      <c r="D219" s="46"/>
    </row>
    <row r="220" spans="4:4" ht="15.75" customHeight="1" x14ac:dyDescent="0.3">
      <c r="D220" s="46"/>
    </row>
    <row r="221" spans="4:4" ht="15.75" customHeight="1" x14ac:dyDescent="0.3">
      <c r="D221" s="46"/>
    </row>
    <row r="222" spans="4:4" ht="15.75" customHeight="1" x14ac:dyDescent="0.3">
      <c r="D222" s="46"/>
    </row>
    <row r="223" spans="4:4" ht="15.75" customHeight="1" x14ac:dyDescent="0.3">
      <c r="D223" s="46"/>
    </row>
    <row r="224" spans="4:4" ht="15.75" customHeight="1" x14ac:dyDescent="0.3">
      <c r="D224" s="46"/>
    </row>
    <row r="225" spans="4:4" ht="15.75" customHeight="1" x14ac:dyDescent="0.3">
      <c r="D225" s="46"/>
    </row>
    <row r="226" spans="4:4" ht="15.75" customHeight="1" x14ac:dyDescent="0.3">
      <c r="D226" s="46"/>
    </row>
    <row r="227" spans="4:4" ht="15.75" customHeight="1" x14ac:dyDescent="0.3">
      <c r="D227" s="46"/>
    </row>
    <row r="228" spans="4:4" ht="15.75" customHeight="1" x14ac:dyDescent="0.3">
      <c r="D228" s="46"/>
    </row>
    <row r="229" spans="4:4" ht="15.75" customHeight="1" x14ac:dyDescent="0.3">
      <c r="D229" s="46"/>
    </row>
    <row r="230" spans="4:4" ht="15.75" customHeight="1" x14ac:dyDescent="0.3">
      <c r="D230" s="46"/>
    </row>
    <row r="231" spans="4:4" ht="15.75" customHeight="1" x14ac:dyDescent="0.3">
      <c r="D231" s="46"/>
    </row>
    <row r="232" spans="4:4" ht="15.75" customHeight="1" x14ac:dyDescent="0.3">
      <c r="D232" s="46"/>
    </row>
    <row r="233" spans="4:4" ht="15.75" customHeight="1" x14ac:dyDescent="0.3">
      <c r="D233" s="46"/>
    </row>
    <row r="234" spans="4:4" ht="15.75" customHeight="1" x14ac:dyDescent="0.3">
      <c r="D234" s="46"/>
    </row>
    <row r="235" spans="4:4" ht="15.75" customHeight="1" x14ac:dyDescent="0.3">
      <c r="D235" s="46"/>
    </row>
    <row r="236" spans="4:4" ht="15.75" customHeight="1" x14ac:dyDescent="0.3">
      <c r="D236" s="46"/>
    </row>
    <row r="237" spans="4:4" ht="15.75" customHeight="1" x14ac:dyDescent="0.3">
      <c r="D237" s="46"/>
    </row>
    <row r="238" spans="4:4" ht="15.75" customHeight="1" x14ac:dyDescent="0.3">
      <c r="D238" s="46"/>
    </row>
    <row r="239" spans="4:4" ht="15.75" customHeight="1" x14ac:dyDescent="0.3">
      <c r="D239" s="46"/>
    </row>
    <row r="240" spans="4:4" ht="15.75" customHeight="1" x14ac:dyDescent="0.3">
      <c r="D240" s="46"/>
    </row>
    <row r="241" spans="4:4" ht="15.75" customHeight="1" x14ac:dyDescent="0.3">
      <c r="D241" s="46"/>
    </row>
    <row r="242" spans="4:4" ht="15.75" customHeight="1" x14ac:dyDescent="0.3">
      <c r="D242" s="46"/>
    </row>
    <row r="243" spans="4:4" ht="15.75" customHeight="1" x14ac:dyDescent="0.3">
      <c r="D243" s="46"/>
    </row>
    <row r="244" spans="4:4" ht="15.75" customHeight="1" x14ac:dyDescent="0.3">
      <c r="D244" s="46"/>
    </row>
    <row r="245" spans="4:4" ht="15.75" customHeight="1" x14ac:dyDescent="0.3">
      <c r="D245" s="46"/>
    </row>
    <row r="246" spans="4:4" ht="15.75" customHeight="1" x14ac:dyDescent="0.3">
      <c r="D246" s="46"/>
    </row>
    <row r="247" spans="4:4" ht="15.75" customHeight="1" x14ac:dyDescent="0.3">
      <c r="D247" s="46"/>
    </row>
    <row r="248" spans="4:4" ht="15.75" customHeight="1" x14ac:dyDescent="0.3">
      <c r="D248" s="46"/>
    </row>
    <row r="249" spans="4:4" ht="15.75" customHeight="1" x14ac:dyDescent="0.3">
      <c r="D249" s="46"/>
    </row>
    <row r="250" spans="4:4" ht="15.75" customHeight="1" x14ac:dyDescent="0.3">
      <c r="D250" s="46"/>
    </row>
    <row r="251" spans="4:4" ht="15.75" customHeight="1" x14ac:dyDescent="0.3">
      <c r="D251" s="46"/>
    </row>
    <row r="252" spans="4:4" ht="15.75" customHeight="1" x14ac:dyDescent="0.3">
      <c r="D252" s="46"/>
    </row>
    <row r="253" spans="4:4" ht="15.75" customHeight="1" x14ac:dyDescent="0.3">
      <c r="D253" s="46"/>
    </row>
    <row r="254" spans="4:4" ht="15.75" customHeight="1" x14ac:dyDescent="0.3">
      <c r="D254" s="46"/>
    </row>
    <row r="255" spans="4:4" ht="15.75" customHeight="1" x14ac:dyDescent="0.3">
      <c r="D255" s="46"/>
    </row>
    <row r="256" spans="4:4" ht="15.75" customHeight="1" x14ac:dyDescent="0.3">
      <c r="D256" s="46"/>
    </row>
    <row r="257" spans="4:4" ht="15.75" customHeight="1" x14ac:dyDescent="0.3">
      <c r="D257" s="46"/>
    </row>
    <row r="258" spans="4:4" ht="15.75" customHeight="1" x14ac:dyDescent="0.3">
      <c r="D258" s="46"/>
    </row>
    <row r="259" spans="4:4" ht="15.75" customHeight="1" x14ac:dyDescent="0.3">
      <c r="D259" s="46"/>
    </row>
    <row r="260" spans="4:4" ht="15.75" customHeight="1" x14ac:dyDescent="0.3">
      <c r="D260" s="46"/>
    </row>
    <row r="261" spans="4:4" ht="15.75" customHeight="1" x14ac:dyDescent="0.3">
      <c r="D261" s="46"/>
    </row>
    <row r="262" spans="4:4" ht="15.75" customHeight="1" x14ac:dyDescent="0.3">
      <c r="D262" s="46"/>
    </row>
    <row r="263" spans="4:4" ht="15.75" customHeight="1" x14ac:dyDescent="0.3">
      <c r="D263" s="46"/>
    </row>
    <row r="264" spans="4:4" ht="15.75" customHeight="1" x14ac:dyDescent="0.3"/>
    <row r="265" spans="4:4" ht="15.75" customHeight="1" x14ac:dyDescent="0.3"/>
    <row r="266" spans="4:4" ht="15.75" customHeight="1" x14ac:dyDescent="0.3"/>
    <row r="267" spans="4:4" ht="15.75" customHeight="1" x14ac:dyDescent="0.3"/>
    <row r="268" spans="4:4" ht="15.75" customHeight="1" x14ac:dyDescent="0.3"/>
    <row r="269" spans="4:4" ht="15.75" customHeight="1" x14ac:dyDescent="0.3"/>
    <row r="270" spans="4:4" ht="15.75" customHeight="1" x14ac:dyDescent="0.3"/>
    <row r="271" spans="4:4" ht="15.75" customHeight="1" x14ac:dyDescent="0.3"/>
    <row r="272" spans="4:4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  <row r="1009" ht="15.75" customHeight="1" x14ac:dyDescent="0.3"/>
    <row r="1010" ht="15.75" customHeight="1" x14ac:dyDescent="0.3"/>
    <row r="1011" ht="15.75" customHeight="1" x14ac:dyDescent="0.3"/>
    <row r="1012" ht="15.75" customHeight="1" x14ac:dyDescent="0.3"/>
    <row r="1013" ht="15.75" customHeight="1" x14ac:dyDescent="0.3"/>
    <row r="1014" ht="15.75" customHeight="1" x14ac:dyDescent="0.3"/>
    <row r="1015" ht="15.75" customHeight="1" x14ac:dyDescent="0.3"/>
    <row r="1016" ht="15.75" customHeight="1" x14ac:dyDescent="0.3"/>
    <row r="1017" ht="15.75" customHeight="1" x14ac:dyDescent="0.3"/>
    <row r="1018" ht="15.75" customHeight="1" x14ac:dyDescent="0.3"/>
    <row r="1019" ht="15.75" customHeight="1" x14ac:dyDescent="0.3"/>
    <row r="1020" ht="15.75" customHeight="1" x14ac:dyDescent="0.3"/>
    <row r="1021" ht="15.75" customHeight="1" x14ac:dyDescent="0.3"/>
    <row r="1022" ht="15.75" customHeight="1" x14ac:dyDescent="0.3"/>
    <row r="1023" ht="15.75" customHeight="1" x14ac:dyDescent="0.3"/>
    <row r="1024" ht="15.75" customHeight="1" x14ac:dyDescent="0.3"/>
    <row r="1025" ht="15.75" customHeight="1" x14ac:dyDescent="0.3"/>
    <row r="1026" ht="15.75" customHeight="1" x14ac:dyDescent="0.3"/>
    <row r="1027" ht="15.75" customHeight="1" x14ac:dyDescent="0.3"/>
    <row r="1028" ht="15.75" customHeight="1" x14ac:dyDescent="0.3"/>
    <row r="1029" ht="15.75" customHeight="1" x14ac:dyDescent="0.3"/>
    <row r="1030" ht="15.75" customHeight="1" x14ac:dyDescent="0.3"/>
    <row r="1031" ht="15.75" customHeight="1" x14ac:dyDescent="0.3"/>
    <row r="1032" ht="15.75" customHeight="1" x14ac:dyDescent="0.3"/>
    <row r="1033" ht="15.75" customHeight="1" x14ac:dyDescent="0.3"/>
    <row r="1034" ht="15.75" customHeight="1" x14ac:dyDescent="0.3"/>
    <row r="1035" ht="15.75" customHeight="1" x14ac:dyDescent="0.3"/>
    <row r="1036" ht="15.75" customHeight="1" x14ac:dyDescent="0.3"/>
    <row r="1037" ht="15.75" customHeight="1" x14ac:dyDescent="0.3"/>
    <row r="1038" ht="15.75" customHeight="1" x14ac:dyDescent="0.3"/>
    <row r="1039" ht="15.75" customHeight="1" x14ac:dyDescent="0.3"/>
    <row r="1040" ht="15.75" customHeight="1" x14ac:dyDescent="0.3"/>
    <row r="1041" ht="15.75" customHeight="1" x14ac:dyDescent="0.3"/>
    <row r="1042" ht="15.75" customHeight="1" x14ac:dyDescent="0.3"/>
    <row r="1043" ht="15.75" customHeight="1" x14ac:dyDescent="0.3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911"/>
  <sheetViews>
    <sheetView topLeftCell="A2" zoomScale="80" workbookViewId="0">
      <selection activeCell="A2" sqref="A2:K2"/>
    </sheetView>
  </sheetViews>
  <sheetFormatPr defaultColWidth="12.77734375" defaultRowHeight="14.4" x14ac:dyDescent="0.3"/>
  <cols>
    <col min="1" max="1" width="7.21875" style="1" customWidth="1"/>
    <col min="2" max="2" width="14.77734375" style="1" customWidth="1"/>
    <col min="3" max="3" width="6.44140625" style="1" customWidth="1"/>
    <col min="4" max="4" width="8" style="1" customWidth="1"/>
    <col min="5" max="5" width="6.21875" style="1" customWidth="1"/>
    <col min="6" max="6" width="6" style="1" customWidth="1"/>
    <col min="7" max="7" width="10" style="1" customWidth="1"/>
    <col min="8" max="8" width="7.5546875" style="1" customWidth="1"/>
    <col min="9" max="9" width="11.44140625" style="2" customWidth="1"/>
    <col min="10" max="16384" width="12.77734375" style="1"/>
  </cols>
  <sheetData>
    <row r="1" spans="1:11" ht="15" hidden="1" customHeight="1" x14ac:dyDescent="0.3">
      <c r="I1" s="3"/>
    </row>
    <row r="2" spans="1:11" ht="120.6" x14ac:dyDescent="0.3">
      <c r="A2" s="6" t="s">
        <v>196</v>
      </c>
      <c r="B2" s="6" t="s">
        <v>187</v>
      </c>
      <c r="C2" s="7" t="s">
        <v>188</v>
      </c>
      <c r="D2" s="9" t="s">
        <v>189</v>
      </c>
      <c r="E2" s="7" t="s">
        <v>190</v>
      </c>
      <c r="F2" s="7" t="s">
        <v>191</v>
      </c>
      <c r="G2" s="7" t="s">
        <v>192</v>
      </c>
      <c r="H2" s="7" t="s">
        <v>197</v>
      </c>
      <c r="I2" s="8" t="s">
        <v>194</v>
      </c>
      <c r="J2" s="1" t="s">
        <v>195</v>
      </c>
      <c r="K2" s="1" t="s">
        <v>175</v>
      </c>
    </row>
    <row r="3" spans="1:11" ht="15.75" customHeight="1" x14ac:dyDescent="0.3">
      <c r="A3" s="15" t="s">
        <v>146</v>
      </c>
      <c r="B3" s="23" t="s">
        <v>200</v>
      </c>
      <c r="C3" s="15">
        <v>94</v>
      </c>
      <c r="D3" s="36">
        <v>0.5</v>
      </c>
      <c r="E3" s="15">
        <v>24.8</v>
      </c>
      <c r="F3" s="15">
        <v>0</v>
      </c>
      <c r="G3" s="15">
        <v>100</v>
      </c>
      <c r="H3" s="15">
        <v>870</v>
      </c>
      <c r="I3" s="17">
        <v>5</v>
      </c>
      <c r="J3" s="1">
        <v>2</v>
      </c>
      <c r="K3" s="1">
        <v>6</v>
      </c>
    </row>
    <row r="4" spans="1:11" ht="15.75" customHeight="1" x14ac:dyDescent="0.3">
      <c r="A4" s="15" t="s">
        <v>146</v>
      </c>
      <c r="B4" s="23" t="s">
        <v>181</v>
      </c>
      <c r="C4" s="15">
        <v>99</v>
      </c>
      <c r="D4" s="18">
        <v>7.59</v>
      </c>
      <c r="E4" s="15">
        <v>23.9</v>
      </c>
      <c r="F4" s="15">
        <v>0</v>
      </c>
      <c r="G4" s="15">
        <v>100</v>
      </c>
      <c r="H4" s="15">
        <v>870</v>
      </c>
      <c r="I4" s="17">
        <v>3</v>
      </c>
      <c r="J4" s="1">
        <v>5</v>
      </c>
      <c r="K4" s="1">
        <v>6</v>
      </c>
    </row>
    <row r="5" spans="1:11" ht="15.75" customHeight="1" x14ac:dyDescent="0.3">
      <c r="A5" s="15" t="s">
        <v>146</v>
      </c>
      <c r="B5" s="23" t="s">
        <v>198</v>
      </c>
      <c r="C5" s="15">
        <v>99</v>
      </c>
      <c r="D5" s="18">
        <v>13.05</v>
      </c>
      <c r="E5" s="15">
        <v>25.9</v>
      </c>
      <c r="F5" s="15">
        <v>0.45</v>
      </c>
      <c r="G5" s="15">
        <v>100</v>
      </c>
      <c r="H5" s="15">
        <v>870</v>
      </c>
      <c r="I5" s="17">
        <v>3</v>
      </c>
      <c r="J5" s="1">
        <v>4</v>
      </c>
      <c r="K5" s="1">
        <v>4</v>
      </c>
    </row>
    <row r="6" spans="1:11" ht="15.75" customHeight="1" x14ac:dyDescent="0.3">
      <c r="A6" s="15" t="s">
        <v>146</v>
      </c>
      <c r="B6" s="23" t="s">
        <v>199</v>
      </c>
      <c r="C6" s="15">
        <v>93</v>
      </c>
      <c r="D6" s="18">
        <v>6.64</v>
      </c>
      <c r="E6" s="15">
        <v>26</v>
      </c>
      <c r="F6" s="15">
        <v>0</v>
      </c>
      <c r="G6" s="15">
        <v>100</v>
      </c>
      <c r="H6" s="15">
        <v>870</v>
      </c>
      <c r="I6" s="17">
        <v>2</v>
      </c>
      <c r="J6" s="1">
        <v>7</v>
      </c>
      <c r="K6" s="1">
        <v>13</v>
      </c>
    </row>
    <row r="7" spans="1:11" ht="15.75" customHeight="1" x14ac:dyDescent="0.3">
      <c r="A7" s="15" t="s">
        <v>146</v>
      </c>
      <c r="B7" s="23" t="s">
        <v>183</v>
      </c>
      <c r="C7" s="15">
        <v>79</v>
      </c>
      <c r="D7" s="18">
        <v>15.5</v>
      </c>
      <c r="E7" s="15">
        <v>28.3</v>
      </c>
      <c r="F7" s="15">
        <v>0</v>
      </c>
      <c r="G7" s="15">
        <v>100</v>
      </c>
      <c r="H7" s="15">
        <v>1360</v>
      </c>
      <c r="I7" s="17">
        <v>3</v>
      </c>
      <c r="J7" s="1">
        <v>3</v>
      </c>
      <c r="K7" s="1">
        <v>3</v>
      </c>
    </row>
    <row r="8" spans="1:11" ht="15.75" customHeight="1" x14ac:dyDescent="0.3">
      <c r="A8" s="15" t="s">
        <v>146</v>
      </c>
      <c r="B8" s="23" t="s">
        <v>185</v>
      </c>
      <c r="C8" s="15">
        <v>86</v>
      </c>
      <c r="D8" s="18">
        <v>19.5</v>
      </c>
      <c r="E8" s="15">
        <v>27.4</v>
      </c>
      <c r="F8" s="15">
        <v>2.9</v>
      </c>
      <c r="G8" s="15">
        <v>100</v>
      </c>
      <c r="H8" s="15">
        <v>1360</v>
      </c>
      <c r="I8" s="17">
        <v>1</v>
      </c>
      <c r="J8" s="1">
        <v>3</v>
      </c>
      <c r="K8" s="1">
        <v>5</v>
      </c>
    </row>
    <row r="9" spans="1:11" ht="15.75" customHeight="1" x14ac:dyDescent="0.3">
      <c r="A9" s="15" t="s">
        <v>146</v>
      </c>
      <c r="B9" s="23" t="s">
        <v>186</v>
      </c>
      <c r="C9" s="15">
        <v>79</v>
      </c>
      <c r="D9" s="18">
        <v>0.56999999999999995</v>
      </c>
      <c r="E9" s="15">
        <v>24.8</v>
      </c>
      <c r="F9" s="15">
        <v>0</v>
      </c>
      <c r="G9" s="15">
        <v>100</v>
      </c>
      <c r="H9" s="15">
        <v>1360</v>
      </c>
      <c r="I9" s="17">
        <v>6</v>
      </c>
      <c r="J9" s="1">
        <v>3</v>
      </c>
      <c r="K9" s="1">
        <v>4</v>
      </c>
    </row>
    <row r="10" spans="1:11" ht="15.75" customHeight="1" x14ac:dyDescent="0.3">
      <c r="A10" s="15" t="s">
        <v>153</v>
      </c>
      <c r="B10" s="23" t="s">
        <v>176</v>
      </c>
      <c r="C10" s="15">
        <v>99</v>
      </c>
      <c r="D10" s="18">
        <v>6.06</v>
      </c>
      <c r="E10" s="15">
        <v>25.35</v>
      </c>
      <c r="F10" s="15">
        <v>0</v>
      </c>
      <c r="G10" s="15">
        <v>100</v>
      </c>
      <c r="H10" s="15">
        <v>580</v>
      </c>
      <c r="I10" s="17">
        <v>4</v>
      </c>
      <c r="J10" s="1">
        <v>9</v>
      </c>
      <c r="K10" s="1">
        <v>9</v>
      </c>
    </row>
    <row r="11" spans="1:11" ht="15.75" customHeight="1" x14ac:dyDescent="0.3">
      <c r="A11" s="15" t="s">
        <v>153</v>
      </c>
      <c r="B11" s="23" t="s">
        <v>177</v>
      </c>
      <c r="C11" s="15">
        <v>98</v>
      </c>
      <c r="D11" s="18">
        <v>0.77</v>
      </c>
      <c r="E11" s="15">
        <v>22.6</v>
      </c>
      <c r="F11" s="15">
        <v>0</v>
      </c>
      <c r="G11" s="15">
        <v>100</v>
      </c>
      <c r="H11" s="15">
        <v>580</v>
      </c>
      <c r="I11" s="17">
        <v>3</v>
      </c>
      <c r="J11" s="1">
        <v>8</v>
      </c>
      <c r="K11" s="1">
        <v>14</v>
      </c>
    </row>
    <row r="12" spans="1:11" ht="15.75" customHeight="1" x14ac:dyDescent="0.3">
      <c r="A12" s="15" t="s">
        <v>153</v>
      </c>
      <c r="B12" s="23" t="s">
        <v>200</v>
      </c>
      <c r="C12" s="15">
        <v>98</v>
      </c>
      <c r="D12" s="18">
        <v>3.69</v>
      </c>
      <c r="E12" s="15">
        <v>22.35</v>
      </c>
      <c r="F12" s="15">
        <v>0</v>
      </c>
      <c r="G12" s="15">
        <v>0</v>
      </c>
      <c r="H12" s="15">
        <v>870</v>
      </c>
      <c r="I12" s="17">
        <v>5</v>
      </c>
      <c r="J12" s="1">
        <v>3</v>
      </c>
      <c r="K12" s="1">
        <v>7</v>
      </c>
    </row>
    <row r="13" spans="1:11" ht="15.75" customHeight="1" x14ac:dyDescent="0.3">
      <c r="A13" s="15" t="s">
        <v>153</v>
      </c>
      <c r="B13" s="23" t="s">
        <v>200</v>
      </c>
      <c r="C13" s="15">
        <v>98</v>
      </c>
      <c r="D13" s="18">
        <v>3.69</v>
      </c>
      <c r="E13" s="15">
        <v>22.35</v>
      </c>
      <c r="F13" s="15">
        <v>0</v>
      </c>
      <c r="G13" s="15">
        <v>0</v>
      </c>
      <c r="H13" s="15">
        <v>870</v>
      </c>
      <c r="I13" s="17">
        <v>5</v>
      </c>
      <c r="J13" s="1">
        <v>13</v>
      </c>
      <c r="K13" s="1">
        <v>14</v>
      </c>
    </row>
    <row r="14" spans="1:11" ht="15.75" customHeight="1" x14ac:dyDescent="0.3">
      <c r="A14" s="15" t="s">
        <v>153</v>
      </c>
      <c r="B14" s="23" t="s">
        <v>180</v>
      </c>
      <c r="C14" s="15">
        <v>85</v>
      </c>
      <c r="D14" s="18">
        <v>3.81</v>
      </c>
      <c r="E14" s="15">
        <v>25</v>
      </c>
      <c r="F14" s="15">
        <v>0</v>
      </c>
      <c r="G14" s="15">
        <v>78.33</v>
      </c>
      <c r="H14" s="15">
        <v>870</v>
      </c>
      <c r="I14" s="17">
        <v>5</v>
      </c>
      <c r="J14" s="1">
        <v>3</v>
      </c>
      <c r="K14" s="1">
        <v>3</v>
      </c>
    </row>
    <row r="15" spans="1:11" ht="15.75" customHeight="1" x14ac:dyDescent="0.3">
      <c r="A15" s="15" t="s">
        <v>153</v>
      </c>
      <c r="B15" s="23" t="s">
        <v>181</v>
      </c>
      <c r="C15" s="15">
        <v>85</v>
      </c>
      <c r="D15" s="18">
        <v>13.84</v>
      </c>
      <c r="E15" s="15">
        <v>26.7</v>
      </c>
      <c r="F15" s="15">
        <v>0</v>
      </c>
      <c r="G15" s="15">
        <v>100</v>
      </c>
      <c r="H15" s="15">
        <v>870</v>
      </c>
      <c r="I15" s="17">
        <v>3</v>
      </c>
      <c r="J15" s="1">
        <v>4</v>
      </c>
      <c r="K15" s="1">
        <v>6</v>
      </c>
    </row>
    <row r="16" spans="1:11" ht="15.75" customHeight="1" x14ac:dyDescent="0.3">
      <c r="A16" s="15" t="s">
        <v>153</v>
      </c>
      <c r="B16" s="23" t="s">
        <v>198</v>
      </c>
      <c r="C16" s="15">
        <v>90</v>
      </c>
      <c r="D16" s="18">
        <v>8.44</v>
      </c>
      <c r="E16" s="15">
        <v>27.4</v>
      </c>
      <c r="F16" s="15">
        <v>0.8</v>
      </c>
      <c r="G16" s="15">
        <v>100</v>
      </c>
      <c r="H16" s="15">
        <v>870</v>
      </c>
      <c r="I16" s="17">
        <v>3</v>
      </c>
      <c r="J16" s="1">
        <v>12</v>
      </c>
      <c r="K16" s="1">
        <v>17</v>
      </c>
    </row>
    <row r="17" spans="1:11" ht="15.75" customHeight="1" x14ac:dyDescent="0.3">
      <c r="A17" s="15" t="s">
        <v>153</v>
      </c>
      <c r="B17" s="23" t="s">
        <v>199</v>
      </c>
      <c r="C17" s="15">
        <v>77</v>
      </c>
      <c r="D17" s="36">
        <v>1.79</v>
      </c>
      <c r="E17" s="15">
        <v>23.98</v>
      </c>
      <c r="F17" s="15">
        <v>0.83</v>
      </c>
      <c r="G17" s="15">
        <v>100</v>
      </c>
      <c r="H17" s="15">
        <v>1100</v>
      </c>
      <c r="I17" s="17">
        <v>2</v>
      </c>
      <c r="J17" s="1">
        <v>3</v>
      </c>
      <c r="K17" s="1">
        <v>3</v>
      </c>
    </row>
    <row r="18" spans="1:11" ht="15.75" customHeight="1" x14ac:dyDescent="0.3">
      <c r="A18" s="15" t="s">
        <v>153</v>
      </c>
      <c r="B18" s="23" t="s">
        <v>199</v>
      </c>
      <c r="C18" s="15">
        <v>78</v>
      </c>
      <c r="D18" s="36">
        <v>20.350000000000001</v>
      </c>
      <c r="E18" s="15">
        <v>22.55</v>
      </c>
      <c r="F18" s="15">
        <v>0</v>
      </c>
      <c r="G18" s="15">
        <v>38.33</v>
      </c>
      <c r="H18" s="1">
        <v>1420</v>
      </c>
      <c r="I18" s="17">
        <v>2</v>
      </c>
      <c r="J18" s="1">
        <v>6</v>
      </c>
      <c r="K18" s="1">
        <v>14</v>
      </c>
    </row>
    <row r="19" spans="1:11" ht="15.75" customHeight="1" x14ac:dyDescent="0.3">
      <c r="A19" s="15" t="s">
        <v>153</v>
      </c>
      <c r="B19" s="23" t="s">
        <v>183</v>
      </c>
      <c r="C19" s="15">
        <v>95</v>
      </c>
      <c r="D19" s="18">
        <v>10.69</v>
      </c>
      <c r="E19" s="15">
        <v>22.8</v>
      </c>
      <c r="F19" s="15">
        <v>1.2</v>
      </c>
      <c r="G19" s="15">
        <v>100</v>
      </c>
      <c r="H19" s="15">
        <v>1100</v>
      </c>
      <c r="I19" s="17">
        <v>3</v>
      </c>
      <c r="J19" s="1">
        <v>4</v>
      </c>
      <c r="K19" s="1">
        <v>7</v>
      </c>
    </row>
    <row r="20" spans="1:11" ht="15.75" customHeight="1" x14ac:dyDescent="0.3">
      <c r="A20" s="15" t="s">
        <v>153</v>
      </c>
      <c r="B20" s="23" t="s">
        <v>183</v>
      </c>
      <c r="C20" s="15">
        <v>95</v>
      </c>
      <c r="D20" s="18">
        <v>5.99</v>
      </c>
      <c r="E20" s="15">
        <v>25.7</v>
      </c>
      <c r="F20" s="15">
        <v>0</v>
      </c>
      <c r="G20" s="15">
        <v>100</v>
      </c>
      <c r="H20" s="15">
        <v>1420</v>
      </c>
      <c r="I20" s="17">
        <v>3</v>
      </c>
      <c r="J20" s="1">
        <v>5</v>
      </c>
      <c r="K20" s="1">
        <v>7</v>
      </c>
    </row>
    <row r="21" spans="1:11" ht="15.75" customHeight="1" x14ac:dyDescent="0.3">
      <c r="A21" s="15" t="s">
        <v>153</v>
      </c>
      <c r="B21" s="23" t="s">
        <v>185</v>
      </c>
      <c r="C21" s="15">
        <v>80</v>
      </c>
      <c r="D21" s="36">
        <v>14.7</v>
      </c>
      <c r="E21" s="15">
        <v>24.13</v>
      </c>
      <c r="F21" s="15">
        <v>2.1</v>
      </c>
      <c r="G21" s="15">
        <v>100</v>
      </c>
      <c r="H21" s="15">
        <v>1420</v>
      </c>
      <c r="I21" s="17">
        <v>1</v>
      </c>
      <c r="J21" s="1">
        <v>3</v>
      </c>
      <c r="K21" s="1">
        <v>11</v>
      </c>
    </row>
    <row r="22" spans="1:11" ht="15.75" customHeight="1" x14ac:dyDescent="0.3">
      <c r="A22" s="15" t="s">
        <v>153</v>
      </c>
      <c r="B22" s="23" t="s">
        <v>185</v>
      </c>
      <c r="C22" s="15">
        <v>99</v>
      </c>
      <c r="D22" s="36">
        <v>12.46</v>
      </c>
      <c r="E22" s="15">
        <v>22.9</v>
      </c>
      <c r="F22" s="15">
        <v>0</v>
      </c>
      <c r="G22" s="15">
        <v>100</v>
      </c>
      <c r="H22" s="15">
        <v>1420</v>
      </c>
      <c r="I22" s="17">
        <v>1</v>
      </c>
      <c r="J22" s="1">
        <v>4</v>
      </c>
      <c r="K22" s="1">
        <v>5</v>
      </c>
    </row>
    <row r="23" spans="1:11" ht="15.75" customHeight="1" x14ac:dyDescent="0.3">
      <c r="A23" s="15" t="s">
        <v>153</v>
      </c>
      <c r="B23" s="23" t="s">
        <v>186</v>
      </c>
      <c r="C23" s="15">
        <v>95</v>
      </c>
      <c r="D23" s="18">
        <v>1.44</v>
      </c>
      <c r="E23" s="15">
        <v>25.1</v>
      </c>
      <c r="F23" s="15">
        <v>0</v>
      </c>
      <c r="G23" s="15">
        <v>100</v>
      </c>
      <c r="H23" s="15">
        <v>1420</v>
      </c>
      <c r="I23" s="17">
        <v>6</v>
      </c>
      <c r="J23" s="1">
        <v>2</v>
      </c>
      <c r="K23" s="1">
        <v>7</v>
      </c>
    </row>
    <row r="24" spans="1:11" ht="15.75" customHeight="1" x14ac:dyDescent="0.3">
      <c r="A24" s="15" t="s">
        <v>153</v>
      </c>
      <c r="B24" s="23" t="s">
        <v>186</v>
      </c>
      <c r="C24" s="15">
        <v>99</v>
      </c>
      <c r="D24" s="18">
        <v>0.54</v>
      </c>
      <c r="E24" s="15">
        <v>21.9</v>
      </c>
      <c r="F24" s="15">
        <v>0</v>
      </c>
      <c r="G24" s="15">
        <v>100</v>
      </c>
      <c r="H24" s="15">
        <v>1420</v>
      </c>
      <c r="I24" s="17">
        <v>6</v>
      </c>
      <c r="J24" s="1">
        <v>3</v>
      </c>
      <c r="K24" s="1">
        <v>3</v>
      </c>
    </row>
    <row r="25" spans="1:11" ht="15.75" customHeight="1" x14ac:dyDescent="0.3">
      <c r="A25" s="15" t="s">
        <v>158</v>
      </c>
      <c r="B25" s="23" t="s">
        <v>176</v>
      </c>
      <c r="C25" s="15">
        <v>96</v>
      </c>
      <c r="D25" s="18">
        <v>1.1399999999999999</v>
      </c>
      <c r="E25" s="15">
        <v>26.4</v>
      </c>
      <c r="F25" s="15">
        <v>0</v>
      </c>
      <c r="G25" s="15">
        <v>22</v>
      </c>
      <c r="H25" s="15">
        <v>550</v>
      </c>
      <c r="I25" s="17">
        <v>4</v>
      </c>
      <c r="J25" s="1">
        <v>4</v>
      </c>
      <c r="K25" s="1">
        <v>7</v>
      </c>
    </row>
    <row r="26" spans="1:11" ht="15.75" customHeight="1" x14ac:dyDescent="0.3">
      <c r="A26" s="15" t="s">
        <v>158</v>
      </c>
      <c r="B26" s="23" t="s">
        <v>200</v>
      </c>
      <c r="C26" s="15">
        <v>89</v>
      </c>
      <c r="D26" s="18">
        <v>2.74</v>
      </c>
      <c r="E26" s="15">
        <v>23.5</v>
      </c>
      <c r="F26" s="15">
        <v>0</v>
      </c>
      <c r="G26" s="15">
        <v>0</v>
      </c>
      <c r="H26" s="15">
        <v>700</v>
      </c>
      <c r="I26" s="17">
        <v>5</v>
      </c>
      <c r="J26" s="1">
        <v>13</v>
      </c>
      <c r="K26" s="1">
        <v>16</v>
      </c>
    </row>
    <row r="27" spans="1:11" ht="15.75" customHeight="1" x14ac:dyDescent="0.3">
      <c r="A27" s="15" t="s">
        <v>158</v>
      </c>
      <c r="B27" s="23" t="s">
        <v>180</v>
      </c>
      <c r="C27" s="15">
        <v>88</v>
      </c>
      <c r="D27" s="18">
        <v>0.69</v>
      </c>
      <c r="E27" s="15">
        <v>23.4</v>
      </c>
      <c r="F27" s="15">
        <v>6</v>
      </c>
      <c r="G27" s="15">
        <v>100</v>
      </c>
      <c r="H27" s="15">
        <v>700</v>
      </c>
      <c r="I27" s="17">
        <v>5</v>
      </c>
      <c r="J27" s="1">
        <v>8</v>
      </c>
      <c r="K27" s="1">
        <v>9</v>
      </c>
    </row>
    <row r="28" spans="1:11" ht="15.75" customHeight="1" x14ac:dyDescent="0.3">
      <c r="A28" s="15" t="s">
        <v>158</v>
      </c>
      <c r="B28" s="23" t="s">
        <v>181</v>
      </c>
      <c r="C28" s="15">
        <v>80</v>
      </c>
      <c r="D28" s="18">
        <v>51.6</v>
      </c>
      <c r="E28" s="15">
        <v>28.7</v>
      </c>
      <c r="F28" s="15">
        <v>2.5</v>
      </c>
      <c r="G28" s="15">
        <v>0</v>
      </c>
      <c r="H28" s="15">
        <v>700</v>
      </c>
      <c r="I28" s="17">
        <v>3</v>
      </c>
      <c r="J28" s="1">
        <v>5</v>
      </c>
      <c r="K28" s="1">
        <v>5</v>
      </c>
    </row>
    <row r="29" spans="1:11" ht="15.75" customHeight="1" x14ac:dyDescent="0.3">
      <c r="A29" s="15" t="s">
        <v>158</v>
      </c>
      <c r="B29" s="23" t="s">
        <v>198</v>
      </c>
      <c r="C29" s="15">
        <v>71</v>
      </c>
      <c r="D29" s="18">
        <v>7.17</v>
      </c>
      <c r="E29" s="15">
        <v>26.1</v>
      </c>
      <c r="F29" s="15">
        <v>1.9</v>
      </c>
      <c r="G29" s="15">
        <v>0</v>
      </c>
      <c r="H29" s="15">
        <v>700</v>
      </c>
      <c r="I29" s="17">
        <v>3</v>
      </c>
      <c r="J29" s="1">
        <v>9</v>
      </c>
      <c r="K29" s="1">
        <v>11</v>
      </c>
    </row>
    <row r="30" spans="1:11" ht="15.75" customHeight="1" x14ac:dyDescent="0.3">
      <c r="A30" s="15" t="s">
        <v>158</v>
      </c>
      <c r="B30" s="23" t="s">
        <v>199</v>
      </c>
      <c r="C30" s="1">
        <v>72</v>
      </c>
      <c r="D30" s="1">
        <v>17.850000000000001</v>
      </c>
      <c r="E30" s="1">
        <v>26.9</v>
      </c>
      <c r="F30" s="1">
        <v>1.6</v>
      </c>
      <c r="G30" s="1">
        <v>90</v>
      </c>
      <c r="H30" s="15">
        <v>700</v>
      </c>
      <c r="I30" s="17">
        <v>2</v>
      </c>
      <c r="J30" s="1">
        <v>2</v>
      </c>
      <c r="K30" s="1">
        <v>3</v>
      </c>
    </row>
    <row r="31" spans="1:11" ht="15.75" customHeight="1" x14ac:dyDescent="0.3">
      <c r="A31" s="15" t="s">
        <v>158</v>
      </c>
      <c r="B31" s="23" t="s">
        <v>183</v>
      </c>
      <c r="C31" s="15">
        <v>99</v>
      </c>
      <c r="D31" s="18">
        <v>29.59</v>
      </c>
      <c r="E31" s="15">
        <v>24.9</v>
      </c>
      <c r="F31" s="15">
        <v>0.65</v>
      </c>
      <c r="G31" s="15">
        <v>99</v>
      </c>
      <c r="H31" s="15">
        <v>700</v>
      </c>
      <c r="I31" s="17">
        <v>3</v>
      </c>
      <c r="J31" s="1">
        <v>4</v>
      </c>
      <c r="K31" s="1">
        <v>7</v>
      </c>
    </row>
    <row r="32" spans="1:11" ht="15.75" customHeight="1" x14ac:dyDescent="0.3">
      <c r="A32" s="15" t="s">
        <v>158</v>
      </c>
      <c r="B32" s="23" t="s">
        <v>185</v>
      </c>
      <c r="C32" s="15">
        <v>99</v>
      </c>
      <c r="D32" s="18">
        <v>27.94</v>
      </c>
      <c r="E32" s="15">
        <v>22.3</v>
      </c>
      <c r="F32" s="15">
        <v>1.2</v>
      </c>
      <c r="G32" s="15">
        <v>100</v>
      </c>
      <c r="H32" s="15">
        <v>700</v>
      </c>
      <c r="I32" s="17">
        <v>1</v>
      </c>
      <c r="J32" s="1">
        <v>5</v>
      </c>
      <c r="K32" s="1">
        <v>15</v>
      </c>
    </row>
    <row r="33" spans="1:11" ht="15.75" customHeight="1" x14ac:dyDescent="0.3">
      <c r="A33" s="15" t="s">
        <v>158</v>
      </c>
      <c r="B33" s="23" t="s">
        <v>186</v>
      </c>
      <c r="C33" s="15">
        <v>95</v>
      </c>
      <c r="D33" s="18">
        <v>0.4</v>
      </c>
      <c r="E33" s="15">
        <v>17.100000000000001</v>
      </c>
      <c r="F33" s="15">
        <v>0</v>
      </c>
      <c r="G33" s="15">
        <v>0</v>
      </c>
      <c r="H33" s="15">
        <v>700</v>
      </c>
      <c r="I33" s="17">
        <v>6</v>
      </c>
      <c r="J33" s="1">
        <v>10</v>
      </c>
      <c r="K33" s="1">
        <v>33</v>
      </c>
    </row>
    <row r="34" spans="1:11" ht="15.75" customHeight="1" x14ac:dyDescent="0.3">
      <c r="A34" s="15" t="s">
        <v>158</v>
      </c>
      <c r="B34" s="23" t="s">
        <v>186</v>
      </c>
      <c r="C34" s="15">
        <v>95</v>
      </c>
      <c r="D34" s="18">
        <v>0.41</v>
      </c>
      <c r="E34" s="15">
        <v>17.100000000000001</v>
      </c>
      <c r="F34" s="15">
        <v>0</v>
      </c>
      <c r="G34" s="15">
        <v>100</v>
      </c>
      <c r="H34" s="15">
        <v>700</v>
      </c>
      <c r="I34" s="17">
        <v>6</v>
      </c>
      <c r="J34" s="1">
        <v>8</v>
      </c>
      <c r="K34" s="1">
        <v>11</v>
      </c>
    </row>
    <row r="35" spans="1:11" ht="15.75" customHeight="1" x14ac:dyDescent="0.3">
      <c r="A35" s="15" t="s">
        <v>164</v>
      </c>
      <c r="B35" s="23" t="s">
        <v>200</v>
      </c>
      <c r="C35" s="15">
        <v>91</v>
      </c>
      <c r="D35" s="18">
        <v>1.1499999999999999</v>
      </c>
      <c r="E35" s="15">
        <v>24.4</v>
      </c>
      <c r="F35" s="15">
        <v>0</v>
      </c>
      <c r="G35" s="15">
        <v>100</v>
      </c>
      <c r="H35" s="15">
        <v>480</v>
      </c>
      <c r="I35" s="17">
        <v>5</v>
      </c>
      <c r="J35" s="1">
        <v>8</v>
      </c>
      <c r="K35" s="1">
        <v>8</v>
      </c>
    </row>
    <row r="36" spans="1:11" ht="15.75" customHeight="1" x14ac:dyDescent="0.3">
      <c r="A36" s="15" t="s">
        <v>164</v>
      </c>
      <c r="B36" s="23" t="s">
        <v>180</v>
      </c>
      <c r="C36" s="15">
        <v>91</v>
      </c>
      <c r="D36" s="18">
        <v>0.57999999999999996</v>
      </c>
      <c r="E36" s="15">
        <v>26.4</v>
      </c>
      <c r="F36" s="15">
        <v>0</v>
      </c>
      <c r="G36" s="15">
        <v>100</v>
      </c>
      <c r="H36" s="15">
        <v>780</v>
      </c>
      <c r="I36" s="17">
        <v>5</v>
      </c>
      <c r="J36" s="1">
        <v>10</v>
      </c>
      <c r="K36" s="1">
        <v>10</v>
      </c>
    </row>
    <row r="37" spans="1:11" ht="15.75" customHeight="1" x14ac:dyDescent="0.3">
      <c r="A37" s="15" t="s">
        <v>164</v>
      </c>
      <c r="B37" s="23" t="s">
        <v>180</v>
      </c>
      <c r="C37" s="15">
        <v>91</v>
      </c>
      <c r="D37" s="18">
        <v>0.81</v>
      </c>
      <c r="E37" s="15">
        <v>23.28</v>
      </c>
      <c r="F37" s="15">
        <v>0</v>
      </c>
      <c r="G37" s="15">
        <v>100</v>
      </c>
      <c r="H37" s="15">
        <v>480</v>
      </c>
      <c r="I37" s="17">
        <v>5</v>
      </c>
      <c r="J37" s="1">
        <v>5</v>
      </c>
      <c r="K37" s="1">
        <v>5</v>
      </c>
    </row>
    <row r="38" spans="1:11" ht="15.75" customHeight="1" x14ac:dyDescent="0.3">
      <c r="A38" s="15" t="s">
        <v>164</v>
      </c>
      <c r="B38" s="23" t="s">
        <v>181</v>
      </c>
      <c r="C38" s="15">
        <v>99</v>
      </c>
      <c r="D38" s="18">
        <v>85.6</v>
      </c>
      <c r="E38" s="15">
        <v>28.5</v>
      </c>
      <c r="F38" s="15">
        <v>1.2</v>
      </c>
      <c r="G38" s="15">
        <v>100</v>
      </c>
      <c r="H38" s="15">
        <v>780</v>
      </c>
      <c r="I38" s="17">
        <v>3</v>
      </c>
      <c r="J38" s="1">
        <v>1</v>
      </c>
      <c r="K38" s="1">
        <v>1</v>
      </c>
    </row>
    <row r="39" spans="1:11" ht="15.75" customHeight="1" x14ac:dyDescent="0.3">
      <c r="A39" s="15" t="s">
        <v>164</v>
      </c>
      <c r="B39" s="23" t="s">
        <v>181</v>
      </c>
      <c r="C39" s="15">
        <v>91</v>
      </c>
      <c r="D39" s="18">
        <v>13.15</v>
      </c>
      <c r="E39" s="15">
        <v>26.13</v>
      </c>
      <c r="F39" s="15">
        <v>0</v>
      </c>
      <c r="G39" s="15">
        <v>100</v>
      </c>
      <c r="H39" s="15">
        <v>480</v>
      </c>
      <c r="I39" s="17">
        <v>3</v>
      </c>
      <c r="J39" s="1">
        <v>3</v>
      </c>
      <c r="K39" s="1">
        <v>3</v>
      </c>
    </row>
    <row r="40" spans="1:11" s="44" customFormat="1" ht="15.75" customHeight="1" x14ac:dyDescent="0.3">
      <c r="A40" s="39" t="s">
        <v>164</v>
      </c>
      <c r="B40" s="40" t="s">
        <v>198</v>
      </c>
      <c r="C40" s="39">
        <v>93</v>
      </c>
      <c r="D40" s="42">
        <v>14.5</v>
      </c>
      <c r="E40" s="39">
        <v>28.73</v>
      </c>
      <c r="F40" s="39">
        <v>0</v>
      </c>
      <c r="G40" s="39">
        <v>100</v>
      </c>
      <c r="H40" s="39">
        <v>480</v>
      </c>
      <c r="I40" s="43">
        <v>3</v>
      </c>
      <c r="J40" s="44">
        <v>6</v>
      </c>
      <c r="K40" s="44">
        <v>9</v>
      </c>
    </row>
    <row r="41" spans="1:11" ht="15.75" customHeight="1" x14ac:dyDescent="0.3">
      <c r="A41" s="15" t="s">
        <v>164</v>
      </c>
      <c r="B41" s="23" t="s">
        <v>199</v>
      </c>
      <c r="C41" s="15">
        <v>92</v>
      </c>
      <c r="D41" s="18">
        <v>97.97</v>
      </c>
      <c r="E41" s="15">
        <v>28.73</v>
      </c>
      <c r="F41" s="15">
        <v>0.97</v>
      </c>
      <c r="G41" s="15">
        <v>100</v>
      </c>
      <c r="H41" s="15">
        <v>480</v>
      </c>
      <c r="I41" s="17">
        <v>2</v>
      </c>
      <c r="J41" s="1">
        <v>0</v>
      </c>
      <c r="K41" s="1">
        <v>0</v>
      </c>
    </row>
    <row r="42" spans="1:11" ht="15.75" customHeight="1" x14ac:dyDescent="0.3">
      <c r="A42" s="15" t="s">
        <v>164</v>
      </c>
      <c r="B42" s="23" t="s">
        <v>183</v>
      </c>
      <c r="C42" s="15">
        <v>81</v>
      </c>
      <c r="D42" s="18">
        <v>5.23</v>
      </c>
      <c r="E42" s="15">
        <v>27.03</v>
      </c>
      <c r="F42" s="15">
        <v>0</v>
      </c>
      <c r="G42" s="15">
        <v>100</v>
      </c>
      <c r="H42" s="15">
        <v>480</v>
      </c>
      <c r="I42" s="17">
        <v>3</v>
      </c>
      <c r="J42" s="1">
        <v>4</v>
      </c>
      <c r="K42" s="1">
        <v>5</v>
      </c>
    </row>
    <row r="43" spans="1:11" ht="15.75" customHeight="1" x14ac:dyDescent="0.3">
      <c r="A43" s="15" t="s">
        <v>164</v>
      </c>
      <c r="B43" s="23" t="s">
        <v>185</v>
      </c>
      <c r="C43" s="15">
        <v>72</v>
      </c>
      <c r="D43" s="18">
        <v>4.6399999999999997</v>
      </c>
      <c r="E43" s="15">
        <v>24.9</v>
      </c>
      <c r="F43" s="15">
        <v>3.17</v>
      </c>
      <c r="G43" s="15">
        <v>100</v>
      </c>
      <c r="H43" s="15">
        <v>480</v>
      </c>
      <c r="I43" s="17">
        <v>1</v>
      </c>
      <c r="J43" s="1">
        <v>2</v>
      </c>
      <c r="K43" s="1">
        <v>4</v>
      </c>
    </row>
    <row r="44" spans="1:11" ht="15.75" customHeight="1" x14ac:dyDescent="0.3">
      <c r="A44" s="15" t="s">
        <v>164</v>
      </c>
      <c r="B44" s="23" t="s">
        <v>186</v>
      </c>
      <c r="C44" s="15">
        <v>83</v>
      </c>
      <c r="D44" s="18">
        <v>0.20499999999999999</v>
      </c>
      <c r="E44" s="15">
        <v>24.8</v>
      </c>
      <c r="F44" s="15">
        <v>0</v>
      </c>
      <c r="G44" s="15">
        <v>100</v>
      </c>
      <c r="H44" s="15">
        <v>480</v>
      </c>
      <c r="I44" s="17">
        <v>6</v>
      </c>
      <c r="J44" s="1">
        <v>0</v>
      </c>
      <c r="K44" s="1">
        <v>0</v>
      </c>
    </row>
    <row r="45" spans="1:11" ht="15.75" customHeight="1" x14ac:dyDescent="0.3">
      <c r="A45" s="15" t="s">
        <v>168</v>
      </c>
      <c r="B45" s="15" t="s">
        <v>176</v>
      </c>
      <c r="C45" s="15">
        <v>92</v>
      </c>
      <c r="D45" s="18">
        <v>0.14000000000000001</v>
      </c>
      <c r="E45" s="15">
        <v>22.5</v>
      </c>
      <c r="F45" s="15">
        <v>0</v>
      </c>
      <c r="G45" s="15">
        <v>100</v>
      </c>
      <c r="H45" s="15">
        <v>480</v>
      </c>
      <c r="I45" s="17">
        <v>4</v>
      </c>
      <c r="J45" s="1">
        <v>6</v>
      </c>
      <c r="K45" s="1">
        <v>11</v>
      </c>
    </row>
    <row r="46" spans="1:11" ht="15.75" customHeight="1" x14ac:dyDescent="0.3">
      <c r="A46" s="15" t="s">
        <v>168</v>
      </c>
      <c r="B46" s="15" t="s">
        <v>177</v>
      </c>
      <c r="C46" s="15">
        <v>97</v>
      </c>
      <c r="D46" s="18">
        <v>4.5999999999999996</v>
      </c>
      <c r="E46" s="15">
        <v>24.3</v>
      </c>
      <c r="F46" s="15">
        <v>0</v>
      </c>
      <c r="G46" s="15">
        <v>100</v>
      </c>
      <c r="H46" s="15">
        <v>480</v>
      </c>
      <c r="I46" s="17">
        <v>3</v>
      </c>
      <c r="J46" s="1">
        <v>17</v>
      </c>
      <c r="K46" s="1">
        <v>24</v>
      </c>
    </row>
    <row r="47" spans="1:11" ht="15.75" customHeight="1" x14ac:dyDescent="0.3">
      <c r="A47" s="15" t="s">
        <v>168</v>
      </c>
      <c r="B47" s="15" t="s">
        <v>200</v>
      </c>
      <c r="C47" s="15">
        <v>99</v>
      </c>
      <c r="D47" s="18">
        <v>24.2</v>
      </c>
      <c r="E47" s="15">
        <v>26.1</v>
      </c>
      <c r="F47" s="15">
        <v>0</v>
      </c>
      <c r="G47" s="15">
        <v>35</v>
      </c>
      <c r="H47" s="15">
        <v>480</v>
      </c>
      <c r="I47" s="17">
        <v>5</v>
      </c>
      <c r="J47" s="1">
        <v>11</v>
      </c>
      <c r="K47" s="1">
        <v>11</v>
      </c>
    </row>
    <row r="48" spans="1:11" ht="15.75" customHeight="1" x14ac:dyDescent="0.3">
      <c r="A48" s="15" t="s">
        <v>168</v>
      </c>
      <c r="B48" s="15" t="s">
        <v>180</v>
      </c>
      <c r="C48" s="15">
        <v>97</v>
      </c>
      <c r="D48" s="18">
        <v>1.08</v>
      </c>
      <c r="E48" s="15">
        <v>25.4</v>
      </c>
      <c r="F48" s="15">
        <v>0</v>
      </c>
      <c r="G48" s="15">
        <v>65</v>
      </c>
      <c r="H48" s="15">
        <v>480</v>
      </c>
      <c r="I48" s="17">
        <v>5</v>
      </c>
      <c r="J48" s="1">
        <v>9</v>
      </c>
      <c r="K48" s="1">
        <v>9</v>
      </c>
    </row>
    <row r="49" spans="1:11" ht="15.75" customHeight="1" x14ac:dyDescent="0.3">
      <c r="A49" s="15" t="s">
        <v>168</v>
      </c>
      <c r="B49" s="1" t="s">
        <v>181</v>
      </c>
      <c r="C49" s="1">
        <v>87</v>
      </c>
      <c r="D49" s="46">
        <v>9.8000000000000007</v>
      </c>
      <c r="E49" s="1">
        <v>34.5</v>
      </c>
      <c r="F49" s="1">
        <v>0</v>
      </c>
      <c r="G49" s="1">
        <v>0</v>
      </c>
      <c r="H49" s="1">
        <v>480</v>
      </c>
      <c r="I49" s="2">
        <v>3</v>
      </c>
      <c r="J49" s="1">
        <v>3</v>
      </c>
      <c r="K49" s="1">
        <v>3</v>
      </c>
    </row>
    <row r="50" spans="1:11" ht="15.75" customHeight="1" x14ac:dyDescent="0.3">
      <c r="A50" s="15" t="s">
        <v>168</v>
      </c>
      <c r="B50" s="1" t="s">
        <v>198</v>
      </c>
      <c r="C50" s="1">
        <v>81</v>
      </c>
      <c r="D50" s="46">
        <v>36.6</v>
      </c>
      <c r="E50" s="1">
        <v>31.4</v>
      </c>
      <c r="F50" s="1">
        <v>0.8</v>
      </c>
      <c r="G50" s="1">
        <v>96</v>
      </c>
      <c r="H50" s="1">
        <v>480</v>
      </c>
      <c r="I50" s="2">
        <v>3</v>
      </c>
      <c r="J50" s="1">
        <v>7</v>
      </c>
      <c r="K50" s="1">
        <v>7</v>
      </c>
    </row>
    <row r="51" spans="1:11" ht="15.75" customHeight="1" x14ac:dyDescent="0.3">
      <c r="A51" s="15" t="s">
        <v>168</v>
      </c>
      <c r="B51" s="1" t="s">
        <v>199</v>
      </c>
      <c r="C51" s="1">
        <v>92</v>
      </c>
      <c r="D51" s="46">
        <v>15.6</v>
      </c>
      <c r="E51" s="1">
        <v>23.5</v>
      </c>
      <c r="F51" s="1">
        <v>0.7</v>
      </c>
      <c r="G51" s="1">
        <v>2</v>
      </c>
      <c r="H51" s="1">
        <v>480</v>
      </c>
      <c r="I51" s="2">
        <v>2</v>
      </c>
      <c r="J51" s="1">
        <v>1</v>
      </c>
      <c r="K51" s="1">
        <v>1</v>
      </c>
    </row>
    <row r="52" spans="1:11" ht="15.75" customHeight="1" x14ac:dyDescent="0.3">
      <c r="A52" s="15" t="s">
        <v>168</v>
      </c>
      <c r="B52" s="1" t="s">
        <v>183</v>
      </c>
      <c r="C52" s="1">
        <v>89</v>
      </c>
      <c r="D52" s="46">
        <v>1</v>
      </c>
      <c r="E52" s="1">
        <v>22.2</v>
      </c>
      <c r="F52" s="1">
        <v>0</v>
      </c>
      <c r="G52" s="1">
        <v>100</v>
      </c>
      <c r="H52" s="1">
        <v>1420</v>
      </c>
      <c r="I52" s="2">
        <v>3</v>
      </c>
      <c r="J52" s="1">
        <v>4</v>
      </c>
      <c r="K52" s="1">
        <v>4</v>
      </c>
    </row>
    <row r="53" spans="1:11" ht="15.75" customHeight="1" x14ac:dyDescent="0.3">
      <c r="A53" s="15" t="s">
        <v>168</v>
      </c>
      <c r="B53" s="1" t="s">
        <v>185</v>
      </c>
      <c r="C53" s="1">
        <v>60</v>
      </c>
      <c r="D53" s="46">
        <v>44</v>
      </c>
      <c r="E53" s="1">
        <v>32.6</v>
      </c>
      <c r="F53" s="1">
        <v>0</v>
      </c>
      <c r="G53" s="1">
        <v>85</v>
      </c>
      <c r="H53" s="1">
        <v>1420</v>
      </c>
      <c r="I53" s="2">
        <v>1</v>
      </c>
      <c r="J53" s="1">
        <v>2</v>
      </c>
      <c r="K53" s="1">
        <v>4</v>
      </c>
    </row>
    <row r="54" spans="1:11" ht="15.75" customHeight="1" x14ac:dyDescent="0.3">
      <c r="A54" s="15" t="s">
        <v>168</v>
      </c>
      <c r="B54" s="1" t="s">
        <v>186</v>
      </c>
      <c r="C54" s="1">
        <v>76</v>
      </c>
      <c r="D54" s="46">
        <v>1.53</v>
      </c>
      <c r="E54" s="1">
        <v>25.4</v>
      </c>
      <c r="F54" s="1">
        <v>0</v>
      </c>
      <c r="G54" s="1">
        <v>100</v>
      </c>
      <c r="H54" s="1">
        <v>1420</v>
      </c>
      <c r="I54" s="2">
        <v>6</v>
      </c>
      <c r="J54" s="1">
        <v>4</v>
      </c>
      <c r="K54" s="1">
        <v>5</v>
      </c>
    </row>
    <row r="55" spans="1:11" ht="15.75" customHeight="1" x14ac:dyDescent="0.3">
      <c r="A55" s="1" t="s">
        <v>172</v>
      </c>
      <c r="B55" s="1" t="s">
        <v>200</v>
      </c>
      <c r="C55" s="1">
        <v>99</v>
      </c>
      <c r="D55" s="46">
        <v>0.28000000000000003</v>
      </c>
      <c r="E55" s="1">
        <v>23.5</v>
      </c>
      <c r="F55" s="1">
        <v>0</v>
      </c>
      <c r="G55" s="1">
        <v>100</v>
      </c>
      <c r="H55" s="1">
        <v>650</v>
      </c>
      <c r="I55" s="2">
        <v>5</v>
      </c>
      <c r="J55" s="1">
        <v>7</v>
      </c>
      <c r="K55" s="1">
        <v>10</v>
      </c>
    </row>
    <row r="56" spans="1:11" ht="15.75" customHeight="1" x14ac:dyDescent="0.3">
      <c r="A56" s="1" t="s">
        <v>172</v>
      </c>
      <c r="B56" s="1" t="s">
        <v>180</v>
      </c>
      <c r="C56" s="1">
        <v>96</v>
      </c>
      <c r="D56" s="46">
        <v>0.64</v>
      </c>
      <c r="E56" s="1">
        <v>24.9</v>
      </c>
      <c r="F56" s="1">
        <v>0</v>
      </c>
      <c r="G56" s="1">
        <v>100</v>
      </c>
      <c r="H56" s="1">
        <v>650</v>
      </c>
      <c r="I56" s="2">
        <v>5</v>
      </c>
      <c r="J56" s="1">
        <v>9</v>
      </c>
      <c r="K56" s="1">
        <v>9</v>
      </c>
    </row>
    <row r="57" spans="1:11" ht="15.75" customHeight="1" x14ac:dyDescent="0.3">
      <c r="A57" s="1" t="s">
        <v>172</v>
      </c>
      <c r="B57" s="1" t="s">
        <v>181</v>
      </c>
      <c r="C57" s="1">
        <v>98</v>
      </c>
      <c r="D57" s="46">
        <v>2.2799999999999998</v>
      </c>
      <c r="E57" s="1">
        <v>23.7</v>
      </c>
      <c r="F57" s="1">
        <v>0</v>
      </c>
      <c r="G57" s="1">
        <v>100</v>
      </c>
      <c r="H57" s="1">
        <v>650</v>
      </c>
      <c r="I57" s="2">
        <v>3</v>
      </c>
      <c r="J57" s="1">
        <v>4</v>
      </c>
      <c r="K57" s="1">
        <v>4</v>
      </c>
    </row>
    <row r="58" spans="1:11" ht="15.75" customHeight="1" x14ac:dyDescent="0.3">
      <c r="A58" s="1" t="s">
        <v>172</v>
      </c>
      <c r="B58" s="1" t="s">
        <v>198</v>
      </c>
      <c r="C58" s="1">
        <v>99</v>
      </c>
      <c r="D58" s="46">
        <v>7.2350000000000003</v>
      </c>
      <c r="E58" s="1">
        <v>24.6</v>
      </c>
      <c r="F58" s="1">
        <v>1.4</v>
      </c>
      <c r="G58" s="1">
        <v>100</v>
      </c>
      <c r="H58" s="1">
        <v>650</v>
      </c>
      <c r="I58" s="2">
        <v>3</v>
      </c>
      <c r="J58" s="1">
        <v>10</v>
      </c>
      <c r="K58" s="1">
        <v>16</v>
      </c>
    </row>
    <row r="59" spans="1:11" ht="15.75" customHeight="1" x14ac:dyDescent="0.3">
      <c r="A59" s="1" t="s">
        <v>172</v>
      </c>
      <c r="B59" s="1" t="s">
        <v>199</v>
      </c>
      <c r="C59" s="1">
        <v>78</v>
      </c>
      <c r="D59" s="46">
        <v>17.850000000000001</v>
      </c>
      <c r="E59" s="1">
        <v>26.8</v>
      </c>
      <c r="F59" s="1">
        <v>0.7</v>
      </c>
      <c r="G59" s="1">
        <v>100</v>
      </c>
      <c r="H59" s="1">
        <v>650</v>
      </c>
      <c r="I59" s="2">
        <v>2</v>
      </c>
      <c r="J59" s="1">
        <v>3</v>
      </c>
      <c r="K59" s="1">
        <v>3</v>
      </c>
    </row>
    <row r="60" spans="1:11" ht="15.75" customHeight="1" x14ac:dyDescent="0.3">
      <c r="D60" s="46"/>
    </row>
    <row r="61" spans="1:11" ht="15.75" customHeight="1" x14ac:dyDescent="0.3">
      <c r="D61" s="46"/>
    </row>
    <row r="62" spans="1:11" ht="15.75" customHeight="1" x14ac:dyDescent="0.3">
      <c r="D62" s="46"/>
    </row>
    <row r="63" spans="1:11" ht="15.75" customHeight="1" x14ac:dyDescent="0.3">
      <c r="D63" s="46"/>
    </row>
    <row r="64" spans="1:11" ht="15.75" customHeight="1" x14ac:dyDescent="0.3">
      <c r="D64" s="46"/>
    </row>
    <row r="65" spans="4:4" ht="15.75" customHeight="1" x14ac:dyDescent="0.3">
      <c r="D65" s="46"/>
    </row>
    <row r="66" spans="4:4" ht="15.75" customHeight="1" x14ac:dyDescent="0.3">
      <c r="D66" s="46"/>
    </row>
    <row r="67" spans="4:4" ht="15.75" customHeight="1" x14ac:dyDescent="0.3">
      <c r="D67" s="46"/>
    </row>
    <row r="68" spans="4:4" ht="15.75" customHeight="1" x14ac:dyDescent="0.3">
      <c r="D68" s="46"/>
    </row>
    <row r="69" spans="4:4" ht="15.75" customHeight="1" x14ac:dyDescent="0.3">
      <c r="D69" s="46"/>
    </row>
    <row r="70" spans="4:4" ht="15.75" customHeight="1" x14ac:dyDescent="0.3">
      <c r="D70" s="46"/>
    </row>
    <row r="71" spans="4:4" ht="15.75" customHeight="1" x14ac:dyDescent="0.3">
      <c r="D71" s="46"/>
    </row>
    <row r="72" spans="4:4" ht="15.75" customHeight="1" x14ac:dyDescent="0.3">
      <c r="D72" s="46"/>
    </row>
    <row r="73" spans="4:4" ht="15.75" customHeight="1" x14ac:dyDescent="0.3">
      <c r="D73" s="46"/>
    </row>
    <row r="74" spans="4:4" ht="15.75" customHeight="1" x14ac:dyDescent="0.3">
      <c r="D74" s="46"/>
    </row>
    <row r="75" spans="4:4" ht="15.75" customHeight="1" x14ac:dyDescent="0.3">
      <c r="D75" s="46"/>
    </row>
    <row r="76" spans="4:4" ht="15.75" customHeight="1" x14ac:dyDescent="0.3">
      <c r="D76" s="46"/>
    </row>
    <row r="77" spans="4:4" ht="15.75" customHeight="1" x14ac:dyDescent="0.3">
      <c r="D77" s="46"/>
    </row>
    <row r="78" spans="4:4" ht="15.75" customHeight="1" x14ac:dyDescent="0.3">
      <c r="D78" s="46"/>
    </row>
    <row r="79" spans="4:4" ht="15.75" customHeight="1" x14ac:dyDescent="0.3">
      <c r="D79" s="46"/>
    </row>
    <row r="80" spans="4:4" ht="15.75" customHeight="1" x14ac:dyDescent="0.3">
      <c r="D80" s="46"/>
    </row>
    <row r="81" spans="4:4" ht="15.75" customHeight="1" x14ac:dyDescent="0.3">
      <c r="D81" s="46"/>
    </row>
    <row r="82" spans="4:4" ht="15.75" customHeight="1" x14ac:dyDescent="0.3">
      <c r="D82" s="46"/>
    </row>
    <row r="83" spans="4:4" ht="15.75" customHeight="1" x14ac:dyDescent="0.3">
      <c r="D83" s="46"/>
    </row>
    <row r="84" spans="4:4" ht="15.75" customHeight="1" x14ac:dyDescent="0.3">
      <c r="D84" s="46"/>
    </row>
    <row r="85" spans="4:4" ht="15.75" customHeight="1" x14ac:dyDescent="0.3">
      <c r="D85" s="46"/>
    </row>
    <row r="86" spans="4:4" ht="15.75" customHeight="1" x14ac:dyDescent="0.3">
      <c r="D86" s="46"/>
    </row>
    <row r="87" spans="4:4" ht="15.75" customHeight="1" x14ac:dyDescent="0.3">
      <c r="D87" s="46"/>
    </row>
    <row r="88" spans="4:4" ht="15.75" customHeight="1" x14ac:dyDescent="0.3">
      <c r="D88" s="46"/>
    </row>
    <row r="89" spans="4:4" ht="15.75" customHeight="1" x14ac:dyDescent="0.3">
      <c r="D89" s="46"/>
    </row>
    <row r="90" spans="4:4" ht="15.75" customHeight="1" x14ac:dyDescent="0.3">
      <c r="D90" s="46"/>
    </row>
    <row r="91" spans="4:4" ht="15.75" customHeight="1" x14ac:dyDescent="0.3">
      <c r="D91" s="46"/>
    </row>
    <row r="92" spans="4:4" ht="15.75" customHeight="1" x14ac:dyDescent="0.3">
      <c r="D92" s="46"/>
    </row>
    <row r="93" spans="4:4" ht="15.75" customHeight="1" x14ac:dyDescent="0.3">
      <c r="D93" s="46"/>
    </row>
    <row r="94" spans="4:4" ht="15.75" customHeight="1" x14ac:dyDescent="0.3">
      <c r="D94" s="46"/>
    </row>
    <row r="95" spans="4:4" ht="15.75" customHeight="1" x14ac:dyDescent="0.3">
      <c r="D95" s="46"/>
    </row>
    <row r="96" spans="4:4" ht="15.75" customHeight="1" x14ac:dyDescent="0.3">
      <c r="D96" s="46"/>
    </row>
    <row r="97" spans="4:4" ht="15.75" customHeight="1" x14ac:dyDescent="0.3">
      <c r="D97" s="46"/>
    </row>
    <row r="98" spans="4:4" ht="15.75" customHeight="1" x14ac:dyDescent="0.3">
      <c r="D98" s="46"/>
    </row>
    <row r="99" spans="4:4" ht="15.75" customHeight="1" x14ac:dyDescent="0.3">
      <c r="D99" s="46"/>
    </row>
    <row r="100" spans="4:4" ht="15.75" customHeight="1" x14ac:dyDescent="0.3">
      <c r="D100" s="46"/>
    </row>
    <row r="101" spans="4:4" ht="15.75" customHeight="1" x14ac:dyDescent="0.3">
      <c r="D101" s="46"/>
    </row>
    <row r="102" spans="4:4" ht="15.75" customHeight="1" x14ac:dyDescent="0.3">
      <c r="D102" s="46"/>
    </row>
    <row r="103" spans="4:4" ht="15.75" customHeight="1" x14ac:dyDescent="0.3">
      <c r="D103" s="46"/>
    </row>
    <row r="104" spans="4:4" ht="15.75" customHeight="1" x14ac:dyDescent="0.3">
      <c r="D104" s="46"/>
    </row>
    <row r="105" spans="4:4" ht="15.75" customHeight="1" x14ac:dyDescent="0.3">
      <c r="D105" s="46"/>
    </row>
    <row r="106" spans="4:4" ht="15.75" customHeight="1" x14ac:dyDescent="0.3">
      <c r="D106" s="46"/>
    </row>
    <row r="107" spans="4:4" ht="15.75" customHeight="1" x14ac:dyDescent="0.3">
      <c r="D107" s="46"/>
    </row>
    <row r="108" spans="4:4" ht="15.75" customHeight="1" x14ac:dyDescent="0.3">
      <c r="D108" s="46"/>
    </row>
    <row r="109" spans="4:4" ht="15.75" customHeight="1" x14ac:dyDescent="0.3">
      <c r="D109" s="46"/>
    </row>
    <row r="110" spans="4:4" ht="15.75" customHeight="1" x14ac:dyDescent="0.3">
      <c r="D110" s="46"/>
    </row>
    <row r="111" spans="4:4" ht="15.75" customHeight="1" x14ac:dyDescent="0.3">
      <c r="D111" s="46"/>
    </row>
    <row r="112" spans="4:4" ht="15.75" customHeight="1" x14ac:dyDescent="0.3">
      <c r="D112" s="46"/>
    </row>
    <row r="113" spans="4:4" ht="15.75" customHeight="1" x14ac:dyDescent="0.3">
      <c r="D113" s="46"/>
    </row>
    <row r="114" spans="4:4" ht="15.75" customHeight="1" x14ac:dyDescent="0.3">
      <c r="D114" s="46"/>
    </row>
    <row r="115" spans="4:4" ht="15.75" customHeight="1" x14ac:dyDescent="0.3">
      <c r="D115" s="46"/>
    </row>
    <row r="116" spans="4:4" ht="15.75" customHeight="1" x14ac:dyDescent="0.3">
      <c r="D116" s="46"/>
    </row>
    <row r="117" spans="4:4" ht="15.75" customHeight="1" x14ac:dyDescent="0.3">
      <c r="D117" s="46"/>
    </row>
    <row r="118" spans="4:4" ht="15.75" customHeight="1" x14ac:dyDescent="0.3">
      <c r="D118" s="46"/>
    </row>
    <row r="119" spans="4:4" ht="15.75" customHeight="1" x14ac:dyDescent="0.3">
      <c r="D119" s="46"/>
    </row>
    <row r="120" spans="4:4" ht="15.75" customHeight="1" x14ac:dyDescent="0.3">
      <c r="D120" s="46"/>
    </row>
    <row r="121" spans="4:4" ht="15.75" customHeight="1" x14ac:dyDescent="0.3">
      <c r="D121" s="46"/>
    </row>
    <row r="122" spans="4:4" ht="15.75" customHeight="1" x14ac:dyDescent="0.3">
      <c r="D122" s="46"/>
    </row>
    <row r="123" spans="4:4" ht="15.75" customHeight="1" x14ac:dyDescent="0.3">
      <c r="D123" s="46"/>
    </row>
    <row r="124" spans="4:4" ht="15.75" customHeight="1" x14ac:dyDescent="0.3">
      <c r="D124" s="46"/>
    </row>
    <row r="125" spans="4:4" ht="15.75" customHeight="1" x14ac:dyDescent="0.3">
      <c r="D125" s="46"/>
    </row>
    <row r="126" spans="4:4" ht="15.75" customHeight="1" x14ac:dyDescent="0.3">
      <c r="D126" s="46"/>
    </row>
    <row r="127" spans="4:4" ht="15.75" customHeight="1" x14ac:dyDescent="0.3">
      <c r="D127" s="46"/>
    </row>
    <row r="128" spans="4:4" ht="15.75" customHeight="1" x14ac:dyDescent="0.3">
      <c r="D128" s="46"/>
    </row>
    <row r="129" spans="4:4" ht="15.75" customHeight="1" x14ac:dyDescent="0.3">
      <c r="D129" s="46"/>
    </row>
    <row r="130" spans="4:4" ht="15.75" customHeight="1" x14ac:dyDescent="0.3">
      <c r="D130" s="46"/>
    </row>
    <row r="131" spans="4:4" ht="15.75" customHeight="1" x14ac:dyDescent="0.3">
      <c r="D131" s="46"/>
    </row>
    <row r="132" spans="4:4" ht="15.75" customHeight="1" x14ac:dyDescent="0.3"/>
    <row r="133" spans="4:4" ht="15.75" customHeight="1" x14ac:dyDescent="0.3"/>
    <row r="134" spans="4:4" ht="15.75" customHeight="1" x14ac:dyDescent="0.3"/>
    <row r="135" spans="4:4" ht="15.75" customHeight="1" x14ac:dyDescent="0.3"/>
    <row r="136" spans="4:4" ht="15.75" customHeight="1" x14ac:dyDescent="0.3"/>
    <row r="137" spans="4:4" ht="15.75" customHeight="1" x14ac:dyDescent="0.3"/>
    <row r="138" spans="4:4" ht="15.75" customHeight="1" x14ac:dyDescent="0.3"/>
    <row r="139" spans="4:4" ht="15.75" customHeight="1" x14ac:dyDescent="0.3"/>
    <row r="140" spans="4:4" ht="15.75" customHeight="1" x14ac:dyDescent="0.3"/>
    <row r="141" spans="4:4" ht="15.75" customHeight="1" x14ac:dyDescent="0.3"/>
    <row r="142" spans="4:4" ht="15.75" customHeight="1" x14ac:dyDescent="0.3"/>
    <row r="143" spans="4:4" ht="15.75" customHeight="1" x14ac:dyDescent="0.3"/>
    <row r="144" spans="4: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015"/>
  <sheetViews>
    <sheetView topLeftCell="A2" zoomScale="80" workbookViewId="0">
      <selection activeCell="A57" sqref="A56:XFD57"/>
    </sheetView>
  </sheetViews>
  <sheetFormatPr defaultColWidth="12.77734375" defaultRowHeight="14.4" x14ac:dyDescent="0.3"/>
  <cols>
    <col min="1" max="1" width="7.21875" style="1" customWidth="1"/>
    <col min="2" max="2" width="14.77734375" style="1" customWidth="1"/>
    <col min="3" max="3" width="6.44140625" style="1" customWidth="1"/>
    <col min="4" max="4" width="8" style="1" customWidth="1"/>
    <col min="5" max="5" width="6.21875" style="1" customWidth="1"/>
    <col min="6" max="6" width="6" style="1" customWidth="1"/>
    <col min="7" max="7" width="10" style="1" customWidth="1"/>
    <col min="8" max="8" width="7.5546875" style="1" customWidth="1"/>
    <col min="9" max="9" width="11.44140625" style="2" customWidth="1"/>
    <col min="10" max="16384" width="12.77734375" style="1"/>
  </cols>
  <sheetData>
    <row r="1" spans="1:11" ht="15" hidden="1" customHeight="1" x14ac:dyDescent="0.3">
      <c r="I1" s="3"/>
    </row>
    <row r="2" spans="1:11" ht="234.6" x14ac:dyDescent="0.3">
      <c r="A2" s="6" t="s">
        <v>7</v>
      </c>
      <c r="B2" s="6" t="s">
        <v>8</v>
      </c>
      <c r="C2" s="7" t="s">
        <v>14</v>
      </c>
      <c r="D2" s="9" t="s">
        <v>15</v>
      </c>
      <c r="E2" s="7" t="s">
        <v>16</v>
      </c>
      <c r="F2" s="7" t="s">
        <v>17</v>
      </c>
      <c r="G2" s="7" t="s">
        <v>18</v>
      </c>
      <c r="H2" s="7" t="s">
        <v>19</v>
      </c>
      <c r="I2" s="8" t="s">
        <v>21</v>
      </c>
      <c r="J2" s="1" t="s">
        <v>174</v>
      </c>
      <c r="K2" s="1" t="s">
        <v>175</v>
      </c>
    </row>
    <row r="3" spans="1:11" ht="15.75" customHeight="1" x14ac:dyDescent="0.3">
      <c r="A3" s="15" t="s">
        <v>119</v>
      </c>
      <c r="B3" s="16" t="s">
        <v>177</v>
      </c>
      <c r="C3" s="15">
        <v>78</v>
      </c>
      <c r="D3" s="18">
        <v>1.915</v>
      </c>
      <c r="E3" s="15">
        <v>23.8</v>
      </c>
      <c r="F3" s="15">
        <v>0.8</v>
      </c>
      <c r="G3" s="15"/>
      <c r="H3" s="18"/>
      <c r="I3" s="17">
        <v>3</v>
      </c>
      <c r="J3" s="1">
        <v>7</v>
      </c>
      <c r="K3" s="1">
        <v>14</v>
      </c>
    </row>
    <row r="4" spans="1:11" ht="15.75" customHeight="1" x14ac:dyDescent="0.3">
      <c r="A4" s="15" t="s">
        <v>119</v>
      </c>
      <c r="B4" s="16" t="s">
        <v>200</v>
      </c>
      <c r="C4" s="20">
        <v>80</v>
      </c>
      <c r="D4" s="18">
        <v>0.4</v>
      </c>
      <c r="E4" s="15">
        <v>32</v>
      </c>
      <c r="F4" s="15">
        <v>0</v>
      </c>
      <c r="G4" s="15"/>
      <c r="H4" s="18"/>
      <c r="I4" s="17">
        <v>5</v>
      </c>
      <c r="J4" s="1">
        <v>3</v>
      </c>
      <c r="K4" s="1">
        <v>3</v>
      </c>
    </row>
    <row r="5" spans="1:11" ht="15.75" customHeight="1" x14ac:dyDescent="0.3">
      <c r="A5" s="15" t="s">
        <v>119</v>
      </c>
      <c r="B5" s="16" t="s">
        <v>200</v>
      </c>
      <c r="C5" s="20">
        <v>80</v>
      </c>
      <c r="D5" s="18">
        <v>0.52</v>
      </c>
      <c r="E5" s="15">
        <v>33</v>
      </c>
      <c r="F5" s="15">
        <v>0</v>
      </c>
      <c r="G5" s="15"/>
      <c r="H5" s="18"/>
      <c r="I5" s="17">
        <v>5</v>
      </c>
      <c r="J5" s="1">
        <v>1</v>
      </c>
      <c r="K5" s="1">
        <v>1</v>
      </c>
    </row>
    <row r="6" spans="1:11" ht="15.75" customHeight="1" x14ac:dyDescent="0.3">
      <c r="A6" s="15" t="s">
        <v>119</v>
      </c>
      <c r="B6" s="16" t="s">
        <v>200</v>
      </c>
      <c r="C6" s="20">
        <v>80</v>
      </c>
      <c r="D6" s="18">
        <v>0.4</v>
      </c>
      <c r="E6" s="15">
        <v>36</v>
      </c>
      <c r="F6" s="15">
        <v>0</v>
      </c>
      <c r="G6" s="15"/>
      <c r="H6" s="18"/>
      <c r="I6" s="17">
        <v>5</v>
      </c>
      <c r="J6" s="1">
        <v>1</v>
      </c>
      <c r="K6" s="1">
        <v>1</v>
      </c>
    </row>
    <row r="7" spans="1:11" ht="15.75" customHeight="1" x14ac:dyDescent="0.3">
      <c r="A7" s="15" t="s">
        <v>119</v>
      </c>
      <c r="B7" s="16" t="s">
        <v>200</v>
      </c>
      <c r="C7" s="20">
        <v>80</v>
      </c>
      <c r="D7" s="18">
        <v>0.4</v>
      </c>
      <c r="E7" s="15">
        <v>32</v>
      </c>
      <c r="F7" s="15">
        <v>0</v>
      </c>
      <c r="G7" s="15"/>
      <c r="H7" s="18"/>
      <c r="I7" s="17">
        <v>5</v>
      </c>
      <c r="J7" s="1">
        <v>2</v>
      </c>
      <c r="K7" s="1">
        <v>2</v>
      </c>
    </row>
    <row r="8" spans="1:11" ht="15.75" customHeight="1" x14ac:dyDescent="0.3">
      <c r="A8" s="15" t="s">
        <v>119</v>
      </c>
      <c r="B8" s="16" t="s">
        <v>200</v>
      </c>
      <c r="C8" s="20">
        <v>80</v>
      </c>
      <c r="D8" s="18">
        <v>0.4</v>
      </c>
      <c r="E8" s="15">
        <v>33</v>
      </c>
      <c r="F8" s="15">
        <v>0</v>
      </c>
      <c r="G8" s="15"/>
      <c r="H8" s="18"/>
      <c r="I8" s="17">
        <v>5</v>
      </c>
      <c r="J8" s="1">
        <v>1</v>
      </c>
      <c r="K8" s="1">
        <v>1</v>
      </c>
    </row>
    <row r="9" spans="1:11" ht="15.75" customHeight="1" x14ac:dyDescent="0.3">
      <c r="A9" s="15" t="s">
        <v>119</v>
      </c>
      <c r="B9" s="16" t="s">
        <v>200</v>
      </c>
      <c r="C9" s="20">
        <v>80</v>
      </c>
      <c r="D9" s="18">
        <v>0.51</v>
      </c>
      <c r="E9" s="15">
        <v>32</v>
      </c>
      <c r="F9" s="15">
        <v>0</v>
      </c>
      <c r="G9" s="15"/>
      <c r="H9" s="18"/>
      <c r="I9" s="17">
        <v>5</v>
      </c>
      <c r="J9" s="1">
        <v>3</v>
      </c>
      <c r="K9" s="1">
        <v>3</v>
      </c>
    </row>
    <row r="10" spans="1:11" ht="15.75" customHeight="1" x14ac:dyDescent="0.3">
      <c r="A10" s="15" t="s">
        <v>119</v>
      </c>
      <c r="B10" s="16" t="s">
        <v>200</v>
      </c>
      <c r="C10" s="20">
        <v>80</v>
      </c>
      <c r="D10" s="18">
        <v>0.5</v>
      </c>
      <c r="E10" s="15">
        <v>23</v>
      </c>
      <c r="F10" s="15">
        <v>0</v>
      </c>
      <c r="G10" s="15"/>
      <c r="H10" s="18"/>
      <c r="I10" s="17">
        <v>5</v>
      </c>
      <c r="J10" s="1">
        <v>1</v>
      </c>
      <c r="K10" s="1">
        <v>1</v>
      </c>
    </row>
    <row r="11" spans="1:11" ht="15.75" customHeight="1" x14ac:dyDescent="0.3">
      <c r="A11" s="15" t="s">
        <v>119</v>
      </c>
      <c r="B11" s="16" t="s">
        <v>200</v>
      </c>
      <c r="C11" s="15">
        <v>81</v>
      </c>
      <c r="D11" s="18">
        <v>2.0499999999999998</v>
      </c>
      <c r="E11" s="15">
        <v>24.9</v>
      </c>
      <c r="F11" s="15">
        <v>0</v>
      </c>
      <c r="G11" s="15"/>
      <c r="H11" s="18"/>
      <c r="I11" s="17">
        <v>5</v>
      </c>
      <c r="J11" s="1">
        <v>3</v>
      </c>
      <c r="K11" s="1">
        <v>3</v>
      </c>
    </row>
    <row r="12" spans="1:11" ht="15.75" customHeight="1" x14ac:dyDescent="0.3">
      <c r="A12" s="15" t="s">
        <v>119</v>
      </c>
      <c r="B12" s="16" t="s">
        <v>180</v>
      </c>
      <c r="C12" s="15">
        <v>81</v>
      </c>
      <c r="D12" s="18">
        <v>1.2809999999999999</v>
      </c>
      <c r="E12" s="15">
        <v>24.9</v>
      </c>
      <c r="F12" s="15">
        <v>0.8</v>
      </c>
      <c r="G12" s="15"/>
      <c r="H12" s="18"/>
      <c r="I12" s="17">
        <v>5</v>
      </c>
      <c r="J12" s="1">
        <v>3</v>
      </c>
      <c r="K12" s="1">
        <v>3</v>
      </c>
    </row>
    <row r="13" spans="1:11" ht="15.75" customHeight="1" x14ac:dyDescent="0.3">
      <c r="A13" s="15" t="s">
        <v>119</v>
      </c>
      <c r="B13" s="16" t="s">
        <v>180</v>
      </c>
      <c r="C13" s="18">
        <v>68.67</v>
      </c>
      <c r="D13" s="18">
        <v>94.13</v>
      </c>
      <c r="E13" s="15">
        <v>25</v>
      </c>
      <c r="F13" s="15">
        <v>1.2</v>
      </c>
      <c r="G13" s="15"/>
      <c r="H13" s="18"/>
      <c r="I13" s="17">
        <v>5</v>
      </c>
      <c r="J13" s="1">
        <v>1</v>
      </c>
      <c r="K13" s="1">
        <v>1</v>
      </c>
    </row>
    <row r="14" spans="1:11" ht="15.75" customHeight="1" x14ac:dyDescent="0.3">
      <c r="A14" s="15" t="s">
        <v>119</v>
      </c>
      <c r="B14" s="16" t="s">
        <v>181</v>
      </c>
      <c r="C14" s="15">
        <v>80</v>
      </c>
      <c r="D14" s="18">
        <v>9.35</v>
      </c>
      <c r="E14" s="15">
        <v>25.5</v>
      </c>
      <c r="F14" s="15">
        <v>2.6</v>
      </c>
      <c r="G14" s="15"/>
      <c r="H14" s="18"/>
      <c r="I14" s="17">
        <v>3</v>
      </c>
      <c r="J14" s="1">
        <v>3</v>
      </c>
      <c r="K14" s="1">
        <v>3</v>
      </c>
    </row>
    <row r="15" spans="1:11" ht="15.75" customHeight="1" x14ac:dyDescent="0.3">
      <c r="A15" s="15" t="s">
        <v>119</v>
      </c>
      <c r="B15" s="16" t="s">
        <v>181</v>
      </c>
      <c r="C15" s="15">
        <v>68.58</v>
      </c>
      <c r="D15" s="18">
        <v>6.6</v>
      </c>
      <c r="E15" s="15">
        <v>25.7</v>
      </c>
      <c r="F15" s="15">
        <v>2.1</v>
      </c>
      <c r="G15" s="15"/>
      <c r="H15" s="18"/>
      <c r="I15" s="17">
        <v>3</v>
      </c>
      <c r="J15" s="1">
        <v>3</v>
      </c>
      <c r="K15" s="1">
        <v>3</v>
      </c>
    </row>
    <row r="16" spans="1:11" ht="15.75" customHeight="1" x14ac:dyDescent="0.3">
      <c r="A16" s="15" t="s">
        <v>119</v>
      </c>
      <c r="B16" s="16" t="s">
        <v>181</v>
      </c>
      <c r="C16" s="20">
        <v>70</v>
      </c>
      <c r="D16" s="18">
        <v>4.2</v>
      </c>
      <c r="E16" s="15">
        <v>23</v>
      </c>
      <c r="F16" s="15">
        <v>0</v>
      </c>
      <c r="G16" s="15"/>
      <c r="H16" s="18"/>
      <c r="I16" s="17">
        <v>3</v>
      </c>
      <c r="J16" s="1">
        <v>2</v>
      </c>
      <c r="K16" s="1">
        <v>2</v>
      </c>
    </row>
    <row r="17" spans="1:11" ht="15.75" customHeight="1" x14ac:dyDescent="0.3">
      <c r="A17" s="15" t="s">
        <v>119</v>
      </c>
      <c r="B17" s="16" t="s">
        <v>198</v>
      </c>
      <c r="C17" s="20">
        <v>70</v>
      </c>
      <c r="D17" s="18">
        <v>4.2</v>
      </c>
      <c r="E17" s="15">
        <v>21</v>
      </c>
      <c r="F17" s="15">
        <v>0</v>
      </c>
      <c r="G17" s="15"/>
      <c r="H17" s="18"/>
      <c r="I17" s="17">
        <v>3</v>
      </c>
      <c r="J17" s="1">
        <v>4</v>
      </c>
      <c r="K17" s="1">
        <v>4</v>
      </c>
    </row>
    <row r="18" spans="1:11" ht="15.75" customHeight="1" x14ac:dyDescent="0.3">
      <c r="A18" s="15" t="s">
        <v>119</v>
      </c>
      <c r="B18" s="16" t="s">
        <v>198</v>
      </c>
      <c r="C18" s="20">
        <v>70</v>
      </c>
      <c r="D18" s="18">
        <v>4.2</v>
      </c>
      <c r="E18" s="15">
        <v>20</v>
      </c>
      <c r="F18" s="15">
        <v>0</v>
      </c>
      <c r="G18" s="15"/>
      <c r="H18" s="18"/>
      <c r="I18" s="17">
        <v>3</v>
      </c>
      <c r="J18" s="1">
        <v>1</v>
      </c>
      <c r="K18" s="1">
        <v>1</v>
      </c>
    </row>
    <row r="19" spans="1:11" ht="15.75" customHeight="1" x14ac:dyDescent="0.3">
      <c r="A19" s="15" t="s">
        <v>119</v>
      </c>
      <c r="B19" s="16" t="s">
        <v>198</v>
      </c>
      <c r="C19" s="20">
        <v>70</v>
      </c>
      <c r="D19" s="18">
        <v>4.2</v>
      </c>
      <c r="E19" s="15">
        <v>21</v>
      </c>
      <c r="F19" s="15">
        <v>0</v>
      </c>
      <c r="G19" s="15"/>
      <c r="H19" s="18"/>
      <c r="I19" s="17">
        <v>3</v>
      </c>
      <c r="J19" s="1">
        <v>1</v>
      </c>
      <c r="K19" s="1">
        <v>1</v>
      </c>
    </row>
    <row r="20" spans="1:11" ht="15.75" customHeight="1" x14ac:dyDescent="0.3">
      <c r="A20" s="15" t="s">
        <v>119</v>
      </c>
      <c r="B20" s="16" t="s">
        <v>198</v>
      </c>
      <c r="C20" s="20">
        <v>70</v>
      </c>
      <c r="D20" s="18">
        <v>4.2</v>
      </c>
      <c r="E20" s="15">
        <v>22</v>
      </c>
      <c r="F20" s="15">
        <v>0</v>
      </c>
      <c r="G20" s="15"/>
      <c r="H20" s="18"/>
      <c r="I20" s="17">
        <v>3</v>
      </c>
      <c r="J20" s="1">
        <v>5</v>
      </c>
      <c r="K20" s="1">
        <v>5</v>
      </c>
    </row>
    <row r="21" spans="1:11" ht="15.75" customHeight="1" x14ac:dyDescent="0.3">
      <c r="A21" s="15" t="s">
        <v>119</v>
      </c>
      <c r="B21" s="16" t="s">
        <v>198</v>
      </c>
      <c r="C21" s="20">
        <v>70</v>
      </c>
      <c r="D21" s="18">
        <v>4.2</v>
      </c>
      <c r="E21" s="15">
        <v>23</v>
      </c>
      <c r="F21" s="15">
        <v>0</v>
      </c>
      <c r="G21" s="15"/>
      <c r="H21" s="18"/>
      <c r="I21" s="17">
        <v>3</v>
      </c>
      <c r="J21" s="1">
        <v>2</v>
      </c>
      <c r="K21" s="1">
        <v>2</v>
      </c>
    </row>
    <row r="22" spans="1:11" ht="15.75" customHeight="1" x14ac:dyDescent="0.3">
      <c r="A22" s="15" t="s">
        <v>119</v>
      </c>
      <c r="B22" s="16" t="s">
        <v>198</v>
      </c>
      <c r="C22" s="20">
        <v>70</v>
      </c>
      <c r="D22" s="18">
        <v>4.2</v>
      </c>
      <c r="E22" s="15">
        <v>22</v>
      </c>
      <c r="F22" s="15">
        <v>0</v>
      </c>
      <c r="G22" s="15"/>
      <c r="H22" s="18"/>
      <c r="I22" s="17">
        <v>3</v>
      </c>
      <c r="J22" s="1">
        <v>1</v>
      </c>
      <c r="K22" s="1">
        <v>1</v>
      </c>
    </row>
    <row r="23" spans="1:11" ht="15.75" customHeight="1" x14ac:dyDescent="0.3">
      <c r="A23" s="15" t="s">
        <v>119</v>
      </c>
      <c r="B23" s="16" t="s">
        <v>198</v>
      </c>
      <c r="C23" s="20">
        <v>70</v>
      </c>
      <c r="D23" s="18">
        <v>4.2</v>
      </c>
      <c r="E23" s="15">
        <v>25</v>
      </c>
      <c r="F23" s="15">
        <v>0</v>
      </c>
      <c r="G23" s="15"/>
      <c r="H23" s="18"/>
      <c r="I23" s="17">
        <v>3</v>
      </c>
      <c r="J23" s="1">
        <v>1</v>
      </c>
      <c r="K23" s="1">
        <v>1</v>
      </c>
    </row>
    <row r="24" spans="1:11" ht="15.75" customHeight="1" x14ac:dyDescent="0.3">
      <c r="A24" s="15" t="s">
        <v>119</v>
      </c>
      <c r="B24" s="16" t="s">
        <v>198</v>
      </c>
      <c r="C24" s="20">
        <v>70</v>
      </c>
      <c r="D24" s="18">
        <v>4.2</v>
      </c>
      <c r="E24" s="15">
        <v>23</v>
      </c>
      <c r="F24" s="15">
        <v>0</v>
      </c>
      <c r="G24" s="15"/>
      <c r="H24" s="18"/>
      <c r="I24" s="17">
        <v>3</v>
      </c>
      <c r="J24" s="1">
        <v>1</v>
      </c>
      <c r="K24" s="1">
        <v>1</v>
      </c>
    </row>
    <row r="25" spans="1:11" ht="15.75" customHeight="1" x14ac:dyDescent="0.3">
      <c r="A25" s="15" t="s">
        <v>119</v>
      </c>
      <c r="B25" s="16" t="s">
        <v>198</v>
      </c>
      <c r="C25" s="20">
        <v>70</v>
      </c>
      <c r="D25" s="18">
        <v>4.2</v>
      </c>
      <c r="E25" s="15">
        <v>29</v>
      </c>
      <c r="F25" s="15">
        <v>0</v>
      </c>
      <c r="G25" s="15"/>
      <c r="H25" s="18"/>
      <c r="I25" s="17">
        <v>3</v>
      </c>
      <c r="J25" s="1">
        <v>1</v>
      </c>
      <c r="K25" s="1">
        <v>1</v>
      </c>
    </row>
    <row r="26" spans="1:11" ht="15.75" customHeight="1" x14ac:dyDescent="0.3">
      <c r="A26" s="15" t="s">
        <v>119</v>
      </c>
      <c r="B26" s="16" t="s">
        <v>198</v>
      </c>
      <c r="C26" s="20">
        <v>70</v>
      </c>
      <c r="D26" s="18">
        <v>4.2</v>
      </c>
      <c r="E26" s="15">
        <v>23</v>
      </c>
      <c r="F26" s="15">
        <v>0</v>
      </c>
      <c r="G26" s="15"/>
      <c r="H26" s="18"/>
      <c r="I26" s="17">
        <v>3</v>
      </c>
      <c r="J26" s="1">
        <v>1</v>
      </c>
      <c r="K26" s="1">
        <v>1</v>
      </c>
    </row>
    <row r="27" spans="1:11" ht="15.75" customHeight="1" x14ac:dyDescent="0.3">
      <c r="A27" s="15" t="s">
        <v>119</v>
      </c>
      <c r="B27" s="16" t="s">
        <v>198</v>
      </c>
      <c r="C27" s="20">
        <v>70</v>
      </c>
      <c r="D27" s="18">
        <v>4.2</v>
      </c>
      <c r="E27" s="15">
        <v>23</v>
      </c>
      <c r="F27" s="15">
        <v>0</v>
      </c>
      <c r="G27" s="15"/>
      <c r="H27" s="18"/>
      <c r="I27" s="17">
        <v>3</v>
      </c>
      <c r="J27" s="1">
        <v>1</v>
      </c>
      <c r="K27" s="1">
        <v>1</v>
      </c>
    </row>
    <row r="28" spans="1:11" ht="15.75" customHeight="1" x14ac:dyDescent="0.3">
      <c r="A28" s="15" t="s">
        <v>119</v>
      </c>
      <c r="B28" s="16" t="s">
        <v>198</v>
      </c>
      <c r="C28" s="15">
        <v>69.17</v>
      </c>
      <c r="D28" s="18">
        <v>4.55</v>
      </c>
      <c r="E28" s="15">
        <v>27.5</v>
      </c>
      <c r="F28" s="15">
        <v>0.56999999999999995</v>
      </c>
      <c r="G28" s="15"/>
      <c r="H28" s="18"/>
      <c r="I28" s="21">
        <v>3</v>
      </c>
      <c r="J28" s="1">
        <v>3</v>
      </c>
      <c r="K28" s="1">
        <v>3</v>
      </c>
    </row>
    <row r="29" spans="1:11" ht="15.75" customHeight="1" x14ac:dyDescent="0.3">
      <c r="A29" s="15" t="s">
        <v>119</v>
      </c>
      <c r="B29" s="16" t="s">
        <v>198</v>
      </c>
      <c r="C29" s="20">
        <v>69</v>
      </c>
      <c r="D29" s="18">
        <v>4.55</v>
      </c>
      <c r="E29" s="15">
        <v>21</v>
      </c>
      <c r="F29" s="15">
        <v>0</v>
      </c>
      <c r="G29" s="15"/>
      <c r="H29" s="18"/>
      <c r="I29" s="21">
        <v>3</v>
      </c>
      <c r="J29" s="1">
        <v>1</v>
      </c>
      <c r="K29" s="1">
        <v>1</v>
      </c>
    </row>
    <row r="30" spans="1:11" ht="15.75" customHeight="1" x14ac:dyDescent="0.3">
      <c r="A30" s="15" t="s">
        <v>134</v>
      </c>
      <c r="B30" s="16" t="s">
        <v>176</v>
      </c>
      <c r="C30" s="15">
        <v>79</v>
      </c>
      <c r="D30" s="18">
        <v>0.309</v>
      </c>
      <c r="E30" s="15">
        <v>23.3</v>
      </c>
      <c r="F30" s="15">
        <v>0.5</v>
      </c>
      <c r="G30" s="15"/>
      <c r="H30" s="47">
        <v>480</v>
      </c>
      <c r="I30" s="17">
        <v>4</v>
      </c>
      <c r="J30" s="1">
        <v>10</v>
      </c>
      <c r="K30" s="1">
        <v>10</v>
      </c>
    </row>
    <row r="31" spans="1:11" ht="15.75" customHeight="1" x14ac:dyDescent="0.3">
      <c r="A31" s="15" t="s">
        <v>134</v>
      </c>
      <c r="B31" s="16" t="s">
        <v>176</v>
      </c>
      <c r="C31" s="15">
        <v>80</v>
      </c>
      <c r="D31" s="18">
        <v>0.32</v>
      </c>
      <c r="E31" s="15">
        <v>24</v>
      </c>
      <c r="F31" s="15">
        <v>0</v>
      </c>
      <c r="G31" s="15"/>
      <c r="H31" s="47"/>
      <c r="I31" s="17">
        <v>4</v>
      </c>
      <c r="J31" s="1">
        <v>7</v>
      </c>
      <c r="K31" s="1">
        <v>7</v>
      </c>
    </row>
    <row r="32" spans="1:11" ht="15.75" customHeight="1" x14ac:dyDescent="0.3">
      <c r="A32" s="15" t="s">
        <v>134</v>
      </c>
      <c r="B32" s="16" t="s">
        <v>177</v>
      </c>
      <c r="C32" s="15">
        <v>80</v>
      </c>
      <c r="D32" s="18">
        <v>1.85</v>
      </c>
      <c r="E32" s="15">
        <v>25.3</v>
      </c>
      <c r="F32" s="15">
        <v>0.8</v>
      </c>
      <c r="G32" s="15"/>
      <c r="H32" s="47">
        <v>480</v>
      </c>
      <c r="I32" s="17">
        <v>3</v>
      </c>
      <c r="J32" s="1">
        <v>14</v>
      </c>
      <c r="K32" s="1">
        <v>17</v>
      </c>
    </row>
    <row r="33" spans="1:11" ht="15.75" customHeight="1" x14ac:dyDescent="0.3">
      <c r="A33" s="15" t="s">
        <v>134</v>
      </c>
      <c r="B33" s="23" t="s">
        <v>177</v>
      </c>
      <c r="C33" s="15">
        <v>58</v>
      </c>
      <c r="D33" s="18">
        <v>0.27</v>
      </c>
      <c r="E33" s="15">
        <v>26.8</v>
      </c>
      <c r="F33" s="15">
        <v>0.5</v>
      </c>
      <c r="G33" s="15"/>
      <c r="H33" s="47"/>
      <c r="I33" s="17">
        <v>3</v>
      </c>
      <c r="J33" s="1">
        <v>5</v>
      </c>
      <c r="K33" s="1">
        <v>5</v>
      </c>
    </row>
    <row r="34" spans="1:11" ht="15.75" customHeight="1" x14ac:dyDescent="0.3">
      <c r="A34" s="15" t="s">
        <v>134</v>
      </c>
      <c r="B34" s="23" t="s">
        <v>200</v>
      </c>
      <c r="C34" s="20">
        <v>77</v>
      </c>
      <c r="D34" s="18">
        <v>0.28999999999999998</v>
      </c>
      <c r="E34" s="15">
        <v>22</v>
      </c>
      <c r="F34" s="15">
        <v>0</v>
      </c>
      <c r="G34" s="15"/>
      <c r="H34" s="18"/>
      <c r="I34" s="17">
        <v>5</v>
      </c>
      <c r="J34" s="1">
        <v>2</v>
      </c>
      <c r="K34" s="1">
        <v>2</v>
      </c>
    </row>
    <row r="35" spans="1:11" ht="15.75" customHeight="1" x14ac:dyDescent="0.3">
      <c r="A35" s="15" t="s">
        <v>134</v>
      </c>
      <c r="B35" s="23" t="s">
        <v>200</v>
      </c>
      <c r="C35" s="15">
        <v>77</v>
      </c>
      <c r="D35" s="18">
        <v>0.28999999999999998</v>
      </c>
      <c r="E35" s="15">
        <v>25.9</v>
      </c>
      <c r="F35" s="15">
        <v>0</v>
      </c>
      <c r="G35" s="15"/>
      <c r="H35" s="47">
        <v>480</v>
      </c>
      <c r="I35" s="17">
        <v>5</v>
      </c>
      <c r="J35" s="1">
        <v>12</v>
      </c>
      <c r="K35" s="1">
        <v>12</v>
      </c>
    </row>
    <row r="36" spans="1:11" ht="15.75" customHeight="1" x14ac:dyDescent="0.3">
      <c r="A36" s="15" t="s">
        <v>134</v>
      </c>
      <c r="B36" s="23" t="s">
        <v>200</v>
      </c>
      <c r="C36" s="15">
        <v>55</v>
      </c>
      <c r="D36" s="18">
        <v>4.9000000000000002E-2</v>
      </c>
      <c r="E36" s="15">
        <v>27.2</v>
      </c>
      <c r="F36" s="15">
        <v>0</v>
      </c>
      <c r="G36" s="15"/>
      <c r="H36" s="47"/>
      <c r="I36" s="17">
        <v>5</v>
      </c>
      <c r="J36" s="1">
        <v>3</v>
      </c>
      <c r="K36" s="1">
        <v>3</v>
      </c>
    </row>
    <row r="37" spans="1:11" ht="15.75" customHeight="1" x14ac:dyDescent="0.3">
      <c r="A37" s="15" t="s">
        <v>134</v>
      </c>
      <c r="B37" s="23" t="s">
        <v>180</v>
      </c>
      <c r="C37" s="15">
        <v>76</v>
      </c>
      <c r="D37" s="18">
        <v>0.30399999999999999</v>
      </c>
      <c r="E37" s="15">
        <v>24.9</v>
      </c>
      <c r="F37" s="15">
        <v>2</v>
      </c>
      <c r="G37" s="15"/>
      <c r="H37" s="47">
        <v>480</v>
      </c>
      <c r="I37" s="17">
        <v>5</v>
      </c>
      <c r="J37" s="1">
        <v>0</v>
      </c>
      <c r="K37" s="1">
        <v>0</v>
      </c>
    </row>
    <row r="38" spans="1:11" ht="15.75" customHeight="1" x14ac:dyDescent="0.3">
      <c r="A38" s="15" t="s">
        <v>134</v>
      </c>
      <c r="B38" s="23" t="s">
        <v>180</v>
      </c>
      <c r="C38" s="15">
        <v>47</v>
      </c>
      <c r="D38" s="18">
        <v>0.13600000000000001</v>
      </c>
      <c r="E38" s="15">
        <v>29.3</v>
      </c>
      <c r="F38" s="15">
        <v>0.7</v>
      </c>
      <c r="G38" s="15"/>
      <c r="H38" s="47"/>
      <c r="I38" s="17">
        <v>5</v>
      </c>
      <c r="J38" s="1">
        <v>2</v>
      </c>
      <c r="K38" s="1">
        <v>3</v>
      </c>
    </row>
    <row r="39" spans="1:11" ht="15.75" customHeight="1" x14ac:dyDescent="0.3">
      <c r="A39" s="15" t="s">
        <v>134</v>
      </c>
      <c r="B39" s="23" t="s">
        <v>181</v>
      </c>
      <c r="C39" s="20">
        <v>63</v>
      </c>
      <c r="D39" s="18">
        <v>0.08</v>
      </c>
      <c r="E39" s="15">
        <v>21</v>
      </c>
      <c r="F39" s="15">
        <v>0</v>
      </c>
      <c r="G39" s="15"/>
      <c r="H39" s="18"/>
      <c r="I39" s="17">
        <v>3</v>
      </c>
      <c r="J39" s="1">
        <v>1</v>
      </c>
      <c r="K39" s="1">
        <v>1</v>
      </c>
    </row>
    <row r="40" spans="1:11" ht="15.75" customHeight="1" x14ac:dyDescent="0.3">
      <c r="A40" s="15" t="s">
        <v>138</v>
      </c>
      <c r="B40" s="23" t="s">
        <v>181</v>
      </c>
      <c r="C40" s="15">
        <v>63</v>
      </c>
      <c r="D40" s="18">
        <v>6.6900000000000001E-2</v>
      </c>
      <c r="E40" s="15">
        <v>33.700000000000003</v>
      </c>
      <c r="F40" s="15">
        <v>2.4</v>
      </c>
      <c r="G40" s="15"/>
      <c r="H40" s="47">
        <v>480</v>
      </c>
      <c r="I40" s="17">
        <v>3</v>
      </c>
      <c r="J40" s="1">
        <v>4</v>
      </c>
      <c r="K40" s="1">
        <v>4</v>
      </c>
    </row>
    <row r="41" spans="1:11" ht="15.75" customHeight="1" x14ac:dyDescent="0.3">
      <c r="A41" s="15" t="s">
        <v>134</v>
      </c>
      <c r="B41" s="23" t="s">
        <v>181</v>
      </c>
      <c r="C41" s="15">
        <v>44</v>
      </c>
      <c r="D41" s="18">
        <v>21.4</v>
      </c>
      <c r="E41" s="15">
        <v>34.4</v>
      </c>
      <c r="F41" s="15">
        <v>2</v>
      </c>
      <c r="G41" s="15"/>
      <c r="H41" s="47"/>
      <c r="I41" s="17">
        <v>3</v>
      </c>
      <c r="J41" s="1">
        <v>4</v>
      </c>
      <c r="K41" s="1">
        <v>4</v>
      </c>
    </row>
    <row r="42" spans="1:11" ht="15.75" customHeight="1" x14ac:dyDescent="0.3">
      <c r="A42" s="15" t="s">
        <v>134</v>
      </c>
      <c r="B42" s="23" t="s">
        <v>198</v>
      </c>
      <c r="C42" s="15">
        <v>57</v>
      </c>
      <c r="D42" s="18">
        <v>32.799999999999997</v>
      </c>
      <c r="E42" s="15">
        <v>30.4</v>
      </c>
      <c r="F42" s="15">
        <v>3.9</v>
      </c>
      <c r="G42" s="15"/>
      <c r="H42" s="47">
        <v>480</v>
      </c>
      <c r="I42" s="17">
        <v>3</v>
      </c>
      <c r="J42" s="1">
        <v>1</v>
      </c>
      <c r="K42" s="1">
        <v>1</v>
      </c>
    </row>
    <row r="43" spans="1:11" ht="15.75" customHeight="1" x14ac:dyDescent="0.3">
      <c r="A43" s="15" t="s">
        <v>134</v>
      </c>
      <c r="B43" s="15" t="s">
        <v>198</v>
      </c>
      <c r="C43" s="15">
        <v>28</v>
      </c>
      <c r="D43" s="18">
        <v>31.5</v>
      </c>
      <c r="E43" s="15">
        <v>43.8</v>
      </c>
      <c r="F43" s="15">
        <v>1.1000000000000001</v>
      </c>
      <c r="G43" s="15"/>
      <c r="H43" s="47"/>
      <c r="I43" s="17">
        <v>3</v>
      </c>
      <c r="J43" s="1">
        <v>2</v>
      </c>
      <c r="K43" s="1">
        <v>2</v>
      </c>
    </row>
    <row r="44" spans="1:11" ht="15.75" customHeight="1" x14ac:dyDescent="0.3">
      <c r="A44" s="15" t="s">
        <v>141</v>
      </c>
      <c r="B44" s="26" t="s">
        <v>176</v>
      </c>
      <c r="C44" s="30">
        <v>95</v>
      </c>
      <c r="D44" s="29">
        <v>0.59</v>
      </c>
      <c r="E44" s="30">
        <v>23.4</v>
      </c>
      <c r="F44" s="30">
        <v>0</v>
      </c>
      <c r="G44" s="15"/>
      <c r="H44" s="31">
        <v>480</v>
      </c>
      <c r="I44" s="21">
        <v>4</v>
      </c>
      <c r="J44" s="1">
        <v>9</v>
      </c>
      <c r="K44" s="1">
        <v>18</v>
      </c>
    </row>
    <row r="45" spans="1:11" ht="15.75" customHeight="1" x14ac:dyDescent="0.3">
      <c r="A45" s="15" t="s">
        <v>141</v>
      </c>
      <c r="B45" s="26" t="s">
        <v>177</v>
      </c>
      <c r="C45" s="30">
        <v>99</v>
      </c>
      <c r="D45" s="29">
        <v>34.6</v>
      </c>
      <c r="E45" s="30">
        <v>25.4</v>
      </c>
      <c r="F45" s="30">
        <v>2.2999999999999998</v>
      </c>
      <c r="G45" s="15"/>
      <c r="H45" s="29"/>
      <c r="I45" s="21">
        <v>3</v>
      </c>
      <c r="J45" s="1">
        <v>11</v>
      </c>
      <c r="K45" s="1">
        <v>11</v>
      </c>
    </row>
    <row r="46" spans="1:11" ht="15.75" customHeight="1" x14ac:dyDescent="0.3">
      <c r="A46" s="15" t="s">
        <v>141</v>
      </c>
      <c r="B46" s="26" t="s">
        <v>200</v>
      </c>
      <c r="C46" s="33">
        <v>99</v>
      </c>
      <c r="D46" s="29">
        <v>0.42</v>
      </c>
      <c r="E46" s="30">
        <v>22</v>
      </c>
      <c r="F46" s="30">
        <v>0</v>
      </c>
      <c r="G46" s="15"/>
      <c r="H46" s="29"/>
      <c r="I46" s="21">
        <v>5</v>
      </c>
      <c r="J46" s="1">
        <v>7</v>
      </c>
      <c r="K46" s="1">
        <v>10</v>
      </c>
    </row>
    <row r="47" spans="1:11" ht="15.75" customHeight="1" x14ac:dyDescent="0.3">
      <c r="A47" s="15" t="s">
        <v>141</v>
      </c>
      <c r="B47" s="26" t="s">
        <v>200</v>
      </c>
      <c r="C47" s="30">
        <v>99</v>
      </c>
      <c r="D47" s="34">
        <v>0.47249999999999998</v>
      </c>
      <c r="E47" s="30">
        <v>25.7</v>
      </c>
      <c r="F47" s="26">
        <v>0</v>
      </c>
      <c r="G47" s="15"/>
      <c r="H47" s="30">
        <v>480</v>
      </c>
      <c r="I47" s="21">
        <v>5</v>
      </c>
      <c r="J47" s="1">
        <v>8</v>
      </c>
      <c r="K47" s="1">
        <v>9</v>
      </c>
    </row>
    <row r="48" spans="1:11" ht="15.75" customHeight="1" x14ac:dyDescent="0.3">
      <c r="A48" s="15" t="s">
        <v>141</v>
      </c>
      <c r="B48" s="26" t="s">
        <v>200</v>
      </c>
      <c r="C48" s="30">
        <v>99</v>
      </c>
      <c r="D48" s="29">
        <v>32.6</v>
      </c>
      <c r="E48" s="30">
        <v>23.7</v>
      </c>
      <c r="F48" s="26">
        <v>0</v>
      </c>
      <c r="G48" s="15"/>
      <c r="H48" s="26"/>
      <c r="I48" s="21">
        <v>5</v>
      </c>
      <c r="J48" s="1">
        <v>3</v>
      </c>
      <c r="K48" s="1">
        <v>3</v>
      </c>
    </row>
    <row r="49" spans="1:11" ht="15.75" customHeight="1" x14ac:dyDescent="0.3">
      <c r="A49" s="15" t="s">
        <v>141</v>
      </c>
      <c r="B49" s="26" t="s">
        <v>180</v>
      </c>
      <c r="C49" s="30">
        <v>97</v>
      </c>
      <c r="D49" s="35">
        <v>0.53600000000000003</v>
      </c>
      <c r="E49" s="30">
        <v>24.9</v>
      </c>
      <c r="F49" s="30">
        <v>0</v>
      </c>
      <c r="G49" s="15"/>
      <c r="H49" s="30">
        <v>480</v>
      </c>
      <c r="I49" s="21">
        <v>5</v>
      </c>
      <c r="J49" s="1">
        <v>5</v>
      </c>
      <c r="K49" s="1">
        <v>9</v>
      </c>
    </row>
    <row r="50" spans="1:11" ht="15.75" customHeight="1" x14ac:dyDescent="0.3">
      <c r="A50" s="15" t="s">
        <v>141</v>
      </c>
      <c r="B50" s="26" t="s">
        <v>180</v>
      </c>
      <c r="C50" s="30">
        <v>99</v>
      </c>
      <c r="D50" s="29">
        <v>47.9</v>
      </c>
      <c r="E50" s="30">
        <v>24.1</v>
      </c>
      <c r="F50" s="30">
        <v>0.5</v>
      </c>
      <c r="G50" s="15"/>
      <c r="H50" s="30"/>
      <c r="I50" s="21">
        <v>5</v>
      </c>
      <c r="J50" s="1">
        <v>1</v>
      </c>
      <c r="K50" s="1">
        <v>1</v>
      </c>
    </row>
    <row r="51" spans="1:11" ht="15.75" customHeight="1" x14ac:dyDescent="0.3">
      <c r="A51" s="15" t="s">
        <v>141</v>
      </c>
      <c r="B51" s="26" t="s">
        <v>181</v>
      </c>
      <c r="C51" s="30">
        <v>99</v>
      </c>
      <c r="D51" s="29">
        <v>53.2</v>
      </c>
      <c r="E51" s="30">
        <v>27.5</v>
      </c>
      <c r="F51" s="30">
        <v>0</v>
      </c>
      <c r="G51" s="15"/>
      <c r="H51" s="30">
        <v>480</v>
      </c>
      <c r="I51" s="21">
        <v>3</v>
      </c>
      <c r="J51" s="1">
        <v>4</v>
      </c>
      <c r="K51" s="1">
        <v>7</v>
      </c>
    </row>
    <row r="52" spans="1:11" ht="15.75" customHeight="1" x14ac:dyDescent="0.3">
      <c r="A52" s="15" t="s">
        <v>141</v>
      </c>
      <c r="B52" s="26" t="s">
        <v>181</v>
      </c>
      <c r="C52" s="30">
        <v>99</v>
      </c>
      <c r="D52" s="29">
        <v>8.23</v>
      </c>
      <c r="E52" s="30">
        <v>23.7</v>
      </c>
      <c r="F52" s="30">
        <v>0</v>
      </c>
      <c r="G52" s="15"/>
      <c r="H52" s="30"/>
      <c r="I52" s="21">
        <v>3</v>
      </c>
      <c r="J52" s="1">
        <v>2</v>
      </c>
      <c r="K52" s="1">
        <v>4</v>
      </c>
    </row>
    <row r="53" spans="1:11" ht="15.75" customHeight="1" x14ac:dyDescent="0.3">
      <c r="A53" s="15" t="s">
        <v>141</v>
      </c>
      <c r="B53" s="26" t="s">
        <v>198</v>
      </c>
      <c r="C53" s="30">
        <v>77</v>
      </c>
      <c r="D53" s="29">
        <v>8.5399999999999991</v>
      </c>
      <c r="E53" s="30">
        <v>28</v>
      </c>
      <c r="F53" s="30">
        <v>1.75</v>
      </c>
      <c r="G53" s="15"/>
      <c r="H53" s="30">
        <v>480</v>
      </c>
      <c r="I53" s="21">
        <v>3</v>
      </c>
      <c r="J53" s="1">
        <v>6</v>
      </c>
      <c r="K53" s="1">
        <v>12</v>
      </c>
    </row>
    <row r="54" spans="1:11" ht="15.75" customHeight="1" x14ac:dyDescent="0.3">
      <c r="A54" s="15" t="s">
        <v>141</v>
      </c>
      <c r="B54" s="26" t="s">
        <v>198</v>
      </c>
      <c r="C54" s="30">
        <v>99</v>
      </c>
      <c r="D54" s="29">
        <v>7.51</v>
      </c>
      <c r="E54" s="30">
        <v>23.7</v>
      </c>
      <c r="F54" s="30">
        <v>0</v>
      </c>
      <c r="G54" s="15"/>
      <c r="H54" s="30"/>
      <c r="I54" s="21">
        <v>3</v>
      </c>
      <c r="J54" s="1">
        <v>4</v>
      </c>
      <c r="K54" s="1">
        <v>15</v>
      </c>
    </row>
    <row r="55" spans="1:11" ht="15.75" customHeight="1" x14ac:dyDescent="0.3">
      <c r="A55" s="15" t="s">
        <v>141</v>
      </c>
      <c r="B55" s="27" t="s">
        <v>183</v>
      </c>
      <c r="C55" s="30">
        <v>79</v>
      </c>
      <c r="D55" s="29">
        <v>73.7</v>
      </c>
      <c r="E55" s="30">
        <v>29.1</v>
      </c>
      <c r="F55" s="30">
        <v>1</v>
      </c>
      <c r="G55" s="15"/>
      <c r="H55" s="26"/>
      <c r="I55" s="21">
        <v>3</v>
      </c>
      <c r="J55" s="1">
        <v>0</v>
      </c>
      <c r="K55" s="1">
        <v>0</v>
      </c>
    </row>
    <row r="56" spans="1:11" ht="15.75" customHeight="1" x14ac:dyDescent="0.3">
      <c r="A56" s="15" t="s">
        <v>141</v>
      </c>
      <c r="B56" s="27" t="s">
        <v>186</v>
      </c>
      <c r="C56" s="30">
        <v>75</v>
      </c>
      <c r="D56" s="35">
        <v>0.71899999999999997</v>
      </c>
      <c r="E56" s="30">
        <v>25.8</v>
      </c>
      <c r="F56" s="30">
        <v>0</v>
      </c>
      <c r="G56" s="15"/>
      <c r="H56" s="26"/>
      <c r="I56" s="21">
        <v>6</v>
      </c>
      <c r="J56" s="1">
        <v>0</v>
      </c>
      <c r="K56" s="1">
        <v>0</v>
      </c>
    </row>
    <row r="57" spans="1:11" ht="15.75" customHeight="1" x14ac:dyDescent="0.3">
      <c r="A57" s="15" t="s">
        <v>146</v>
      </c>
      <c r="B57" s="23" t="s">
        <v>176</v>
      </c>
      <c r="C57" s="15">
        <v>99</v>
      </c>
      <c r="D57" s="36">
        <v>0.27700000000000002</v>
      </c>
      <c r="E57" s="15">
        <v>26.4</v>
      </c>
      <c r="F57" s="15">
        <v>0</v>
      </c>
      <c r="G57" s="15">
        <v>100</v>
      </c>
      <c r="H57" s="15"/>
      <c r="I57" s="17">
        <v>4</v>
      </c>
      <c r="J57" s="1">
        <v>6</v>
      </c>
      <c r="K57" s="1">
        <v>22</v>
      </c>
    </row>
    <row r="58" spans="1:11" ht="15.75" customHeight="1" x14ac:dyDescent="0.3">
      <c r="A58" s="15" t="s">
        <v>146</v>
      </c>
      <c r="B58" s="23" t="s">
        <v>177</v>
      </c>
      <c r="C58" s="15">
        <v>92</v>
      </c>
      <c r="D58" s="18">
        <v>0.78</v>
      </c>
      <c r="E58" s="15">
        <v>24.6</v>
      </c>
      <c r="F58" s="15">
        <v>0</v>
      </c>
      <c r="G58" s="15">
        <v>5</v>
      </c>
      <c r="H58" s="15"/>
      <c r="I58" s="17">
        <v>3</v>
      </c>
      <c r="J58" s="1">
        <v>9</v>
      </c>
      <c r="K58" s="1">
        <v>14</v>
      </c>
    </row>
    <row r="59" spans="1:11" ht="15.75" customHeight="1" x14ac:dyDescent="0.3">
      <c r="A59" s="15" t="s">
        <v>146</v>
      </c>
      <c r="B59" s="23" t="s">
        <v>200</v>
      </c>
      <c r="C59" s="15">
        <v>94</v>
      </c>
      <c r="D59" s="36">
        <v>0.50800000000000001</v>
      </c>
      <c r="E59" s="15">
        <v>24.8</v>
      </c>
      <c r="F59" s="15">
        <v>0</v>
      </c>
      <c r="G59" s="15">
        <v>5</v>
      </c>
      <c r="H59" s="15"/>
      <c r="I59" s="17">
        <v>5</v>
      </c>
      <c r="J59" s="1">
        <v>8</v>
      </c>
      <c r="K59" s="1">
        <v>8</v>
      </c>
    </row>
    <row r="60" spans="1:11" ht="15.75" customHeight="1" x14ac:dyDescent="0.3">
      <c r="A60" s="15" t="s">
        <v>146</v>
      </c>
      <c r="B60" s="23" t="s">
        <v>200</v>
      </c>
      <c r="C60" s="15">
        <v>94</v>
      </c>
      <c r="D60" s="36">
        <v>0.5</v>
      </c>
      <c r="E60" s="15">
        <v>24.8</v>
      </c>
      <c r="F60" s="15">
        <v>0</v>
      </c>
      <c r="G60" s="15">
        <v>100</v>
      </c>
      <c r="H60" s="15">
        <v>870</v>
      </c>
      <c r="I60" s="17">
        <v>5</v>
      </c>
      <c r="J60" s="1">
        <v>2</v>
      </c>
      <c r="K60" s="1">
        <v>6</v>
      </c>
    </row>
    <row r="61" spans="1:11" ht="15.75" customHeight="1" x14ac:dyDescent="0.3">
      <c r="A61" s="15" t="s">
        <v>146</v>
      </c>
      <c r="B61" s="23" t="s">
        <v>200</v>
      </c>
      <c r="C61" s="20">
        <v>94</v>
      </c>
      <c r="D61" s="36">
        <v>0.5</v>
      </c>
      <c r="E61" s="15">
        <v>23</v>
      </c>
      <c r="F61" s="15">
        <v>0</v>
      </c>
      <c r="G61" s="15">
        <v>100</v>
      </c>
      <c r="H61" s="15"/>
      <c r="I61" s="17">
        <v>5</v>
      </c>
      <c r="J61" s="1">
        <v>5</v>
      </c>
      <c r="K61" s="1">
        <v>5</v>
      </c>
    </row>
    <row r="62" spans="1:11" ht="15.75" customHeight="1" x14ac:dyDescent="0.3">
      <c r="A62" s="15" t="s">
        <v>146</v>
      </c>
      <c r="B62" s="23" t="s">
        <v>200</v>
      </c>
      <c r="C62" s="20">
        <v>94</v>
      </c>
      <c r="D62" s="36">
        <v>0.5</v>
      </c>
      <c r="E62" s="15">
        <v>22</v>
      </c>
      <c r="F62" s="15">
        <v>0</v>
      </c>
      <c r="G62" s="15">
        <v>100</v>
      </c>
      <c r="H62" s="15"/>
      <c r="I62" s="17">
        <v>5</v>
      </c>
      <c r="J62" s="1">
        <v>1</v>
      </c>
      <c r="K62" s="1">
        <v>1</v>
      </c>
    </row>
    <row r="63" spans="1:11" ht="15.75" customHeight="1" x14ac:dyDescent="0.3">
      <c r="A63" s="15" t="s">
        <v>146</v>
      </c>
      <c r="B63" s="23" t="s">
        <v>181</v>
      </c>
      <c r="C63" s="15">
        <v>99</v>
      </c>
      <c r="D63" s="18">
        <v>7.59</v>
      </c>
      <c r="E63" s="15">
        <v>23.9</v>
      </c>
      <c r="F63" s="15">
        <v>0</v>
      </c>
      <c r="G63" s="15">
        <v>100</v>
      </c>
      <c r="H63" s="15">
        <v>870</v>
      </c>
      <c r="I63" s="17">
        <v>3</v>
      </c>
      <c r="J63" s="1">
        <v>5</v>
      </c>
      <c r="K63" s="1">
        <v>6</v>
      </c>
    </row>
    <row r="64" spans="1:11" ht="15.75" customHeight="1" x14ac:dyDescent="0.3">
      <c r="A64" s="15" t="s">
        <v>146</v>
      </c>
      <c r="B64" s="23" t="s">
        <v>198</v>
      </c>
      <c r="C64" s="15">
        <v>99</v>
      </c>
      <c r="D64" s="18">
        <v>13.05</v>
      </c>
      <c r="E64" s="15">
        <v>25.9</v>
      </c>
      <c r="F64" s="15">
        <v>0.45</v>
      </c>
      <c r="G64" s="15">
        <v>100</v>
      </c>
      <c r="H64" s="15">
        <v>870</v>
      </c>
      <c r="I64" s="17">
        <v>3</v>
      </c>
      <c r="J64" s="1">
        <v>4</v>
      </c>
      <c r="K64" s="1">
        <v>4</v>
      </c>
    </row>
    <row r="65" spans="1:11" ht="15.75" customHeight="1" x14ac:dyDescent="0.3">
      <c r="A65" s="15" t="s">
        <v>146</v>
      </c>
      <c r="B65" s="23" t="s">
        <v>183</v>
      </c>
      <c r="C65" s="15">
        <v>79</v>
      </c>
      <c r="D65" s="18">
        <v>15.5</v>
      </c>
      <c r="E65" s="15">
        <v>28.3</v>
      </c>
      <c r="F65" s="15">
        <v>0</v>
      </c>
      <c r="G65" s="15">
        <v>100</v>
      </c>
      <c r="H65" s="15">
        <v>1360</v>
      </c>
      <c r="I65" s="17">
        <v>3</v>
      </c>
      <c r="J65" s="1">
        <v>3</v>
      </c>
      <c r="K65" s="1">
        <v>3</v>
      </c>
    </row>
    <row r="66" spans="1:11" ht="15.75" customHeight="1" x14ac:dyDescent="0.3">
      <c r="A66" s="15" t="s">
        <v>146</v>
      </c>
      <c r="B66" s="23" t="s">
        <v>183</v>
      </c>
      <c r="C66" s="15">
        <v>79</v>
      </c>
      <c r="D66" s="18">
        <v>4.87</v>
      </c>
      <c r="E66" s="15">
        <v>25.2</v>
      </c>
      <c r="F66" s="15">
        <v>0</v>
      </c>
      <c r="G66" s="15">
        <v>100</v>
      </c>
      <c r="H66" s="15"/>
      <c r="I66" s="17">
        <v>3</v>
      </c>
      <c r="J66" s="1">
        <v>0</v>
      </c>
      <c r="K66" s="1">
        <v>0</v>
      </c>
    </row>
    <row r="67" spans="1:11" ht="15.75" customHeight="1" x14ac:dyDescent="0.3">
      <c r="A67" s="15" t="s">
        <v>146</v>
      </c>
      <c r="B67" s="23" t="s">
        <v>186</v>
      </c>
      <c r="C67" s="15">
        <v>79</v>
      </c>
      <c r="D67" s="18">
        <v>0.56999999999999995</v>
      </c>
      <c r="E67" s="15">
        <v>24.8</v>
      </c>
      <c r="F67" s="15">
        <v>0</v>
      </c>
      <c r="G67" s="15">
        <v>100</v>
      </c>
      <c r="H67" s="15">
        <v>1360</v>
      </c>
      <c r="I67" s="17">
        <v>6</v>
      </c>
      <c r="J67" s="1">
        <v>3</v>
      </c>
      <c r="K67" s="1">
        <v>4</v>
      </c>
    </row>
    <row r="68" spans="1:11" ht="15.75" customHeight="1" x14ac:dyDescent="0.3">
      <c r="A68" s="15" t="s">
        <v>146</v>
      </c>
      <c r="B68" s="23" t="s">
        <v>186</v>
      </c>
      <c r="C68" s="15">
        <v>96</v>
      </c>
      <c r="D68" s="18">
        <v>15.05</v>
      </c>
      <c r="E68" s="15">
        <v>30.2</v>
      </c>
      <c r="F68" s="15">
        <v>0</v>
      </c>
      <c r="G68" s="15">
        <v>100</v>
      </c>
      <c r="H68" s="15"/>
      <c r="I68" s="17">
        <v>6</v>
      </c>
      <c r="J68" s="1">
        <v>2</v>
      </c>
      <c r="K68" s="1">
        <v>6</v>
      </c>
    </row>
    <row r="69" spans="1:11" ht="15.75" customHeight="1" x14ac:dyDescent="0.3">
      <c r="A69" s="15" t="s">
        <v>146</v>
      </c>
      <c r="B69" s="15" t="s">
        <v>186</v>
      </c>
      <c r="C69" s="15">
        <v>57</v>
      </c>
      <c r="D69" s="18">
        <v>153.19999999999999</v>
      </c>
      <c r="E69" s="15">
        <v>30.2</v>
      </c>
      <c r="F69" s="15">
        <v>0.4</v>
      </c>
      <c r="G69" s="15">
        <v>100</v>
      </c>
      <c r="H69" s="15"/>
      <c r="I69" s="17">
        <v>6</v>
      </c>
      <c r="J69" s="1">
        <v>2</v>
      </c>
      <c r="K69" s="1">
        <v>3</v>
      </c>
    </row>
    <row r="70" spans="1:11" ht="15.75" customHeight="1" x14ac:dyDescent="0.3">
      <c r="A70" s="15" t="s">
        <v>153</v>
      </c>
      <c r="B70" s="23" t="s">
        <v>176</v>
      </c>
      <c r="C70" s="15">
        <v>98</v>
      </c>
      <c r="D70" s="18">
        <v>7.54</v>
      </c>
      <c r="E70" s="15">
        <v>25.8</v>
      </c>
      <c r="F70" s="15">
        <v>0</v>
      </c>
      <c r="G70" s="15">
        <v>100</v>
      </c>
      <c r="H70" s="15"/>
      <c r="I70" s="17">
        <v>4</v>
      </c>
      <c r="J70" s="1">
        <v>5</v>
      </c>
      <c r="K70" s="1">
        <v>7</v>
      </c>
    </row>
    <row r="71" spans="1:11" ht="15.75" customHeight="1" x14ac:dyDescent="0.3">
      <c r="A71" s="15" t="s">
        <v>153</v>
      </c>
      <c r="B71" s="23" t="s">
        <v>176</v>
      </c>
      <c r="C71" s="15">
        <v>99</v>
      </c>
      <c r="D71" s="18">
        <v>6.06</v>
      </c>
      <c r="E71" s="15">
        <v>25.35</v>
      </c>
      <c r="F71" s="15">
        <v>0</v>
      </c>
      <c r="G71" s="15">
        <v>100</v>
      </c>
      <c r="H71" s="15">
        <v>580</v>
      </c>
      <c r="I71" s="17">
        <v>4</v>
      </c>
      <c r="J71" s="1">
        <v>9</v>
      </c>
      <c r="K71" s="1">
        <v>9</v>
      </c>
    </row>
    <row r="72" spans="1:11" ht="15.75" customHeight="1" x14ac:dyDescent="0.3">
      <c r="A72" s="15" t="s">
        <v>153</v>
      </c>
      <c r="B72" s="23" t="s">
        <v>177</v>
      </c>
      <c r="C72" s="15">
        <v>98</v>
      </c>
      <c r="D72" s="18">
        <v>0.77</v>
      </c>
      <c r="E72" s="15">
        <v>22.6</v>
      </c>
      <c r="F72" s="15">
        <v>0</v>
      </c>
      <c r="G72" s="15">
        <v>100</v>
      </c>
      <c r="H72" s="15">
        <v>580</v>
      </c>
      <c r="I72" s="17">
        <v>3</v>
      </c>
      <c r="J72" s="1">
        <v>8</v>
      </c>
      <c r="K72" s="1">
        <v>14</v>
      </c>
    </row>
    <row r="73" spans="1:11" ht="15.75" customHeight="1" x14ac:dyDescent="0.3">
      <c r="A73" s="15" t="s">
        <v>153</v>
      </c>
      <c r="B73" s="23" t="s">
        <v>177</v>
      </c>
      <c r="C73" s="15">
        <v>82</v>
      </c>
      <c r="D73" s="36">
        <v>0.19800000000000001</v>
      </c>
      <c r="E73" s="15">
        <v>24.3</v>
      </c>
      <c r="F73" s="15">
        <v>0</v>
      </c>
      <c r="G73" s="15">
        <v>20</v>
      </c>
      <c r="H73" s="15"/>
      <c r="I73" s="17">
        <v>3</v>
      </c>
      <c r="J73" s="1">
        <v>9</v>
      </c>
      <c r="K73" s="1">
        <v>12</v>
      </c>
    </row>
    <row r="74" spans="1:11" ht="15.75" customHeight="1" x14ac:dyDescent="0.3">
      <c r="A74" s="15" t="s">
        <v>153</v>
      </c>
      <c r="B74" s="23" t="s">
        <v>200</v>
      </c>
      <c r="C74" s="15">
        <v>98</v>
      </c>
      <c r="D74" s="18">
        <v>3.69</v>
      </c>
      <c r="E74" s="15">
        <v>22.35</v>
      </c>
      <c r="F74" s="15">
        <v>0</v>
      </c>
      <c r="G74" s="15">
        <v>0</v>
      </c>
      <c r="H74" s="15">
        <v>870</v>
      </c>
      <c r="I74" s="17">
        <v>5</v>
      </c>
      <c r="J74" s="1">
        <v>3</v>
      </c>
      <c r="K74" s="1">
        <v>7</v>
      </c>
    </row>
    <row r="75" spans="1:11" ht="15.75" customHeight="1" x14ac:dyDescent="0.3">
      <c r="A75" s="15" t="s">
        <v>153</v>
      </c>
      <c r="B75" s="23" t="s">
        <v>200</v>
      </c>
      <c r="C75" s="15">
        <v>98</v>
      </c>
      <c r="D75" s="18">
        <v>3.69</v>
      </c>
      <c r="E75" s="15">
        <v>22.35</v>
      </c>
      <c r="F75" s="15">
        <v>0</v>
      </c>
      <c r="G75" s="15">
        <v>0</v>
      </c>
      <c r="H75" s="15">
        <v>870</v>
      </c>
      <c r="I75" s="17">
        <v>5</v>
      </c>
      <c r="J75" s="1">
        <v>13</v>
      </c>
      <c r="K75" s="1">
        <v>14</v>
      </c>
    </row>
    <row r="76" spans="1:11" ht="15.75" customHeight="1" x14ac:dyDescent="0.3">
      <c r="A76" s="15" t="s">
        <v>153</v>
      </c>
      <c r="B76" s="23" t="s">
        <v>200</v>
      </c>
      <c r="C76" s="15">
        <v>90</v>
      </c>
      <c r="D76" s="36">
        <v>3.5000000000000003E-2</v>
      </c>
      <c r="E76" s="15">
        <v>24.2</v>
      </c>
      <c r="F76" s="15">
        <v>0</v>
      </c>
      <c r="G76" s="15">
        <v>20</v>
      </c>
      <c r="H76" s="15"/>
      <c r="I76" s="17">
        <v>5</v>
      </c>
      <c r="J76" s="1">
        <v>1</v>
      </c>
      <c r="K76" s="1">
        <v>1</v>
      </c>
    </row>
    <row r="77" spans="1:11" ht="15.75" customHeight="1" x14ac:dyDescent="0.3">
      <c r="A77" s="15" t="s">
        <v>153</v>
      </c>
      <c r="B77" s="23" t="s">
        <v>200</v>
      </c>
      <c r="C77" s="15">
        <v>61</v>
      </c>
      <c r="D77" s="36">
        <v>9.4E-2</v>
      </c>
      <c r="E77" s="15">
        <v>25.5</v>
      </c>
      <c r="F77" s="15">
        <v>0</v>
      </c>
      <c r="G77" s="15">
        <v>15</v>
      </c>
      <c r="H77" s="15"/>
      <c r="I77" s="17">
        <v>5</v>
      </c>
      <c r="J77" s="1">
        <v>6</v>
      </c>
      <c r="K77" s="1">
        <v>8</v>
      </c>
    </row>
    <row r="78" spans="1:11" ht="15.75" customHeight="1" x14ac:dyDescent="0.3">
      <c r="A78" s="15" t="s">
        <v>153</v>
      </c>
      <c r="B78" s="23" t="s">
        <v>200</v>
      </c>
      <c r="C78" s="15">
        <v>65</v>
      </c>
      <c r="D78" s="36">
        <v>3.5000000000000003E-2</v>
      </c>
      <c r="E78" s="15">
        <v>25.7</v>
      </c>
      <c r="F78" s="15">
        <v>0</v>
      </c>
      <c r="G78" s="15">
        <v>100</v>
      </c>
      <c r="H78" s="15"/>
      <c r="I78" s="17">
        <v>5</v>
      </c>
      <c r="J78" s="1">
        <v>3</v>
      </c>
      <c r="K78" s="1">
        <v>3</v>
      </c>
    </row>
    <row r="79" spans="1:11" ht="15.75" customHeight="1" x14ac:dyDescent="0.3">
      <c r="A79" s="15" t="s">
        <v>153</v>
      </c>
      <c r="B79" s="23" t="s">
        <v>180</v>
      </c>
      <c r="C79" s="15">
        <v>85</v>
      </c>
      <c r="D79" s="18">
        <v>3.81</v>
      </c>
      <c r="E79" s="15">
        <v>25</v>
      </c>
      <c r="F79" s="15">
        <v>0</v>
      </c>
      <c r="G79" s="15">
        <v>78.33</v>
      </c>
      <c r="H79" s="15">
        <v>870</v>
      </c>
      <c r="I79" s="17">
        <v>5</v>
      </c>
      <c r="J79" s="1">
        <v>3</v>
      </c>
      <c r="K79" s="1">
        <v>3</v>
      </c>
    </row>
    <row r="80" spans="1:11" ht="15.75" customHeight="1" x14ac:dyDescent="0.3">
      <c r="A80" s="15" t="s">
        <v>153</v>
      </c>
      <c r="B80" s="23" t="s">
        <v>180</v>
      </c>
      <c r="C80" s="15">
        <v>61</v>
      </c>
      <c r="D80" s="18">
        <v>4.78</v>
      </c>
      <c r="E80" s="15">
        <v>28.7</v>
      </c>
      <c r="F80" s="15">
        <v>0</v>
      </c>
      <c r="G80" s="15">
        <v>100</v>
      </c>
      <c r="H80" s="15"/>
      <c r="I80" s="17">
        <v>5</v>
      </c>
      <c r="J80" s="1">
        <v>0</v>
      </c>
      <c r="K80" s="1">
        <v>0</v>
      </c>
    </row>
    <row r="81" spans="1:11" ht="15.75" customHeight="1" x14ac:dyDescent="0.3">
      <c r="A81" s="15" t="s">
        <v>153</v>
      </c>
      <c r="B81" s="23" t="s">
        <v>180</v>
      </c>
      <c r="C81" s="15">
        <v>47</v>
      </c>
      <c r="D81" s="36">
        <v>0.74399999999999999</v>
      </c>
      <c r="E81" s="15">
        <v>29.9</v>
      </c>
      <c r="F81" s="15">
        <v>0</v>
      </c>
      <c r="G81" s="15">
        <v>2</v>
      </c>
      <c r="H81" s="15"/>
      <c r="I81" s="17">
        <v>5</v>
      </c>
      <c r="J81" s="1">
        <v>2</v>
      </c>
      <c r="K81" s="1">
        <v>2</v>
      </c>
    </row>
    <row r="82" spans="1:11" ht="15.75" customHeight="1" x14ac:dyDescent="0.3">
      <c r="A82" s="15" t="s">
        <v>153</v>
      </c>
      <c r="B82" s="23" t="s">
        <v>180</v>
      </c>
      <c r="C82" s="15">
        <v>50</v>
      </c>
      <c r="D82" s="36">
        <v>0.7</v>
      </c>
      <c r="E82" s="15">
        <v>26.3</v>
      </c>
      <c r="F82" s="15">
        <v>0</v>
      </c>
      <c r="G82" s="15">
        <v>100</v>
      </c>
      <c r="H82" s="15"/>
      <c r="I82" s="17">
        <v>5</v>
      </c>
      <c r="J82" s="1">
        <v>2</v>
      </c>
      <c r="K82" s="1">
        <v>5</v>
      </c>
    </row>
    <row r="83" spans="1:11" ht="15.75" customHeight="1" x14ac:dyDescent="0.3">
      <c r="A83" s="15" t="s">
        <v>153</v>
      </c>
      <c r="B83" s="23" t="s">
        <v>181</v>
      </c>
      <c r="C83" s="15">
        <v>85</v>
      </c>
      <c r="D83" s="18">
        <v>13.84</v>
      </c>
      <c r="E83" s="15">
        <v>26.7</v>
      </c>
      <c r="F83" s="15">
        <v>0</v>
      </c>
      <c r="G83" s="15">
        <v>100</v>
      </c>
      <c r="H83" s="15">
        <v>870</v>
      </c>
      <c r="I83" s="17">
        <v>3</v>
      </c>
      <c r="J83" s="1">
        <v>4</v>
      </c>
      <c r="K83" s="1">
        <v>6</v>
      </c>
    </row>
    <row r="84" spans="1:11" ht="15.75" customHeight="1" x14ac:dyDescent="0.3">
      <c r="A84" s="15" t="s">
        <v>153</v>
      </c>
      <c r="B84" s="23" t="s">
        <v>181</v>
      </c>
      <c r="C84" s="15">
        <v>55</v>
      </c>
      <c r="D84" s="18">
        <v>55.3</v>
      </c>
      <c r="E84" s="15">
        <v>30.2</v>
      </c>
      <c r="F84" s="15">
        <v>0</v>
      </c>
      <c r="G84" s="15">
        <v>100</v>
      </c>
      <c r="H84" s="15"/>
      <c r="I84" s="17">
        <v>3</v>
      </c>
      <c r="J84" s="1">
        <v>0</v>
      </c>
      <c r="K84" s="1">
        <v>0</v>
      </c>
    </row>
    <row r="85" spans="1:11" ht="15.75" customHeight="1" x14ac:dyDescent="0.3">
      <c r="A85" s="15" t="s">
        <v>153</v>
      </c>
      <c r="B85" s="23" t="s">
        <v>181</v>
      </c>
      <c r="C85" s="15">
        <v>51</v>
      </c>
      <c r="D85" s="18">
        <v>26.78</v>
      </c>
      <c r="E85" s="15">
        <v>30.7</v>
      </c>
      <c r="F85" s="15">
        <v>0</v>
      </c>
      <c r="G85" s="15">
        <v>23.33</v>
      </c>
      <c r="H85" s="15"/>
      <c r="I85" s="17">
        <v>3</v>
      </c>
      <c r="J85" s="1">
        <v>2</v>
      </c>
      <c r="K85" s="1">
        <v>2</v>
      </c>
    </row>
    <row r="86" spans="1:11" ht="15.75" customHeight="1" x14ac:dyDescent="0.3">
      <c r="A86" s="15" t="s">
        <v>153</v>
      </c>
      <c r="B86" s="23" t="s">
        <v>198</v>
      </c>
      <c r="C86" s="15">
        <v>90</v>
      </c>
      <c r="D86" s="18">
        <v>8.44</v>
      </c>
      <c r="E86" s="15">
        <v>27.4</v>
      </c>
      <c r="F86" s="15">
        <v>0.8</v>
      </c>
      <c r="G86" s="15">
        <v>100</v>
      </c>
      <c r="H86" s="15">
        <v>870</v>
      </c>
      <c r="I86" s="17">
        <v>3</v>
      </c>
      <c r="J86" s="1">
        <v>12</v>
      </c>
      <c r="K86" s="1">
        <v>17</v>
      </c>
    </row>
    <row r="87" spans="1:11" ht="15.75" customHeight="1" x14ac:dyDescent="0.3">
      <c r="A87" s="15" t="s">
        <v>153</v>
      </c>
      <c r="B87" s="16" t="s">
        <v>198</v>
      </c>
      <c r="C87" s="15">
        <v>58</v>
      </c>
      <c r="D87" s="18">
        <v>30.1</v>
      </c>
      <c r="E87" s="15">
        <v>29.1</v>
      </c>
      <c r="F87" s="15">
        <v>0</v>
      </c>
      <c r="G87" s="15">
        <v>98.75</v>
      </c>
      <c r="H87" s="15"/>
      <c r="I87" s="17">
        <v>3</v>
      </c>
      <c r="J87" s="1">
        <v>2</v>
      </c>
      <c r="K87" s="1">
        <v>2</v>
      </c>
    </row>
    <row r="88" spans="1:11" ht="15.75" customHeight="1" x14ac:dyDescent="0.3">
      <c r="A88" s="15" t="s">
        <v>153</v>
      </c>
      <c r="B88" s="23" t="s">
        <v>183</v>
      </c>
      <c r="C88" s="15">
        <v>95</v>
      </c>
      <c r="D88" s="18">
        <v>10.69</v>
      </c>
      <c r="E88" s="15">
        <v>22.8</v>
      </c>
      <c r="F88" s="15">
        <v>1.2</v>
      </c>
      <c r="G88" s="15">
        <v>100</v>
      </c>
      <c r="H88" s="15">
        <v>1100</v>
      </c>
      <c r="I88" s="17">
        <v>3</v>
      </c>
      <c r="J88" s="1">
        <v>4</v>
      </c>
      <c r="K88" s="1">
        <v>7</v>
      </c>
    </row>
    <row r="89" spans="1:11" ht="15.75" customHeight="1" x14ac:dyDescent="0.3">
      <c r="A89" s="15" t="s">
        <v>153</v>
      </c>
      <c r="B89" s="23" t="s">
        <v>183</v>
      </c>
      <c r="C89" s="15">
        <v>95</v>
      </c>
      <c r="D89" s="18">
        <v>5.99</v>
      </c>
      <c r="E89" s="15">
        <v>25.7</v>
      </c>
      <c r="F89" s="15">
        <v>0</v>
      </c>
      <c r="G89" s="15">
        <v>100</v>
      </c>
      <c r="H89" s="15">
        <v>1420</v>
      </c>
      <c r="I89" s="17">
        <v>3</v>
      </c>
      <c r="J89" s="1">
        <v>5</v>
      </c>
      <c r="K89" s="1">
        <v>7</v>
      </c>
    </row>
    <row r="90" spans="1:11" ht="15.75" customHeight="1" x14ac:dyDescent="0.3">
      <c r="A90" s="15" t="s">
        <v>153</v>
      </c>
      <c r="B90" s="16" t="s">
        <v>183</v>
      </c>
      <c r="C90" s="15">
        <v>98</v>
      </c>
      <c r="D90" s="18">
        <v>3.61</v>
      </c>
      <c r="E90" s="15">
        <v>23</v>
      </c>
      <c r="F90" s="15">
        <v>0</v>
      </c>
      <c r="G90" s="15">
        <v>100</v>
      </c>
      <c r="H90" s="15"/>
      <c r="I90" s="17">
        <v>3</v>
      </c>
      <c r="J90" s="1">
        <v>0</v>
      </c>
      <c r="K90" s="1">
        <v>0</v>
      </c>
    </row>
    <row r="91" spans="1:11" ht="15.75" customHeight="1" x14ac:dyDescent="0.3">
      <c r="A91" s="15" t="s">
        <v>153</v>
      </c>
      <c r="B91" s="23" t="s">
        <v>183</v>
      </c>
      <c r="C91" s="15">
        <v>80</v>
      </c>
      <c r="D91" s="18">
        <v>6.89</v>
      </c>
      <c r="E91" s="15">
        <v>24.3</v>
      </c>
      <c r="F91" s="15">
        <v>0.87</v>
      </c>
      <c r="G91" s="15">
        <v>100</v>
      </c>
      <c r="H91" s="15"/>
      <c r="I91" s="17">
        <v>3</v>
      </c>
      <c r="J91" s="1">
        <v>2</v>
      </c>
      <c r="K91" s="1">
        <v>2</v>
      </c>
    </row>
    <row r="92" spans="1:11" ht="15.75" customHeight="1" x14ac:dyDescent="0.3">
      <c r="A92" s="15" t="s">
        <v>153</v>
      </c>
      <c r="B92" s="23" t="s">
        <v>186</v>
      </c>
      <c r="C92" s="15">
        <v>95</v>
      </c>
      <c r="D92" s="18">
        <v>1.44</v>
      </c>
      <c r="E92" s="15">
        <v>25.1</v>
      </c>
      <c r="F92" s="15">
        <v>0</v>
      </c>
      <c r="G92" s="15">
        <v>100</v>
      </c>
      <c r="H92" s="15">
        <v>1420</v>
      </c>
      <c r="I92" s="17">
        <v>6</v>
      </c>
      <c r="J92" s="1">
        <v>2</v>
      </c>
      <c r="K92" s="1">
        <v>7</v>
      </c>
    </row>
    <row r="93" spans="1:11" ht="15.75" customHeight="1" x14ac:dyDescent="0.3">
      <c r="A93" s="15" t="s">
        <v>153</v>
      </c>
      <c r="B93" s="23" t="s">
        <v>186</v>
      </c>
      <c r="C93" s="15">
        <v>99</v>
      </c>
      <c r="D93" s="18">
        <v>0.54</v>
      </c>
      <c r="E93" s="15">
        <v>21.9</v>
      </c>
      <c r="F93" s="15">
        <v>0</v>
      </c>
      <c r="G93" s="15">
        <v>100</v>
      </c>
      <c r="H93" s="15">
        <v>1420</v>
      </c>
      <c r="I93" s="17">
        <v>6</v>
      </c>
      <c r="J93" s="1">
        <v>3</v>
      </c>
      <c r="K93" s="1">
        <v>3</v>
      </c>
    </row>
    <row r="94" spans="1:11" ht="15.75" customHeight="1" x14ac:dyDescent="0.3">
      <c r="A94" s="15" t="s">
        <v>153</v>
      </c>
      <c r="B94" s="23" t="s">
        <v>186</v>
      </c>
      <c r="C94" s="15">
        <v>99</v>
      </c>
      <c r="D94" s="18">
        <v>0.63</v>
      </c>
      <c r="E94" s="15">
        <v>25.1</v>
      </c>
      <c r="F94" s="15">
        <v>0</v>
      </c>
      <c r="G94" s="15">
        <v>100</v>
      </c>
      <c r="H94" s="15"/>
      <c r="I94" s="17">
        <v>6</v>
      </c>
      <c r="J94" s="1">
        <v>3</v>
      </c>
      <c r="K94" s="1">
        <v>8</v>
      </c>
    </row>
    <row r="95" spans="1:11" ht="15.75" customHeight="1" x14ac:dyDescent="0.3">
      <c r="A95" s="15" t="s">
        <v>153</v>
      </c>
      <c r="B95" s="23" t="s">
        <v>186</v>
      </c>
      <c r="C95" s="15">
        <v>99</v>
      </c>
      <c r="D95" s="18">
        <v>1.67</v>
      </c>
      <c r="E95" s="15">
        <v>25.2</v>
      </c>
      <c r="F95" s="15">
        <v>0</v>
      </c>
      <c r="G95" s="15">
        <v>100</v>
      </c>
      <c r="H95" s="15"/>
      <c r="I95" s="17">
        <v>6</v>
      </c>
      <c r="J95" s="1">
        <v>3</v>
      </c>
      <c r="K95" s="1">
        <v>4</v>
      </c>
    </row>
    <row r="96" spans="1:11" ht="15.75" customHeight="1" x14ac:dyDescent="0.3">
      <c r="A96" s="15" t="s">
        <v>158</v>
      </c>
      <c r="B96" s="23" t="s">
        <v>176</v>
      </c>
      <c r="C96" s="15">
        <v>96</v>
      </c>
      <c r="D96" s="18">
        <v>1.1399999999999999</v>
      </c>
      <c r="E96" s="15">
        <v>26.4</v>
      </c>
      <c r="F96" s="15">
        <v>0</v>
      </c>
      <c r="G96" s="15">
        <v>22</v>
      </c>
      <c r="H96" s="15">
        <v>550</v>
      </c>
      <c r="I96" s="17">
        <v>4</v>
      </c>
      <c r="J96" s="1">
        <v>4</v>
      </c>
      <c r="K96" s="1">
        <v>7</v>
      </c>
    </row>
    <row r="97" spans="1:11" ht="15.75" customHeight="1" x14ac:dyDescent="0.3">
      <c r="A97" s="15" t="s">
        <v>158</v>
      </c>
      <c r="B97" s="23" t="s">
        <v>176</v>
      </c>
      <c r="C97" s="15">
        <v>99</v>
      </c>
      <c r="D97" s="18">
        <v>8.51</v>
      </c>
      <c r="E97" s="15">
        <v>26.5</v>
      </c>
      <c r="F97" s="15">
        <v>0</v>
      </c>
      <c r="G97" s="15">
        <v>36.659999999999997</v>
      </c>
      <c r="H97" s="15"/>
      <c r="I97" s="17">
        <v>4</v>
      </c>
      <c r="J97" s="1">
        <v>9</v>
      </c>
      <c r="K97" s="1">
        <v>9</v>
      </c>
    </row>
    <row r="98" spans="1:11" ht="15.75" customHeight="1" x14ac:dyDescent="0.3">
      <c r="A98" s="15" t="s">
        <v>158</v>
      </c>
      <c r="B98" s="23" t="s">
        <v>176</v>
      </c>
      <c r="C98" s="15">
        <v>99</v>
      </c>
      <c r="D98" s="18">
        <v>8.52</v>
      </c>
      <c r="E98" s="15">
        <v>26.5</v>
      </c>
      <c r="F98" s="15">
        <v>0</v>
      </c>
      <c r="G98" s="15">
        <v>100</v>
      </c>
      <c r="H98" s="15"/>
      <c r="I98" s="17">
        <v>4</v>
      </c>
      <c r="J98" s="1">
        <v>5</v>
      </c>
      <c r="K98" s="1">
        <v>6</v>
      </c>
    </row>
    <row r="99" spans="1:11" ht="15.75" customHeight="1" x14ac:dyDescent="0.3">
      <c r="A99" s="15" t="s">
        <v>158</v>
      </c>
      <c r="B99" s="23" t="s">
        <v>178</v>
      </c>
      <c r="C99" s="15">
        <v>99</v>
      </c>
      <c r="D99" s="18">
        <v>6.93</v>
      </c>
      <c r="E99" s="15">
        <v>23.5</v>
      </c>
      <c r="F99" s="15">
        <v>0</v>
      </c>
      <c r="G99" s="15">
        <v>98</v>
      </c>
      <c r="H99" s="15"/>
      <c r="I99" s="17">
        <v>3</v>
      </c>
      <c r="J99" s="1">
        <v>7</v>
      </c>
      <c r="K99" s="1">
        <v>7</v>
      </c>
    </row>
    <row r="100" spans="1:11" ht="15.75" customHeight="1" x14ac:dyDescent="0.3">
      <c r="A100" s="15" t="s">
        <v>158</v>
      </c>
      <c r="B100" s="23" t="s">
        <v>178</v>
      </c>
      <c r="C100" s="15">
        <v>99</v>
      </c>
      <c r="D100" s="18">
        <v>6.8</v>
      </c>
      <c r="E100" s="15">
        <v>23.5</v>
      </c>
      <c r="F100" s="15">
        <v>0</v>
      </c>
      <c r="G100" s="15">
        <v>100</v>
      </c>
      <c r="H100" s="15"/>
      <c r="I100" s="17">
        <v>3</v>
      </c>
      <c r="J100" s="1">
        <v>1</v>
      </c>
      <c r="K100" s="1">
        <v>1</v>
      </c>
    </row>
    <row r="101" spans="1:11" ht="15.75" customHeight="1" x14ac:dyDescent="0.3">
      <c r="A101" s="15" t="s">
        <v>158</v>
      </c>
      <c r="B101" s="23" t="s">
        <v>200</v>
      </c>
      <c r="C101" s="15">
        <v>89</v>
      </c>
      <c r="D101" s="18">
        <v>2.74</v>
      </c>
      <c r="E101" s="15">
        <v>23.5</v>
      </c>
      <c r="F101" s="15">
        <v>0</v>
      </c>
      <c r="G101" s="15">
        <v>0</v>
      </c>
      <c r="H101" s="15">
        <v>700</v>
      </c>
      <c r="I101" s="17">
        <v>5</v>
      </c>
      <c r="J101" s="1">
        <v>13</v>
      </c>
      <c r="K101" s="1">
        <v>16</v>
      </c>
    </row>
    <row r="102" spans="1:11" ht="15.75" customHeight="1" x14ac:dyDescent="0.3">
      <c r="A102" s="15" t="s">
        <v>158</v>
      </c>
      <c r="B102" s="23" t="s">
        <v>200</v>
      </c>
      <c r="C102" s="15">
        <v>99</v>
      </c>
      <c r="D102" s="18">
        <v>0.32</v>
      </c>
      <c r="E102" s="15">
        <v>21.5</v>
      </c>
      <c r="F102" s="15">
        <v>0</v>
      </c>
      <c r="G102" s="15">
        <v>100</v>
      </c>
      <c r="H102" s="15"/>
      <c r="I102" s="17">
        <v>5</v>
      </c>
      <c r="J102" s="1">
        <v>3</v>
      </c>
      <c r="K102" s="1">
        <v>3</v>
      </c>
    </row>
    <row r="103" spans="1:11" ht="15.75" customHeight="1" x14ac:dyDescent="0.3">
      <c r="A103" s="15" t="s">
        <v>158</v>
      </c>
      <c r="B103" s="23" t="s">
        <v>200</v>
      </c>
      <c r="C103" s="15">
        <v>87</v>
      </c>
      <c r="D103" s="18">
        <v>0.03</v>
      </c>
      <c r="E103" s="15">
        <v>23.2</v>
      </c>
      <c r="F103" s="15">
        <v>0</v>
      </c>
      <c r="G103" s="15">
        <v>100</v>
      </c>
      <c r="H103" s="15"/>
      <c r="I103" s="17">
        <v>5</v>
      </c>
      <c r="J103" s="1">
        <v>3</v>
      </c>
      <c r="K103" s="1">
        <v>3</v>
      </c>
    </row>
    <row r="104" spans="1:11" ht="15.75" customHeight="1" x14ac:dyDescent="0.3">
      <c r="A104" s="15" t="s">
        <v>158</v>
      </c>
      <c r="B104" s="23" t="s">
        <v>200</v>
      </c>
      <c r="C104" s="15">
        <v>85</v>
      </c>
      <c r="D104" s="18">
        <v>0.04</v>
      </c>
      <c r="E104" s="15">
        <v>23.2</v>
      </c>
      <c r="F104" s="15">
        <v>0</v>
      </c>
      <c r="G104" s="15">
        <v>50</v>
      </c>
      <c r="H104" s="15"/>
      <c r="I104" s="17">
        <v>5</v>
      </c>
      <c r="J104" s="1">
        <v>1</v>
      </c>
      <c r="K104" s="1">
        <v>1</v>
      </c>
    </row>
    <row r="105" spans="1:11" ht="15.75" customHeight="1" x14ac:dyDescent="0.3">
      <c r="A105" s="15" t="s">
        <v>158</v>
      </c>
      <c r="B105" s="23" t="s">
        <v>180</v>
      </c>
      <c r="C105" s="15">
        <v>88</v>
      </c>
      <c r="D105" s="18">
        <v>0.69</v>
      </c>
      <c r="E105" s="15">
        <v>23.4</v>
      </c>
      <c r="F105" s="15">
        <v>6</v>
      </c>
      <c r="G105" s="15">
        <v>100</v>
      </c>
      <c r="H105" s="15">
        <v>700</v>
      </c>
      <c r="I105" s="17">
        <v>5</v>
      </c>
      <c r="J105" s="1">
        <v>8</v>
      </c>
      <c r="K105" s="1">
        <v>9</v>
      </c>
    </row>
    <row r="106" spans="1:11" ht="15.75" customHeight="1" x14ac:dyDescent="0.3">
      <c r="A106" s="15" t="s">
        <v>158</v>
      </c>
      <c r="B106" s="23" t="s">
        <v>180</v>
      </c>
      <c r="C106" s="15">
        <v>88</v>
      </c>
      <c r="D106" s="18">
        <v>1.86</v>
      </c>
      <c r="E106" s="15">
        <v>27.2</v>
      </c>
      <c r="F106" s="15">
        <v>0.6</v>
      </c>
      <c r="G106" s="15">
        <v>100</v>
      </c>
      <c r="H106" s="15"/>
      <c r="I106" s="17">
        <v>5</v>
      </c>
      <c r="J106" s="1">
        <v>4</v>
      </c>
      <c r="K106" s="1">
        <v>4</v>
      </c>
    </row>
    <row r="107" spans="1:11" ht="15.75" customHeight="1" x14ac:dyDescent="0.3">
      <c r="A107" s="15" t="s">
        <v>158</v>
      </c>
      <c r="B107" s="23" t="s">
        <v>181</v>
      </c>
      <c r="C107" s="15">
        <v>80</v>
      </c>
      <c r="D107" s="18">
        <v>51.6</v>
      </c>
      <c r="E107" s="15">
        <v>28.7</v>
      </c>
      <c r="F107" s="15">
        <v>2.5</v>
      </c>
      <c r="G107" s="15">
        <v>0</v>
      </c>
      <c r="H107" s="15">
        <v>700</v>
      </c>
      <c r="I107" s="17">
        <v>3</v>
      </c>
      <c r="J107" s="1">
        <v>5</v>
      </c>
      <c r="K107" s="1">
        <v>5</v>
      </c>
    </row>
    <row r="108" spans="1:11" ht="15.75" customHeight="1" x14ac:dyDescent="0.3">
      <c r="A108" s="15" t="s">
        <v>158</v>
      </c>
      <c r="B108" s="23" t="s">
        <v>198</v>
      </c>
      <c r="C108" s="15">
        <v>71</v>
      </c>
      <c r="D108" s="18">
        <v>7.17</v>
      </c>
      <c r="E108" s="15">
        <v>26.1</v>
      </c>
      <c r="F108" s="15">
        <v>1.9</v>
      </c>
      <c r="G108" s="15">
        <v>0</v>
      </c>
      <c r="H108" s="15">
        <v>700</v>
      </c>
      <c r="I108" s="17">
        <v>3</v>
      </c>
      <c r="J108" s="1">
        <v>9</v>
      </c>
      <c r="K108" s="1">
        <v>11</v>
      </c>
    </row>
    <row r="109" spans="1:11" ht="15.75" customHeight="1" x14ac:dyDescent="0.3">
      <c r="A109" s="15" t="s">
        <v>158</v>
      </c>
      <c r="B109" s="23" t="s">
        <v>198</v>
      </c>
      <c r="C109" s="15">
        <v>74</v>
      </c>
      <c r="D109" s="18">
        <v>7.5</v>
      </c>
      <c r="E109" s="15">
        <v>26</v>
      </c>
      <c r="F109" s="15">
        <v>0</v>
      </c>
      <c r="G109" s="15">
        <v>100</v>
      </c>
      <c r="H109" s="15"/>
      <c r="I109" s="17">
        <v>3</v>
      </c>
      <c r="J109" s="1">
        <v>1</v>
      </c>
      <c r="K109" s="1">
        <v>1</v>
      </c>
    </row>
    <row r="110" spans="1:11" ht="15.75" customHeight="1" x14ac:dyDescent="0.3">
      <c r="A110" s="15" t="s">
        <v>158</v>
      </c>
      <c r="B110" s="23" t="s">
        <v>198</v>
      </c>
      <c r="C110" s="15">
        <v>54</v>
      </c>
      <c r="D110" s="18">
        <v>10.85</v>
      </c>
      <c r="E110" s="15">
        <v>28.3</v>
      </c>
      <c r="F110" s="15">
        <v>1.45</v>
      </c>
      <c r="G110" s="15">
        <v>35</v>
      </c>
      <c r="H110" s="15"/>
      <c r="I110" s="17">
        <v>3</v>
      </c>
      <c r="J110" s="1">
        <v>4</v>
      </c>
      <c r="K110" s="1">
        <v>4</v>
      </c>
    </row>
    <row r="111" spans="1:11" ht="15.75" customHeight="1" x14ac:dyDescent="0.3">
      <c r="A111" s="15" t="s">
        <v>158</v>
      </c>
      <c r="B111" s="23" t="s">
        <v>183</v>
      </c>
      <c r="C111" s="15">
        <v>77</v>
      </c>
      <c r="D111" s="18">
        <v>19</v>
      </c>
      <c r="E111" s="15">
        <v>23.9</v>
      </c>
      <c r="F111" s="15">
        <v>0</v>
      </c>
      <c r="G111" s="15">
        <v>100</v>
      </c>
      <c r="H111" s="15"/>
      <c r="I111" s="17">
        <v>3</v>
      </c>
      <c r="J111" s="1">
        <v>4</v>
      </c>
      <c r="K111" s="1">
        <v>13</v>
      </c>
    </row>
    <row r="112" spans="1:11" ht="15.75" customHeight="1" x14ac:dyDescent="0.3">
      <c r="A112" s="15" t="s">
        <v>158</v>
      </c>
      <c r="B112" s="23" t="s">
        <v>183</v>
      </c>
      <c r="C112" s="15">
        <v>99</v>
      </c>
      <c r="D112" s="18">
        <v>29.59</v>
      </c>
      <c r="E112" s="15">
        <v>24.9</v>
      </c>
      <c r="F112" s="15">
        <v>0.65</v>
      </c>
      <c r="G112" s="15">
        <v>99</v>
      </c>
      <c r="H112" s="15">
        <v>700</v>
      </c>
      <c r="I112" s="17">
        <v>3</v>
      </c>
      <c r="J112" s="1">
        <v>4</v>
      </c>
      <c r="K112" s="1">
        <v>7</v>
      </c>
    </row>
    <row r="113" spans="1:11" ht="15.75" customHeight="1" x14ac:dyDescent="0.3">
      <c r="A113" s="15" t="s">
        <v>158</v>
      </c>
      <c r="B113" s="23" t="s">
        <v>183</v>
      </c>
      <c r="C113" s="15">
        <v>74</v>
      </c>
      <c r="D113" s="18">
        <v>1.52</v>
      </c>
      <c r="E113" s="15">
        <v>19.829999999999998</v>
      </c>
      <c r="F113" s="15">
        <v>0.85</v>
      </c>
      <c r="G113" s="15">
        <v>100</v>
      </c>
      <c r="H113" s="15"/>
      <c r="I113" s="17">
        <v>3</v>
      </c>
      <c r="J113" s="1">
        <v>2</v>
      </c>
      <c r="K113" s="1">
        <v>2</v>
      </c>
    </row>
    <row r="114" spans="1:11" ht="15.75" customHeight="1" x14ac:dyDescent="0.3">
      <c r="A114" s="15" t="s">
        <v>158</v>
      </c>
      <c r="B114" s="23" t="s">
        <v>186</v>
      </c>
      <c r="C114" s="15">
        <v>95</v>
      </c>
      <c r="D114" s="18">
        <v>0.4</v>
      </c>
      <c r="E114" s="15">
        <v>17.100000000000001</v>
      </c>
      <c r="F114" s="15">
        <v>0</v>
      </c>
      <c r="G114" s="15">
        <v>0</v>
      </c>
      <c r="H114" s="15">
        <v>700</v>
      </c>
      <c r="I114" s="17">
        <v>6</v>
      </c>
      <c r="J114" s="1">
        <v>10</v>
      </c>
      <c r="K114" s="1">
        <v>33</v>
      </c>
    </row>
    <row r="115" spans="1:11" ht="15.75" customHeight="1" x14ac:dyDescent="0.3">
      <c r="A115" s="15" t="s">
        <v>158</v>
      </c>
      <c r="B115" s="23" t="s">
        <v>186</v>
      </c>
      <c r="C115" s="15">
        <v>95</v>
      </c>
      <c r="D115" s="18">
        <v>0.42</v>
      </c>
      <c r="E115" s="15">
        <v>17.2</v>
      </c>
      <c r="F115" s="15">
        <v>0</v>
      </c>
      <c r="G115" s="15">
        <v>100</v>
      </c>
      <c r="H115" s="15"/>
      <c r="I115" s="17">
        <v>6</v>
      </c>
      <c r="J115" s="1">
        <v>1</v>
      </c>
      <c r="K115" s="1">
        <v>1</v>
      </c>
    </row>
    <row r="116" spans="1:11" ht="15.75" customHeight="1" x14ac:dyDescent="0.3">
      <c r="A116" s="15" t="s">
        <v>158</v>
      </c>
      <c r="B116" s="23" t="s">
        <v>186</v>
      </c>
      <c r="C116" s="15">
        <v>95</v>
      </c>
      <c r="D116" s="18">
        <v>0.41</v>
      </c>
      <c r="E116" s="15">
        <v>17.100000000000001</v>
      </c>
      <c r="F116" s="15">
        <v>0</v>
      </c>
      <c r="G116" s="15">
        <v>100</v>
      </c>
      <c r="H116" s="15">
        <v>700</v>
      </c>
      <c r="I116" s="17">
        <v>6</v>
      </c>
      <c r="J116" s="1">
        <v>8</v>
      </c>
      <c r="K116" s="1">
        <v>11</v>
      </c>
    </row>
    <row r="117" spans="1:11" ht="15.75" customHeight="1" x14ac:dyDescent="0.3">
      <c r="A117" s="15" t="s">
        <v>158</v>
      </c>
      <c r="B117" s="23" t="s">
        <v>186</v>
      </c>
      <c r="C117" s="15">
        <v>87</v>
      </c>
      <c r="D117" s="18">
        <v>0.16</v>
      </c>
      <c r="E117" s="15">
        <v>20.2</v>
      </c>
      <c r="F117" s="15">
        <v>0</v>
      </c>
      <c r="G117" s="15">
        <v>100</v>
      </c>
      <c r="H117" s="15"/>
      <c r="I117" s="17">
        <v>6</v>
      </c>
      <c r="J117" s="1">
        <v>6</v>
      </c>
      <c r="K117" s="1">
        <v>6</v>
      </c>
    </row>
    <row r="118" spans="1:11" ht="15.75" customHeight="1" x14ac:dyDescent="0.3">
      <c r="A118" s="15" t="s">
        <v>164</v>
      </c>
      <c r="B118" s="23" t="s">
        <v>176</v>
      </c>
      <c r="C118" s="15">
        <v>89</v>
      </c>
      <c r="D118" s="18">
        <v>1.36</v>
      </c>
      <c r="E118" s="15">
        <v>23.18</v>
      </c>
      <c r="F118" s="15">
        <v>0</v>
      </c>
      <c r="G118" s="15">
        <v>100</v>
      </c>
      <c r="H118" s="15"/>
      <c r="I118" s="17">
        <v>4</v>
      </c>
      <c r="J118" s="1">
        <v>8</v>
      </c>
      <c r="K118" s="1">
        <v>11</v>
      </c>
    </row>
    <row r="119" spans="1:11" ht="15.75" customHeight="1" x14ac:dyDescent="0.3">
      <c r="A119" s="15" t="s">
        <v>164</v>
      </c>
      <c r="B119" s="23" t="s">
        <v>177</v>
      </c>
      <c r="C119" s="15">
        <v>94</v>
      </c>
      <c r="D119" s="18">
        <v>7.68</v>
      </c>
      <c r="E119" s="15">
        <v>26.7</v>
      </c>
      <c r="F119" s="15">
        <v>0.75</v>
      </c>
      <c r="G119" s="15">
        <v>100</v>
      </c>
      <c r="H119" s="15"/>
      <c r="I119" s="17">
        <v>3</v>
      </c>
      <c r="J119" s="1">
        <v>6</v>
      </c>
      <c r="K119" s="1">
        <v>8</v>
      </c>
    </row>
    <row r="120" spans="1:11" ht="15.75" customHeight="1" x14ac:dyDescent="0.3">
      <c r="A120" s="15" t="s">
        <v>164</v>
      </c>
      <c r="B120" s="23" t="s">
        <v>177</v>
      </c>
      <c r="C120" s="15">
        <v>90</v>
      </c>
      <c r="D120" s="18">
        <v>1.5</v>
      </c>
      <c r="E120" s="15">
        <v>23.4</v>
      </c>
      <c r="F120" s="15">
        <v>0</v>
      </c>
      <c r="G120" s="15">
        <v>100</v>
      </c>
      <c r="H120" s="15"/>
      <c r="I120" s="17">
        <v>3</v>
      </c>
      <c r="J120" s="1">
        <v>1</v>
      </c>
      <c r="K120" s="1">
        <v>1</v>
      </c>
    </row>
    <row r="121" spans="1:11" ht="15.75" customHeight="1" x14ac:dyDescent="0.3">
      <c r="A121" s="15" t="s">
        <v>164</v>
      </c>
      <c r="B121" s="23" t="s">
        <v>200</v>
      </c>
      <c r="C121" s="15">
        <v>91</v>
      </c>
      <c r="D121" s="18">
        <v>1.1499999999999999</v>
      </c>
      <c r="E121" s="15">
        <v>24.4</v>
      </c>
      <c r="F121" s="15">
        <v>0</v>
      </c>
      <c r="G121" s="15">
        <v>100</v>
      </c>
      <c r="H121" s="15">
        <v>480</v>
      </c>
      <c r="I121" s="17">
        <v>5</v>
      </c>
      <c r="J121" s="1">
        <v>8</v>
      </c>
      <c r="K121" s="1">
        <v>8</v>
      </c>
    </row>
    <row r="122" spans="1:11" ht="15.75" customHeight="1" x14ac:dyDescent="0.3">
      <c r="A122" s="15" t="s">
        <v>164</v>
      </c>
      <c r="B122" s="23" t="s">
        <v>200</v>
      </c>
      <c r="C122" s="15">
        <v>94</v>
      </c>
      <c r="D122" s="18">
        <v>1.2</v>
      </c>
      <c r="E122" s="15">
        <v>24.4</v>
      </c>
      <c r="F122" s="15">
        <v>0</v>
      </c>
      <c r="G122" s="15">
        <v>100</v>
      </c>
      <c r="H122" s="15"/>
      <c r="I122" s="17">
        <v>5</v>
      </c>
      <c r="J122" s="1">
        <v>1</v>
      </c>
      <c r="K122" s="1">
        <v>1</v>
      </c>
    </row>
    <row r="123" spans="1:11" ht="15.75" customHeight="1" x14ac:dyDescent="0.3">
      <c r="A123" s="15" t="s">
        <v>164</v>
      </c>
      <c r="B123" s="23" t="s">
        <v>200</v>
      </c>
      <c r="C123" s="15">
        <v>85</v>
      </c>
      <c r="D123" s="18">
        <v>1.3</v>
      </c>
      <c r="E123" s="15">
        <v>24.4</v>
      </c>
      <c r="F123" s="15">
        <v>0</v>
      </c>
      <c r="G123" s="15">
        <v>100</v>
      </c>
      <c r="H123" s="15"/>
      <c r="I123" s="17">
        <v>5</v>
      </c>
      <c r="J123" s="1">
        <v>8</v>
      </c>
      <c r="K123" s="1">
        <v>8</v>
      </c>
    </row>
    <row r="124" spans="1:11" ht="15.75" customHeight="1" x14ac:dyDescent="0.3">
      <c r="A124" s="15" t="s">
        <v>164</v>
      </c>
      <c r="B124" s="23" t="s">
        <v>180</v>
      </c>
      <c r="C124" s="15">
        <v>91</v>
      </c>
      <c r="D124" s="18">
        <v>0.57999999999999996</v>
      </c>
      <c r="E124" s="15">
        <v>26.4</v>
      </c>
      <c r="F124" s="15">
        <v>0</v>
      </c>
      <c r="G124" s="15">
        <v>100</v>
      </c>
      <c r="H124" s="15">
        <v>780</v>
      </c>
      <c r="I124" s="17">
        <v>5</v>
      </c>
      <c r="J124" s="1">
        <v>10</v>
      </c>
      <c r="K124" s="1">
        <v>10</v>
      </c>
    </row>
    <row r="125" spans="1:11" ht="15.75" customHeight="1" x14ac:dyDescent="0.3">
      <c r="A125" s="15" t="s">
        <v>164</v>
      </c>
      <c r="B125" s="23" t="s">
        <v>180</v>
      </c>
      <c r="C125" s="15">
        <v>91</v>
      </c>
      <c r="D125" s="18">
        <v>0.81</v>
      </c>
      <c r="E125" s="15">
        <v>23.28</v>
      </c>
      <c r="F125" s="15">
        <v>0</v>
      </c>
      <c r="G125" s="15">
        <v>100</v>
      </c>
      <c r="H125" s="15">
        <v>480</v>
      </c>
      <c r="I125" s="17">
        <v>5</v>
      </c>
      <c r="J125" s="1">
        <v>5</v>
      </c>
      <c r="K125" s="1">
        <v>5</v>
      </c>
    </row>
    <row r="126" spans="1:11" ht="15.75" customHeight="1" x14ac:dyDescent="0.3">
      <c r="A126" s="15" t="s">
        <v>164</v>
      </c>
      <c r="B126" s="23" t="s">
        <v>181</v>
      </c>
      <c r="C126" s="15">
        <v>91</v>
      </c>
      <c r="D126" s="18">
        <v>0.81</v>
      </c>
      <c r="E126" s="15">
        <v>23.3</v>
      </c>
      <c r="F126" s="15">
        <v>0</v>
      </c>
      <c r="G126" s="15">
        <v>100</v>
      </c>
      <c r="H126" s="15"/>
      <c r="I126" s="17">
        <v>3</v>
      </c>
      <c r="J126" s="1">
        <v>1</v>
      </c>
      <c r="K126" s="1">
        <v>2</v>
      </c>
    </row>
    <row r="127" spans="1:11" ht="15.75" customHeight="1" x14ac:dyDescent="0.3">
      <c r="A127" s="15" t="s">
        <v>164</v>
      </c>
      <c r="B127" s="23" t="s">
        <v>181</v>
      </c>
      <c r="C127" s="15">
        <v>99</v>
      </c>
      <c r="D127" s="18">
        <v>85.6</v>
      </c>
      <c r="E127" s="15">
        <v>28.5</v>
      </c>
      <c r="F127" s="15">
        <v>1.2</v>
      </c>
      <c r="G127" s="15">
        <v>100</v>
      </c>
      <c r="H127" s="15">
        <v>780</v>
      </c>
      <c r="I127" s="17">
        <v>3</v>
      </c>
      <c r="J127" s="1">
        <v>1</v>
      </c>
      <c r="K127" s="1">
        <v>1</v>
      </c>
    </row>
    <row r="128" spans="1:11" ht="15.75" customHeight="1" x14ac:dyDescent="0.3">
      <c r="A128" s="15" t="s">
        <v>164</v>
      </c>
      <c r="B128" s="23" t="s">
        <v>181</v>
      </c>
      <c r="C128" s="15">
        <v>91</v>
      </c>
      <c r="D128" s="18">
        <v>13.15</v>
      </c>
      <c r="E128" s="15">
        <v>26.13</v>
      </c>
      <c r="F128" s="15">
        <v>0</v>
      </c>
      <c r="G128" s="15">
        <v>100</v>
      </c>
      <c r="H128" s="15">
        <v>480</v>
      </c>
      <c r="I128" s="17">
        <v>3</v>
      </c>
      <c r="J128" s="1">
        <v>3</v>
      </c>
      <c r="K128" s="1">
        <v>3</v>
      </c>
    </row>
    <row r="129" spans="1:11" ht="15.75" customHeight="1" x14ac:dyDescent="0.3">
      <c r="A129" s="15" t="s">
        <v>164</v>
      </c>
      <c r="B129" s="23" t="s">
        <v>198</v>
      </c>
      <c r="C129" s="15">
        <v>75</v>
      </c>
      <c r="D129" s="18">
        <v>17.2</v>
      </c>
      <c r="E129" s="15">
        <v>28</v>
      </c>
      <c r="F129" s="15">
        <v>0</v>
      </c>
      <c r="G129" s="15">
        <v>100</v>
      </c>
      <c r="H129" s="15"/>
      <c r="I129" s="17">
        <v>3</v>
      </c>
      <c r="J129" s="1">
        <v>2</v>
      </c>
      <c r="K129" s="1">
        <v>2</v>
      </c>
    </row>
    <row r="130" spans="1:11" s="44" customFormat="1" ht="15.75" customHeight="1" x14ac:dyDescent="0.3">
      <c r="A130" s="39" t="s">
        <v>164</v>
      </c>
      <c r="B130" s="40" t="s">
        <v>198</v>
      </c>
      <c r="C130" s="39">
        <v>93</v>
      </c>
      <c r="D130" s="42">
        <v>14.5</v>
      </c>
      <c r="E130" s="39">
        <v>28.73</v>
      </c>
      <c r="F130" s="39">
        <v>0</v>
      </c>
      <c r="G130" s="39">
        <v>100</v>
      </c>
      <c r="H130" s="39">
        <v>480</v>
      </c>
      <c r="I130" s="43">
        <v>3</v>
      </c>
      <c r="J130" s="44">
        <v>6</v>
      </c>
      <c r="K130" s="44">
        <v>9</v>
      </c>
    </row>
    <row r="131" spans="1:11" ht="15.75" customHeight="1" x14ac:dyDescent="0.3">
      <c r="A131" s="15" t="s">
        <v>164</v>
      </c>
      <c r="B131" s="23" t="s">
        <v>198</v>
      </c>
      <c r="C131" s="15">
        <v>74</v>
      </c>
      <c r="D131" s="18">
        <v>18</v>
      </c>
      <c r="E131" s="15">
        <v>28</v>
      </c>
      <c r="F131" s="15">
        <v>0</v>
      </c>
      <c r="G131" s="15">
        <v>2</v>
      </c>
      <c r="H131" s="15"/>
      <c r="I131" s="17">
        <v>3</v>
      </c>
      <c r="J131" s="1">
        <v>2</v>
      </c>
      <c r="K131" s="1">
        <v>2</v>
      </c>
    </row>
    <row r="132" spans="1:11" ht="15.75" customHeight="1" x14ac:dyDescent="0.3">
      <c r="A132" s="15" t="s">
        <v>164</v>
      </c>
      <c r="B132" s="23" t="s">
        <v>183</v>
      </c>
      <c r="C132" s="15">
        <v>89</v>
      </c>
      <c r="D132" s="18">
        <v>7.61</v>
      </c>
      <c r="E132" s="15">
        <v>23.8</v>
      </c>
      <c r="F132" s="15">
        <v>0.75</v>
      </c>
      <c r="G132" s="15">
        <v>100</v>
      </c>
      <c r="H132" s="15"/>
      <c r="I132" s="17">
        <v>3</v>
      </c>
      <c r="J132" s="1">
        <v>5</v>
      </c>
      <c r="K132" s="1">
        <v>10</v>
      </c>
    </row>
    <row r="133" spans="1:11" ht="15.75" customHeight="1" x14ac:dyDescent="0.3">
      <c r="A133" s="15" t="s">
        <v>164</v>
      </c>
      <c r="B133" s="23" t="s">
        <v>183</v>
      </c>
      <c r="C133" s="15">
        <v>81</v>
      </c>
      <c r="D133" s="18">
        <v>5.23</v>
      </c>
      <c r="E133" s="15">
        <v>27.03</v>
      </c>
      <c r="F133" s="15">
        <v>0</v>
      </c>
      <c r="G133" s="15">
        <v>100</v>
      </c>
      <c r="H133" s="15">
        <v>480</v>
      </c>
      <c r="I133" s="17">
        <v>3</v>
      </c>
      <c r="J133" s="1">
        <v>4</v>
      </c>
      <c r="K133" s="1">
        <v>5</v>
      </c>
    </row>
    <row r="134" spans="1:11" ht="15.75" customHeight="1" x14ac:dyDescent="0.3">
      <c r="A134" s="15" t="s">
        <v>164</v>
      </c>
      <c r="B134" s="23" t="s">
        <v>186</v>
      </c>
      <c r="C134" s="15">
        <v>86</v>
      </c>
      <c r="D134" s="18">
        <v>0.14000000000000001</v>
      </c>
      <c r="E134" s="15">
        <v>18.55</v>
      </c>
      <c r="F134" s="15">
        <v>0</v>
      </c>
      <c r="G134" s="15">
        <v>100</v>
      </c>
      <c r="H134" s="15"/>
      <c r="I134" s="17">
        <v>6</v>
      </c>
      <c r="J134" s="1">
        <v>5</v>
      </c>
      <c r="K134" s="1">
        <v>5</v>
      </c>
    </row>
    <row r="135" spans="1:11" ht="15.75" customHeight="1" x14ac:dyDescent="0.3">
      <c r="A135" s="15" t="s">
        <v>164</v>
      </c>
      <c r="B135" s="23" t="s">
        <v>186</v>
      </c>
      <c r="C135" s="15">
        <v>87</v>
      </c>
      <c r="D135" s="18">
        <v>0.15</v>
      </c>
      <c r="E135" s="15">
        <v>15.2</v>
      </c>
      <c r="F135" s="15">
        <v>0</v>
      </c>
      <c r="G135" s="15">
        <v>100</v>
      </c>
      <c r="H135" s="15"/>
      <c r="I135" s="17">
        <v>6</v>
      </c>
      <c r="J135" s="1">
        <v>3</v>
      </c>
      <c r="K135" s="1">
        <v>3</v>
      </c>
    </row>
    <row r="136" spans="1:11" ht="15.75" customHeight="1" x14ac:dyDescent="0.3">
      <c r="A136" s="15" t="s">
        <v>164</v>
      </c>
      <c r="B136" s="23" t="s">
        <v>186</v>
      </c>
      <c r="C136" s="15">
        <v>83</v>
      </c>
      <c r="D136" s="18">
        <v>0.20499999999999999</v>
      </c>
      <c r="E136" s="15">
        <v>24.8</v>
      </c>
      <c r="F136" s="15">
        <v>0</v>
      </c>
      <c r="G136" s="15">
        <v>100</v>
      </c>
      <c r="H136" s="15">
        <v>480</v>
      </c>
      <c r="I136" s="17">
        <v>6</v>
      </c>
      <c r="J136" s="1">
        <v>0</v>
      </c>
      <c r="K136" s="1">
        <v>0</v>
      </c>
    </row>
    <row r="137" spans="1:11" ht="15.75" customHeight="1" x14ac:dyDescent="0.3">
      <c r="A137" s="15" t="s">
        <v>168</v>
      </c>
      <c r="B137" s="15" t="s">
        <v>176</v>
      </c>
      <c r="C137" s="15">
        <v>92</v>
      </c>
      <c r="D137" s="18">
        <v>0.14000000000000001</v>
      </c>
      <c r="E137" s="15">
        <v>22.5</v>
      </c>
      <c r="F137" s="15">
        <v>0</v>
      </c>
      <c r="G137" s="15">
        <v>100</v>
      </c>
      <c r="H137" s="15">
        <v>480</v>
      </c>
      <c r="I137" s="17">
        <v>4</v>
      </c>
      <c r="J137" s="1">
        <v>6</v>
      </c>
      <c r="K137" s="1">
        <v>11</v>
      </c>
    </row>
    <row r="138" spans="1:11" ht="15.75" customHeight="1" x14ac:dyDescent="0.3">
      <c r="A138" s="15" t="s">
        <v>168</v>
      </c>
      <c r="B138" s="15" t="s">
        <v>176</v>
      </c>
      <c r="C138" s="15">
        <v>92</v>
      </c>
      <c r="D138" s="18">
        <v>0.14000000000000001</v>
      </c>
      <c r="E138" s="15">
        <v>22.5</v>
      </c>
      <c r="F138" s="15">
        <v>0</v>
      </c>
      <c r="G138" s="15">
        <v>60</v>
      </c>
      <c r="H138" s="15"/>
      <c r="I138" s="17">
        <v>4</v>
      </c>
      <c r="J138" s="1">
        <v>1</v>
      </c>
      <c r="K138" s="1">
        <v>2</v>
      </c>
    </row>
    <row r="139" spans="1:11" ht="15.75" customHeight="1" x14ac:dyDescent="0.3">
      <c r="A139" s="15" t="s">
        <v>168</v>
      </c>
      <c r="B139" s="15" t="s">
        <v>177</v>
      </c>
      <c r="C139" s="15">
        <v>97</v>
      </c>
      <c r="D139" s="18">
        <v>4.5999999999999996</v>
      </c>
      <c r="E139" s="15">
        <v>24.3</v>
      </c>
      <c r="F139" s="15">
        <v>0</v>
      </c>
      <c r="G139" s="15">
        <v>100</v>
      </c>
      <c r="H139" s="15">
        <v>480</v>
      </c>
      <c r="I139" s="17">
        <v>3</v>
      </c>
      <c r="J139" s="1">
        <v>17</v>
      </c>
      <c r="K139" s="1">
        <v>24</v>
      </c>
    </row>
    <row r="140" spans="1:11" ht="15.75" customHeight="1" x14ac:dyDescent="0.3">
      <c r="A140" s="15" t="s">
        <v>168</v>
      </c>
      <c r="B140" s="15" t="s">
        <v>200</v>
      </c>
      <c r="C140" s="15">
        <v>99</v>
      </c>
      <c r="D140" s="18">
        <v>24.2</v>
      </c>
      <c r="E140" s="15">
        <v>26.1</v>
      </c>
      <c r="F140" s="15">
        <v>0</v>
      </c>
      <c r="G140" s="15">
        <v>60</v>
      </c>
      <c r="H140" s="15"/>
      <c r="I140" s="17">
        <v>5</v>
      </c>
      <c r="J140" s="1">
        <v>1</v>
      </c>
      <c r="K140" s="1">
        <v>1</v>
      </c>
    </row>
    <row r="141" spans="1:11" ht="15.75" customHeight="1" x14ac:dyDescent="0.3">
      <c r="A141" s="15" t="s">
        <v>168</v>
      </c>
      <c r="B141" s="15" t="s">
        <v>200</v>
      </c>
      <c r="C141" s="15">
        <v>99</v>
      </c>
      <c r="D141" s="18">
        <v>24.2</v>
      </c>
      <c r="E141" s="15">
        <v>26.1</v>
      </c>
      <c r="F141" s="15">
        <v>0</v>
      </c>
      <c r="G141" s="15">
        <v>35</v>
      </c>
      <c r="H141" s="15">
        <v>480</v>
      </c>
      <c r="I141" s="17">
        <v>5</v>
      </c>
      <c r="J141" s="1">
        <v>11</v>
      </c>
      <c r="K141" s="1">
        <v>11</v>
      </c>
    </row>
    <row r="142" spans="1:11" ht="15.75" customHeight="1" x14ac:dyDescent="0.3">
      <c r="A142" s="15" t="s">
        <v>168</v>
      </c>
      <c r="B142" s="15" t="s">
        <v>200</v>
      </c>
      <c r="C142" s="15">
        <v>84</v>
      </c>
      <c r="D142" s="18">
        <v>0.17</v>
      </c>
      <c r="E142" s="15">
        <v>24</v>
      </c>
      <c r="F142" s="15">
        <v>0</v>
      </c>
      <c r="G142" s="15">
        <v>100</v>
      </c>
      <c r="H142" s="15"/>
      <c r="I142" s="17">
        <v>5</v>
      </c>
      <c r="J142" s="1">
        <v>2</v>
      </c>
      <c r="K142" s="1">
        <v>2</v>
      </c>
    </row>
    <row r="143" spans="1:11" ht="15.75" customHeight="1" x14ac:dyDescent="0.3">
      <c r="A143" s="15" t="s">
        <v>168</v>
      </c>
      <c r="B143" s="15" t="s">
        <v>180</v>
      </c>
      <c r="C143" s="15">
        <v>97</v>
      </c>
      <c r="D143" s="18">
        <v>1.08</v>
      </c>
      <c r="E143" s="15">
        <v>25.4</v>
      </c>
      <c r="F143" s="15">
        <v>0</v>
      </c>
      <c r="G143" s="15">
        <v>100</v>
      </c>
      <c r="H143" s="15"/>
      <c r="I143" s="17">
        <v>5</v>
      </c>
      <c r="J143" s="1">
        <v>6</v>
      </c>
      <c r="K143" s="1">
        <v>8</v>
      </c>
    </row>
    <row r="144" spans="1:11" ht="15.75" customHeight="1" x14ac:dyDescent="0.3">
      <c r="A144" s="15" t="s">
        <v>168</v>
      </c>
      <c r="B144" s="15" t="s">
        <v>180</v>
      </c>
      <c r="C144" s="15">
        <v>97</v>
      </c>
      <c r="D144" s="18">
        <v>1.08</v>
      </c>
      <c r="E144" s="15">
        <v>25.4</v>
      </c>
      <c r="F144" s="15">
        <v>0</v>
      </c>
      <c r="G144" s="15">
        <v>65</v>
      </c>
      <c r="H144" s="15">
        <v>480</v>
      </c>
      <c r="I144" s="17">
        <v>5</v>
      </c>
      <c r="J144" s="1">
        <v>9</v>
      </c>
      <c r="K144" s="1">
        <v>9</v>
      </c>
    </row>
    <row r="145" spans="1:11" ht="15.75" customHeight="1" x14ac:dyDescent="0.3">
      <c r="A145" s="15" t="s">
        <v>168</v>
      </c>
      <c r="B145" s="1" t="s">
        <v>180</v>
      </c>
      <c r="C145" s="1">
        <v>80</v>
      </c>
      <c r="D145" s="46">
        <v>0.04</v>
      </c>
      <c r="E145" s="1">
        <v>25.3</v>
      </c>
      <c r="F145" s="1">
        <v>0</v>
      </c>
      <c r="G145" s="1">
        <v>100</v>
      </c>
      <c r="H145" s="15"/>
      <c r="I145" s="2">
        <v>5</v>
      </c>
      <c r="J145" s="1">
        <v>0</v>
      </c>
      <c r="K145" s="1">
        <v>0</v>
      </c>
    </row>
    <row r="146" spans="1:11" ht="15.75" customHeight="1" x14ac:dyDescent="0.3">
      <c r="A146" s="15" t="s">
        <v>168</v>
      </c>
      <c r="B146" s="1" t="s">
        <v>181</v>
      </c>
      <c r="C146" s="1">
        <v>87</v>
      </c>
      <c r="D146" s="46">
        <v>9.8000000000000007</v>
      </c>
      <c r="E146" s="1">
        <v>34.5</v>
      </c>
      <c r="F146" s="1">
        <v>0</v>
      </c>
      <c r="G146" s="1">
        <v>90</v>
      </c>
      <c r="I146" s="2">
        <v>3</v>
      </c>
      <c r="J146" s="1">
        <v>4</v>
      </c>
      <c r="K146" s="1">
        <v>4</v>
      </c>
    </row>
    <row r="147" spans="1:11" ht="15.75" customHeight="1" x14ac:dyDescent="0.3">
      <c r="A147" s="15" t="s">
        <v>168</v>
      </c>
      <c r="B147" s="1" t="s">
        <v>181</v>
      </c>
      <c r="C147" s="1">
        <v>87</v>
      </c>
      <c r="D147" s="46">
        <v>9.8000000000000007</v>
      </c>
      <c r="E147" s="1">
        <v>34.5</v>
      </c>
      <c r="F147" s="1">
        <v>0</v>
      </c>
      <c r="G147" s="1">
        <v>0</v>
      </c>
      <c r="H147" s="1">
        <v>480</v>
      </c>
      <c r="I147" s="2">
        <v>3</v>
      </c>
      <c r="J147" s="1">
        <v>3</v>
      </c>
      <c r="K147" s="1">
        <v>3</v>
      </c>
    </row>
    <row r="148" spans="1:11" ht="15.75" customHeight="1" x14ac:dyDescent="0.3">
      <c r="A148" s="15" t="s">
        <v>168</v>
      </c>
      <c r="B148" s="1" t="s">
        <v>181</v>
      </c>
      <c r="C148" s="1">
        <v>80</v>
      </c>
      <c r="D148" s="46">
        <v>1.5</v>
      </c>
      <c r="E148" s="1">
        <v>26.9</v>
      </c>
      <c r="F148" s="1">
        <v>0</v>
      </c>
      <c r="G148" s="1">
        <v>100</v>
      </c>
      <c r="I148" s="2">
        <v>3</v>
      </c>
      <c r="J148" s="1">
        <v>3</v>
      </c>
      <c r="K148" s="1">
        <v>4</v>
      </c>
    </row>
    <row r="149" spans="1:11" ht="15.75" customHeight="1" x14ac:dyDescent="0.3">
      <c r="A149" s="15" t="s">
        <v>168</v>
      </c>
      <c r="B149" s="1" t="s">
        <v>198</v>
      </c>
      <c r="C149" s="1">
        <v>81</v>
      </c>
      <c r="D149" s="46">
        <v>36.6</v>
      </c>
      <c r="E149" s="1">
        <v>31.4</v>
      </c>
      <c r="F149" s="1">
        <v>0.8</v>
      </c>
      <c r="G149" s="1">
        <v>96</v>
      </c>
      <c r="H149" s="1">
        <v>480</v>
      </c>
      <c r="I149" s="2">
        <v>3</v>
      </c>
      <c r="J149" s="1">
        <v>7</v>
      </c>
      <c r="K149" s="1">
        <v>7</v>
      </c>
    </row>
    <row r="150" spans="1:11" ht="15.75" customHeight="1" x14ac:dyDescent="0.3">
      <c r="A150" s="15" t="s">
        <v>168</v>
      </c>
      <c r="B150" s="1" t="s">
        <v>198</v>
      </c>
      <c r="C150" s="1">
        <v>79</v>
      </c>
      <c r="D150" s="46">
        <v>13.35</v>
      </c>
      <c r="E150" s="1">
        <v>29.2</v>
      </c>
      <c r="F150" s="1">
        <v>0</v>
      </c>
      <c r="G150" s="1">
        <v>100</v>
      </c>
      <c r="I150" s="2">
        <v>3</v>
      </c>
      <c r="J150" s="1">
        <v>2</v>
      </c>
      <c r="K150" s="1">
        <v>2</v>
      </c>
    </row>
    <row r="151" spans="1:11" ht="15.75" customHeight="1" x14ac:dyDescent="0.3">
      <c r="A151" s="15" t="s">
        <v>168</v>
      </c>
      <c r="B151" s="1" t="s">
        <v>183</v>
      </c>
      <c r="C151" s="1">
        <v>89</v>
      </c>
      <c r="D151" s="46">
        <v>1.1000000000000001</v>
      </c>
      <c r="E151" s="1">
        <v>22.3</v>
      </c>
      <c r="F151" s="1">
        <v>0</v>
      </c>
      <c r="G151" s="1">
        <v>2</v>
      </c>
      <c r="I151" s="2">
        <v>3</v>
      </c>
      <c r="J151" s="1">
        <v>7</v>
      </c>
      <c r="K151" s="1">
        <v>10</v>
      </c>
    </row>
    <row r="152" spans="1:11" ht="15.75" customHeight="1" x14ac:dyDescent="0.3">
      <c r="A152" s="15" t="s">
        <v>168</v>
      </c>
      <c r="B152" s="1" t="s">
        <v>183</v>
      </c>
      <c r="C152" s="1">
        <v>89</v>
      </c>
      <c r="D152" s="46">
        <v>1</v>
      </c>
      <c r="E152" s="1">
        <v>22.2</v>
      </c>
      <c r="F152" s="1">
        <v>0</v>
      </c>
      <c r="G152" s="1">
        <v>100</v>
      </c>
      <c r="H152" s="1">
        <v>1420</v>
      </c>
      <c r="I152" s="2">
        <v>3</v>
      </c>
      <c r="J152" s="1">
        <v>4</v>
      </c>
      <c r="K152" s="1">
        <v>4</v>
      </c>
    </row>
    <row r="153" spans="1:11" ht="15.75" customHeight="1" x14ac:dyDescent="0.3">
      <c r="A153" s="15" t="s">
        <v>168</v>
      </c>
      <c r="B153" s="1" t="s">
        <v>183</v>
      </c>
      <c r="C153" s="1">
        <v>72</v>
      </c>
      <c r="D153" s="1">
        <v>0.75</v>
      </c>
      <c r="E153" s="1">
        <v>25</v>
      </c>
      <c r="F153" s="1">
        <v>0.9</v>
      </c>
      <c r="G153" s="1">
        <v>100</v>
      </c>
      <c r="I153" s="2">
        <v>3</v>
      </c>
      <c r="J153" s="1">
        <v>2</v>
      </c>
      <c r="K153" s="1">
        <v>3</v>
      </c>
    </row>
    <row r="154" spans="1:11" ht="15.75" customHeight="1" x14ac:dyDescent="0.3">
      <c r="A154" s="15" t="s">
        <v>168</v>
      </c>
      <c r="B154" s="1" t="s">
        <v>186</v>
      </c>
      <c r="C154" s="1">
        <v>76</v>
      </c>
      <c r="D154" s="46">
        <v>1.53</v>
      </c>
      <c r="E154" s="1">
        <v>25.4</v>
      </c>
      <c r="F154" s="1">
        <v>0</v>
      </c>
      <c r="G154" s="1">
        <v>100</v>
      </c>
      <c r="H154" s="1">
        <v>1420</v>
      </c>
      <c r="I154" s="2">
        <v>6</v>
      </c>
      <c r="J154" s="1">
        <v>4</v>
      </c>
      <c r="K154" s="1">
        <v>5</v>
      </c>
    </row>
    <row r="155" spans="1:11" ht="15.75" customHeight="1" x14ac:dyDescent="0.3">
      <c r="A155" s="1" t="s">
        <v>172</v>
      </c>
      <c r="B155" s="1" t="s">
        <v>176</v>
      </c>
      <c r="C155" s="1">
        <v>81</v>
      </c>
      <c r="D155" s="46">
        <v>1.6</v>
      </c>
      <c r="E155" s="1">
        <v>26.5</v>
      </c>
      <c r="F155" s="1">
        <v>0</v>
      </c>
      <c r="G155" s="1">
        <v>30</v>
      </c>
      <c r="I155" s="2">
        <v>4</v>
      </c>
      <c r="J155" s="1">
        <v>12</v>
      </c>
      <c r="K155" s="1">
        <v>18</v>
      </c>
    </row>
    <row r="156" spans="1:11" ht="15.75" customHeight="1" x14ac:dyDescent="0.3">
      <c r="A156" s="1" t="s">
        <v>172</v>
      </c>
      <c r="B156" s="1" t="s">
        <v>177</v>
      </c>
      <c r="C156" s="1">
        <v>96</v>
      </c>
      <c r="D156" s="46">
        <v>1.1299999999999999</v>
      </c>
      <c r="E156" s="1">
        <v>26.4</v>
      </c>
      <c r="F156" s="1">
        <v>0</v>
      </c>
      <c r="G156" s="1">
        <v>100</v>
      </c>
      <c r="I156" s="2">
        <v>3</v>
      </c>
      <c r="J156" s="1">
        <v>5</v>
      </c>
      <c r="K156" s="1">
        <v>5</v>
      </c>
    </row>
    <row r="157" spans="1:11" ht="15.75" customHeight="1" x14ac:dyDescent="0.3">
      <c r="A157" s="1" t="s">
        <v>172</v>
      </c>
      <c r="B157" s="1" t="s">
        <v>200</v>
      </c>
      <c r="C157" s="1">
        <v>99</v>
      </c>
      <c r="D157" s="46">
        <v>0.28000000000000003</v>
      </c>
      <c r="E157" s="1">
        <v>23.5</v>
      </c>
      <c r="F157" s="1">
        <v>0</v>
      </c>
      <c r="G157" s="1">
        <v>100</v>
      </c>
      <c r="H157" s="1">
        <v>650</v>
      </c>
      <c r="I157" s="2">
        <v>5</v>
      </c>
      <c r="J157" s="1">
        <v>7</v>
      </c>
      <c r="K157" s="1">
        <v>10</v>
      </c>
    </row>
    <row r="158" spans="1:11" ht="15.75" customHeight="1" x14ac:dyDescent="0.3">
      <c r="A158" s="1" t="s">
        <v>172</v>
      </c>
      <c r="B158" s="1" t="s">
        <v>180</v>
      </c>
      <c r="C158" s="1">
        <v>96</v>
      </c>
      <c r="D158" s="46">
        <v>0.64</v>
      </c>
      <c r="E158" s="1">
        <v>24.9</v>
      </c>
      <c r="F158" s="1">
        <v>0</v>
      </c>
      <c r="G158" s="1">
        <v>100</v>
      </c>
      <c r="H158" s="1">
        <v>650</v>
      </c>
      <c r="I158" s="2">
        <v>5</v>
      </c>
      <c r="J158" s="1">
        <v>9</v>
      </c>
      <c r="K158" s="1">
        <v>9</v>
      </c>
    </row>
    <row r="159" spans="1:11" ht="15.75" customHeight="1" x14ac:dyDescent="0.3">
      <c r="A159" s="1" t="s">
        <v>172</v>
      </c>
      <c r="B159" s="1" t="s">
        <v>181</v>
      </c>
      <c r="C159" s="1">
        <v>98</v>
      </c>
      <c r="D159" s="46">
        <v>2.2799999999999998</v>
      </c>
      <c r="E159" s="1">
        <v>23.7</v>
      </c>
      <c r="F159" s="1">
        <v>0</v>
      </c>
      <c r="G159" s="1">
        <v>100</v>
      </c>
      <c r="H159" s="1">
        <v>650</v>
      </c>
      <c r="I159" s="2">
        <v>3</v>
      </c>
      <c r="J159" s="1">
        <v>4</v>
      </c>
      <c r="K159" s="1">
        <v>4</v>
      </c>
    </row>
    <row r="160" spans="1:11" ht="15.75" customHeight="1" x14ac:dyDescent="0.3">
      <c r="A160" s="1" t="s">
        <v>172</v>
      </c>
      <c r="B160" s="1" t="s">
        <v>198</v>
      </c>
      <c r="C160" s="1">
        <v>99</v>
      </c>
      <c r="D160" s="46">
        <v>7.2350000000000003</v>
      </c>
      <c r="E160" s="1">
        <v>24.6</v>
      </c>
      <c r="F160" s="1">
        <v>1.4</v>
      </c>
      <c r="G160" s="1">
        <v>100</v>
      </c>
      <c r="H160" s="1">
        <v>650</v>
      </c>
      <c r="I160" s="2">
        <v>3</v>
      </c>
      <c r="J160" s="1">
        <v>10</v>
      </c>
      <c r="K160" s="1">
        <v>16</v>
      </c>
    </row>
    <row r="161" spans="1:11" ht="15.75" customHeight="1" x14ac:dyDescent="0.3">
      <c r="A161" s="1" t="s">
        <v>172</v>
      </c>
      <c r="B161" s="1" t="s">
        <v>183</v>
      </c>
      <c r="C161" s="1">
        <v>92</v>
      </c>
      <c r="D161" s="46">
        <v>44.68</v>
      </c>
      <c r="E161" s="1">
        <v>23.2</v>
      </c>
      <c r="F161" s="1">
        <v>0.6</v>
      </c>
      <c r="G161" s="1">
        <v>0</v>
      </c>
      <c r="I161" s="2">
        <v>3</v>
      </c>
      <c r="J161" s="1">
        <v>8</v>
      </c>
      <c r="K161" s="1">
        <v>9</v>
      </c>
    </row>
    <row r="162" spans="1:11" ht="15.75" customHeight="1" x14ac:dyDescent="0.3">
      <c r="A162" s="1" t="s">
        <v>172</v>
      </c>
      <c r="B162" s="1" t="s">
        <v>183</v>
      </c>
      <c r="C162" s="1">
        <v>84</v>
      </c>
      <c r="D162" s="46">
        <v>0.5</v>
      </c>
      <c r="E162" s="1">
        <v>25.9</v>
      </c>
      <c r="F162" s="1">
        <v>0</v>
      </c>
      <c r="G162" s="1">
        <v>100</v>
      </c>
      <c r="I162" s="2">
        <v>3</v>
      </c>
      <c r="J162" s="1">
        <v>4</v>
      </c>
      <c r="K162" s="1">
        <v>4</v>
      </c>
    </row>
    <row r="163" spans="1:11" ht="15.75" customHeight="1" x14ac:dyDescent="0.3">
      <c r="A163" s="1" t="s">
        <v>172</v>
      </c>
      <c r="B163" s="1" t="s">
        <v>186</v>
      </c>
      <c r="C163" s="1">
        <v>83</v>
      </c>
      <c r="D163" s="46">
        <v>1.1299999999999999</v>
      </c>
      <c r="E163" s="1">
        <v>25.5</v>
      </c>
      <c r="F163" s="1">
        <v>0</v>
      </c>
      <c r="G163" s="1">
        <v>100</v>
      </c>
      <c r="I163" s="2">
        <v>6</v>
      </c>
      <c r="J163" s="1">
        <v>9</v>
      </c>
      <c r="K163" s="1">
        <v>19</v>
      </c>
    </row>
    <row r="164" spans="1:11" ht="15.75" customHeight="1" x14ac:dyDescent="0.3">
      <c r="D164" s="46"/>
    </row>
    <row r="165" spans="1:11" ht="15.75" customHeight="1" x14ac:dyDescent="0.3">
      <c r="D165" s="46"/>
    </row>
    <row r="166" spans="1:11" ht="15.75" customHeight="1" x14ac:dyDescent="0.3">
      <c r="D166" s="46"/>
    </row>
    <row r="167" spans="1:11" ht="15.75" customHeight="1" x14ac:dyDescent="0.3">
      <c r="D167" s="46"/>
    </row>
    <row r="168" spans="1:11" ht="15.75" customHeight="1" x14ac:dyDescent="0.3">
      <c r="D168" s="46"/>
    </row>
    <row r="169" spans="1:11" ht="15.75" customHeight="1" x14ac:dyDescent="0.3">
      <c r="D169" s="46"/>
    </row>
    <row r="170" spans="1:11" ht="15.75" customHeight="1" x14ac:dyDescent="0.3">
      <c r="D170" s="46"/>
    </row>
    <row r="171" spans="1:11" ht="15.75" customHeight="1" x14ac:dyDescent="0.3">
      <c r="D171" s="46"/>
    </row>
    <row r="172" spans="1:11" ht="15.75" customHeight="1" x14ac:dyDescent="0.3">
      <c r="D172" s="46"/>
    </row>
    <row r="173" spans="1:11" ht="15.75" customHeight="1" x14ac:dyDescent="0.3">
      <c r="D173" s="46"/>
    </row>
    <row r="174" spans="1:11" ht="15.75" customHeight="1" x14ac:dyDescent="0.3">
      <c r="D174" s="46"/>
    </row>
    <row r="175" spans="1:11" ht="15.75" customHeight="1" x14ac:dyDescent="0.3">
      <c r="D175" s="46"/>
    </row>
    <row r="176" spans="1:11" ht="15.75" customHeight="1" x14ac:dyDescent="0.3">
      <c r="D176" s="46"/>
    </row>
    <row r="177" spans="4:4" ht="15.75" customHeight="1" x14ac:dyDescent="0.3">
      <c r="D177" s="46"/>
    </row>
    <row r="178" spans="4:4" ht="15.75" customHeight="1" x14ac:dyDescent="0.3">
      <c r="D178" s="46"/>
    </row>
    <row r="179" spans="4:4" ht="15.75" customHeight="1" x14ac:dyDescent="0.3">
      <c r="D179" s="46"/>
    </row>
    <row r="180" spans="4:4" ht="15.75" customHeight="1" x14ac:dyDescent="0.3">
      <c r="D180" s="46"/>
    </row>
    <row r="181" spans="4:4" ht="15.75" customHeight="1" x14ac:dyDescent="0.3">
      <c r="D181" s="46"/>
    </row>
    <row r="182" spans="4:4" ht="15.75" customHeight="1" x14ac:dyDescent="0.3">
      <c r="D182" s="46"/>
    </row>
    <row r="183" spans="4:4" ht="15.75" customHeight="1" x14ac:dyDescent="0.3">
      <c r="D183" s="46"/>
    </row>
    <row r="184" spans="4:4" ht="15.75" customHeight="1" x14ac:dyDescent="0.3">
      <c r="D184" s="46"/>
    </row>
    <row r="185" spans="4:4" ht="15.75" customHeight="1" x14ac:dyDescent="0.3">
      <c r="D185" s="46"/>
    </row>
    <row r="186" spans="4:4" ht="15.75" customHeight="1" x14ac:dyDescent="0.3">
      <c r="D186" s="46"/>
    </row>
    <row r="187" spans="4:4" ht="15.75" customHeight="1" x14ac:dyDescent="0.3">
      <c r="D187" s="46"/>
    </row>
    <row r="188" spans="4:4" ht="15.75" customHeight="1" x14ac:dyDescent="0.3">
      <c r="D188" s="46"/>
    </row>
    <row r="189" spans="4:4" ht="15.75" customHeight="1" x14ac:dyDescent="0.3">
      <c r="D189" s="46"/>
    </row>
    <row r="190" spans="4:4" ht="15.75" customHeight="1" x14ac:dyDescent="0.3">
      <c r="D190" s="46"/>
    </row>
    <row r="191" spans="4:4" ht="15.75" customHeight="1" x14ac:dyDescent="0.3">
      <c r="D191" s="46"/>
    </row>
    <row r="192" spans="4:4" ht="15.75" customHeight="1" x14ac:dyDescent="0.3">
      <c r="D192" s="46"/>
    </row>
    <row r="193" spans="4:4" ht="15.75" customHeight="1" x14ac:dyDescent="0.3">
      <c r="D193" s="46"/>
    </row>
    <row r="194" spans="4:4" ht="15.75" customHeight="1" x14ac:dyDescent="0.3">
      <c r="D194" s="46"/>
    </row>
    <row r="195" spans="4:4" ht="15.75" customHeight="1" x14ac:dyDescent="0.3">
      <c r="D195" s="46"/>
    </row>
    <row r="196" spans="4:4" ht="15.75" customHeight="1" x14ac:dyDescent="0.3">
      <c r="D196" s="46"/>
    </row>
    <row r="197" spans="4:4" ht="15.75" customHeight="1" x14ac:dyDescent="0.3">
      <c r="D197" s="46"/>
    </row>
    <row r="198" spans="4:4" ht="15.75" customHeight="1" x14ac:dyDescent="0.3">
      <c r="D198" s="46"/>
    </row>
    <row r="199" spans="4:4" ht="15.75" customHeight="1" x14ac:dyDescent="0.3">
      <c r="D199" s="46"/>
    </row>
    <row r="200" spans="4:4" ht="15.75" customHeight="1" x14ac:dyDescent="0.3">
      <c r="D200" s="46"/>
    </row>
    <row r="201" spans="4:4" ht="15.75" customHeight="1" x14ac:dyDescent="0.3">
      <c r="D201" s="46"/>
    </row>
    <row r="202" spans="4:4" ht="15.75" customHeight="1" x14ac:dyDescent="0.3">
      <c r="D202" s="46"/>
    </row>
    <row r="203" spans="4:4" ht="15.75" customHeight="1" x14ac:dyDescent="0.3">
      <c r="D203" s="46"/>
    </row>
    <row r="204" spans="4:4" ht="15.75" customHeight="1" x14ac:dyDescent="0.3">
      <c r="D204" s="46"/>
    </row>
    <row r="205" spans="4:4" ht="15.75" customHeight="1" x14ac:dyDescent="0.3">
      <c r="D205" s="46"/>
    </row>
    <row r="206" spans="4:4" ht="15.75" customHeight="1" x14ac:dyDescent="0.3">
      <c r="D206" s="46"/>
    </row>
    <row r="207" spans="4:4" ht="15.75" customHeight="1" x14ac:dyDescent="0.3">
      <c r="D207" s="46"/>
    </row>
    <row r="208" spans="4:4" ht="15.75" customHeight="1" x14ac:dyDescent="0.3">
      <c r="D208" s="46"/>
    </row>
    <row r="209" spans="4:4" ht="15.75" customHeight="1" x14ac:dyDescent="0.3">
      <c r="D209" s="46"/>
    </row>
    <row r="210" spans="4:4" ht="15.75" customHeight="1" x14ac:dyDescent="0.3">
      <c r="D210" s="46"/>
    </row>
    <row r="211" spans="4:4" ht="15.75" customHeight="1" x14ac:dyDescent="0.3">
      <c r="D211" s="46"/>
    </row>
    <row r="212" spans="4:4" ht="15.75" customHeight="1" x14ac:dyDescent="0.3">
      <c r="D212" s="46"/>
    </row>
    <row r="213" spans="4:4" ht="15.75" customHeight="1" x14ac:dyDescent="0.3">
      <c r="D213" s="46"/>
    </row>
    <row r="214" spans="4:4" ht="15.75" customHeight="1" x14ac:dyDescent="0.3">
      <c r="D214" s="46"/>
    </row>
    <row r="215" spans="4:4" ht="15.75" customHeight="1" x14ac:dyDescent="0.3">
      <c r="D215" s="46"/>
    </row>
    <row r="216" spans="4:4" ht="15.75" customHeight="1" x14ac:dyDescent="0.3">
      <c r="D216" s="46"/>
    </row>
    <row r="217" spans="4:4" ht="15.75" customHeight="1" x14ac:dyDescent="0.3">
      <c r="D217" s="46"/>
    </row>
    <row r="218" spans="4:4" ht="15.75" customHeight="1" x14ac:dyDescent="0.3">
      <c r="D218" s="46"/>
    </row>
    <row r="219" spans="4:4" ht="15.75" customHeight="1" x14ac:dyDescent="0.3">
      <c r="D219" s="46"/>
    </row>
    <row r="220" spans="4:4" ht="15.75" customHeight="1" x14ac:dyDescent="0.3">
      <c r="D220" s="46"/>
    </row>
    <row r="221" spans="4:4" ht="15.75" customHeight="1" x14ac:dyDescent="0.3">
      <c r="D221" s="46"/>
    </row>
    <row r="222" spans="4:4" ht="15.75" customHeight="1" x14ac:dyDescent="0.3">
      <c r="D222" s="46"/>
    </row>
    <row r="223" spans="4:4" ht="15.75" customHeight="1" x14ac:dyDescent="0.3">
      <c r="D223" s="46"/>
    </row>
    <row r="224" spans="4:4" ht="15.75" customHeight="1" x14ac:dyDescent="0.3">
      <c r="D224" s="46"/>
    </row>
    <row r="225" spans="4:4" ht="15.75" customHeight="1" x14ac:dyDescent="0.3">
      <c r="D225" s="46"/>
    </row>
    <row r="226" spans="4:4" ht="15.75" customHeight="1" x14ac:dyDescent="0.3">
      <c r="D226" s="46"/>
    </row>
    <row r="227" spans="4:4" ht="15.75" customHeight="1" x14ac:dyDescent="0.3">
      <c r="D227" s="46"/>
    </row>
    <row r="228" spans="4:4" ht="15.75" customHeight="1" x14ac:dyDescent="0.3">
      <c r="D228" s="46"/>
    </row>
    <row r="229" spans="4:4" ht="15.75" customHeight="1" x14ac:dyDescent="0.3">
      <c r="D229" s="46"/>
    </row>
    <row r="230" spans="4:4" ht="15.75" customHeight="1" x14ac:dyDescent="0.3">
      <c r="D230" s="46"/>
    </row>
    <row r="231" spans="4:4" ht="15.75" customHeight="1" x14ac:dyDescent="0.3">
      <c r="D231" s="46"/>
    </row>
    <row r="232" spans="4:4" ht="15.75" customHeight="1" x14ac:dyDescent="0.3">
      <c r="D232" s="46"/>
    </row>
    <row r="233" spans="4:4" ht="15.75" customHeight="1" x14ac:dyDescent="0.3">
      <c r="D233" s="46"/>
    </row>
    <row r="234" spans="4:4" ht="15.75" customHeight="1" x14ac:dyDescent="0.3">
      <c r="D234" s="46"/>
    </row>
    <row r="235" spans="4:4" ht="15.75" customHeight="1" x14ac:dyDescent="0.3">
      <c r="D235" s="46"/>
    </row>
    <row r="236" spans="4:4" ht="15.75" customHeight="1" x14ac:dyDescent="0.3"/>
    <row r="237" spans="4:4" ht="15.75" customHeight="1" x14ac:dyDescent="0.3"/>
    <row r="238" spans="4:4" ht="15.75" customHeight="1" x14ac:dyDescent="0.3"/>
    <row r="239" spans="4:4" ht="15.75" customHeight="1" x14ac:dyDescent="0.3"/>
    <row r="240" spans="4:4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  <row r="1009" ht="15.75" customHeight="1" x14ac:dyDescent="0.3"/>
    <row r="1010" ht="15.75" customHeight="1" x14ac:dyDescent="0.3"/>
    <row r="1011" ht="15.75" customHeight="1" x14ac:dyDescent="0.3"/>
    <row r="1012" ht="15.75" customHeight="1" x14ac:dyDescent="0.3"/>
    <row r="1013" ht="15.75" customHeight="1" x14ac:dyDescent="0.3"/>
    <row r="1014" ht="15.75" customHeight="1" x14ac:dyDescent="0.3"/>
    <row r="1015" ht="15.75" customHeight="1" x14ac:dyDescent="0.3"/>
  </sheetData>
  <autoFilter ref="A2:K2" xr:uid="{00000000-0009-0000-0000-00000800000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898"/>
  <sheetViews>
    <sheetView topLeftCell="A2" zoomScale="80" workbookViewId="0">
      <selection activeCell="A2" sqref="A2:K2"/>
    </sheetView>
  </sheetViews>
  <sheetFormatPr defaultColWidth="12.77734375" defaultRowHeight="14.4" x14ac:dyDescent="0.3"/>
  <cols>
    <col min="1" max="1" width="7.21875" style="1" customWidth="1"/>
    <col min="2" max="2" width="14.77734375" style="1" customWidth="1"/>
    <col min="3" max="3" width="6.44140625" style="1" customWidth="1"/>
    <col min="4" max="4" width="8" style="1" customWidth="1"/>
    <col min="5" max="5" width="6.21875" style="1" customWidth="1"/>
    <col min="6" max="6" width="6" style="1" customWidth="1"/>
    <col min="7" max="7" width="10" style="1" customWidth="1"/>
    <col min="8" max="8" width="7.5546875" style="1" customWidth="1"/>
    <col min="9" max="9" width="11.44140625" style="2" customWidth="1"/>
    <col min="10" max="16384" width="12.77734375" style="1"/>
  </cols>
  <sheetData>
    <row r="1" spans="1:11" ht="15" hidden="1" customHeight="1" x14ac:dyDescent="0.3">
      <c r="I1" s="3"/>
    </row>
    <row r="2" spans="1:11" ht="120.6" x14ac:dyDescent="0.3">
      <c r="A2" s="6" t="s">
        <v>196</v>
      </c>
      <c r="B2" s="6" t="s">
        <v>187</v>
      </c>
      <c r="C2" s="7" t="s">
        <v>188</v>
      </c>
      <c r="D2" s="9" t="s">
        <v>189</v>
      </c>
      <c r="E2" s="7" t="s">
        <v>190</v>
      </c>
      <c r="F2" s="7" t="s">
        <v>191</v>
      </c>
      <c r="G2" s="7" t="s">
        <v>192</v>
      </c>
      <c r="H2" s="7" t="s">
        <v>197</v>
      </c>
      <c r="I2" s="8" t="s">
        <v>194</v>
      </c>
      <c r="J2" s="1" t="s">
        <v>195</v>
      </c>
      <c r="K2" s="1" t="s">
        <v>175</v>
      </c>
    </row>
    <row r="3" spans="1:11" ht="15.75" customHeight="1" x14ac:dyDescent="0.3">
      <c r="A3" s="15" t="s">
        <v>146</v>
      </c>
      <c r="B3" s="23" t="s">
        <v>200</v>
      </c>
      <c r="C3" s="15">
        <v>94</v>
      </c>
      <c r="D3" s="36">
        <v>0.5</v>
      </c>
      <c r="E3" s="15">
        <v>24.8</v>
      </c>
      <c r="F3" s="15">
        <v>0</v>
      </c>
      <c r="G3" s="15">
        <v>100</v>
      </c>
      <c r="H3" s="15">
        <v>870</v>
      </c>
      <c r="I3" s="17">
        <v>5</v>
      </c>
      <c r="J3" s="1">
        <v>2</v>
      </c>
      <c r="K3" s="1">
        <v>6</v>
      </c>
    </row>
    <row r="4" spans="1:11" ht="15.75" customHeight="1" x14ac:dyDescent="0.3">
      <c r="A4" s="15" t="s">
        <v>146</v>
      </c>
      <c r="B4" s="23" t="s">
        <v>181</v>
      </c>
      <c r="C4" s="15">
        <v>99</v>
      </c>
      <c r="D4" s="18">
        <v>7.59</v>
      </c>
      <c r="E4" s="15">
        <v>23.9</v>
      </c>
      <c r="F4" s="15">
        <v>0</v>
      </c>
      <c r="G4" s="15">
        <v>100</v>
      </c>
      <c r="H4" s="15">
        <v>870</v>
      </c>
      <c r="I4" s="17">
        <v>3</v>
      </c>
      <c r="J4" s="1">
        <v>5</v>
      </c>
      <c r="K4" s="1">
        <v>6</v>
      </c>
    </row>
    <row r="5" spans="1:11" ht="15.75" customHeight="1" x14ac:dyDescent="0.3">
      <c r="A5" s="15" t="s">
        <v>146</v>
      </c>
      <c r="B5" s="23" t="s">
        <v>198</v>
      </c>
      <c r="C5" s="15">
        <v>99</v>
      </c>
      <c r="D5" s="18">
        <v>13.05</v>
      </c>
      <c r="E5" s="15">
        <v>25.9</v>
      </c>
      <c r="F5" s="15">
        <v>0.45</v>
      </c>
      <c r="G5" s="15">
        <v>100</v>
      </c>
      <c r="H5" s="15">
        <v>870</v>
      </c>
      <c r="I5" s="17">
        <v>3</v>
      </c>
      <c r="J5" s="1">
        <v>4</v>
      </c>
      <c r="K5" s="1">
        <v>4</v>
      </c>
    </row>
    <row r="6" spans="1:11" ht="15.75" customHeight="1" x14ac:dyDescent="0.3">
      <c r="A6" s="15" t="s">
        <v>146</v>
      </c>
      <c r="B6" s="23" t="s">
        <v>183</v>
      </c>
      <c r="C6" s="15">
        <v>79</v>
      </c>
      <c r="D6" s="18">
        <v>15.5</v>
      </c>
      <c r="E6" s="15">
        <v>28.3</v>
      </c>
      <c r="F6" s="15">
        <v>0</v>
      </c>
      <c r="G6" s="15">
        <v>100</v>
      </c>
      <c r="H6" s="15">
        <v>1360</v>
      </c>
      <c r="I6" s="17">
        <v>3</v>
      </c>
      <c r="J6" s="1">
        <v>3</v>
      </c>
      <c r="K6" s="1">
        <v>3</v>
      </c>
    </row>
    <row r="7" spans="1:11" ht="15.75" customHeight="1" x14ac:dyDescent="0.3">
      <c r="A7" s="15" t="s">
        <v>146</v>
      </c>
      <c r="B7" s="23" t="s">
        <v>186</v>
      </c>
      <c r="C7" s="15">
        <v>79</v>
      </c>
      <c r="D7" s="18">
        <v>0.56999999999999995</v>
      </c>
      <c r="E7" s="15">
        <v>24.8</v>
      </c>
      <c r="F7" s="15">
        <v>0</v>
      </c>
      <c r="G7" s="15">
        <v>100</v>
      </c>
      <c r="H7" s="15">
        <v>1360</v>
      </c>
      <c r="I7" s="17">
        <v>6</v>
      </c>
      <c r="J7" s="1">
        <v>3</v>
      </c>
      <c r="K7" s="1">
        <v>4</v>
      </c>
    </row>
    <row r="8" spans="1:11" ht="15.75" customHeight="1" x14ac:dyDescent="0.3">
      <c r="A8" s="15" t="s">
        <v>153</v>
      </c>
      <c r="B8" s="23" t="s">
        <v>176</v>
      </c>
      <c r="C8" s="15">
        <v>99</v>
      </c>
      <c r="D8" s="18">
        <v>6.06</v>
      </c>
      <c r="E8" s="15">
        <v>25.35</v>
      </c>
      <c r="F8" s="15">
        <v>0</v>
      </c>
      <c r="G8" s="15">
        <v>100</v>
      </c>
      <c r="H8" s="15">
        <v>580</v>
      </c>
      <c r="I8" s="17">
        <v>4</v>
      </c>
      <c r="J8" s="1">
        <v>9</v>
      </c>
      <c r="K8" s="1">
        <v>9</v>
      </c>
    </row>
    <row r="9" spans="1:11" ht="15.75" customHeight="1" x14ac:dyDescent="0.3">
      <c r="A9" s="15" t="s">
        <v>153</v>
      </c>
      <c r="B9" s="23" t="s">
        <v>177</v>
      </c>
      <c r="C9" s="15">
        <v>98</v>
      </c>
      <c r="D9" s="18">
        <v>0.77</v>
      </c>
      <c r="E9" s="15">
        <v>22.6</v>
      </c>
      <c r="F9" s="15">
        <v>0</v>
      </c>
      <c r="G9" s="15">
        <v>100</v>
      </c>
      <c r="H9" s="15">
        <v>580</v>
      </c>
      <c r="I9" s="17">
        <v>3</v>
      </c>
      <c r="J9" s="1">
        <v>8</v>
      </c>
      <c r="K9" s="1">
        <v>14</v>
      </c>
    </row>
    <row r="10" spans="1:11" ht="15.75" customHeight="1" x14ac:dyDescent="0.3">
      <c r="A10" s="15" t="s">
        <v>153</v>
      </c>
      <c r="B10" s="23" t="s">
        <v>200</v>
      </c>
      <c r="C10" s="15">
        <v>98</v>
      </c>
      <c r="D10" s="18">
        <v>3.69</v>
      </c>
      <c r="E10" s="15">
        <v>22.35</v>
      </c>
      <c r="F10" s="15">
        <v>0</v>
      </c>
      <c r="G10" s="15">
        <v>0</v>
      </c>
      <c r="H10" s="15">
        <v>870</v>
      </c>
      <c r="I10" s="17">
        <v>5</v>
      </c>
      <c r="J10" s="1">
        <v>3</v>
      </c>
      <c r="K10" s="1">
        <v>7</v>
      </c>
    </row>
    <row r="11" spans="1:11" ht="15.75" customHeight="1" x14ac:dyDescent="0.3">
      <c r="A11" s="15" t="s">
        <v>153</v>
      </c>
      <c r="B11" s="23" t="s">
        <v>200</v>
      </c>
      <c r="C11" s="15">
        <v>98</v>
      </c>
      <c r="D11" s="18">
        <v>3.69</v>
      </c>
      <c r="E11" s="15">
        <v>22.35</v>
      </c>
      <c r="F11" s="15">
        <v>0</v>
      </c>
      <c r="G11" s="15">
        <v>0</v>
      </c>
      <c r="H11" s="15">
        <v>870</v>
      </c>
      <c r="I11" s="17">
        <v>5</v>
      </c>
      <c r="J11" s="1">
        <v>13</v>
      </c>
      <c r="K11" s="1">
        <v>14</v>
      </c>
    </row>
    <row r="12" spans="1:11" ht="15.75" customHeight="1" x14ac:dyDescent="0.3">
      <c r="A12" s="15" t="s">
        <v>153</v>
      </c>
      <c r="B12" s="23" t="s">
        <v>180</v>
      </c>
      <c r="C12" s="15">
        <v>85</v>
      </c>
      <c r="D12" s="18">
        <v>3.81</v>
      </c>
      <c r="E12" s="15">
        <v>25</v>
      </c>
      <c r="F12" s="15">
        <v>0</v>
      </c>
      <c r="G12" s="15">
        <v>78.33</v>
      </c>
      <c r="H12" s="15">
        <v>870</v>
      </c>
      <c r="I12" s="17">
        <v>5</v>
      </c>
      <c r="J12" s="1">
        <v>3</v>
      </c>
      <c r="K12" s="1">
        <v>3</v>
      </c>
    </row>
    <row r="13" spans="1:11" ht="15.75" customHeight="1" x14ac:dyDescent="0.3">
      <c r="A13" s="15" t="s">
        <v>153</v>
      </c>
      <c r="B13" s="23" t="s">
        <v>181</v>
      </c>
      <c r="C13" s="15">
        <v>85</v>
      </c>
      <c r="D13" s="18">
        <v>13.84</v>
      </c>
      <c r="E13" s="15">
        <v>26.7</v>
      </c>
      <c r="F13" s="15">
        <v>0</v>
      </c>
      <c r="G13" s="15">
        <v>100</v>
      </c>
      <c r="H13" s="15">
        <v>870</v>
      </c>
      <c r="I13" s="17">
        <v>3</v>
      </c>
      <c r="J13" s="1">
        <v>4</v>
      </c>
      <c r="K13" s="1">
        <v>6</v>
      </c>
    </row>
    <row r="14" spans="1:11" ht="15.75" customHeight="1" x14ac:dyDescent="0.3">
      <c r="A14" s="15" t="s">
        <v>153</v>
      </c>
      <c r="B14" s="23" t="s">
        <v>198</v>
      </c>
      <c r="C14" s="15">
        <v>90</v>
      </c>
      <c r="D14" s="18">
        <v>8.44</v>
      </c>
      <c r="E14" s="15">
        <v>27.4</v>
      </c>
      <c r="F14" s="15">
        <v>0.8</v>
      </c>
      <c r="G14" s="15">
        <v>100</v>
      </c>
      <c r="H14" s="15">
        <v>870</v>
      </c>
      <c r="I14" s="17">
        <v>3</v>
      </c>
      <c r="J14" s="1">
        <v>12</v>
      </c>
      <c r="K14" s="1">
        <v>17</v>
      </c>
    </row>
    <row r="15" spans="1:11" ht="15.75" customHeight="1" x14ac:dyDescent="0.3">
      <c r="A15" s="15" t="s">
        <v>153</v>
      </c>
      <c r="B15" s="23" t="s">
        <v>183</v>
      </c>
      <c r="C15" s="15">
        <v>95</v>
      </c>
      <c r="D15" s="18">
        <v>10.69</v>
      </c>
      <c r="E15" s="15">
        <v>22.8</v>
      </c>
      <c r="F15" s="15">
        <v>1.2</v>
      </c>
      <c r="G15" s="15">
        <v>100</v>
      </c>
      <c r="H15" s="15">
        <v>1100</v>
      </c>
      <c r="I15" s="17">
        <v>3</v>
      </c>
      <c r="J15" s="1">
        <v>4</v>
      </c>
      <c r="K15" s="1">
        <v>7</v>
      </c>
    </row>
    <row r="16" spans="1:11" ht="15.75" customHeight="1" x14ac:dyDescent="0.3">
      <c r="A16" s="15" t="s">
        <v>153</v>
      </c>
      <c r="B16" s="23" t="s">
        <v>183</v>
      </c>
      <c r="C16" s="15">
        <v>95</v>
      </c>
      <c r="D16" s="18">
        <v>5.99</v>
      </c>
      <c r="E16" s="15">
        <v>25.7</v>
      </c>
      <c r="F16" s="15">
        <v>0</v>
      </c>
      <c r="G16" s="15">
        <v>100</v>
      </c>
      <c r="H16" s="15">
        <v>1420</v>
      </c>
      <c r="I16" s="17">
        <v>3</v>
      </c>
      <c r="J16" s="1">
        <v>5</v>
      </c>
      <c r="K16" s="1">
        <v>7</v>
      </c>
    </row>
    <row r="17" spans="1:11" ht="15.75" customHeight="1" x14ac:dyDescent="0.3">
      <c r="A17" s="15" t="s">
        <v>153</v>
      </c>
      <c r="B17" s="23" t="s">
        <v>186</v>
      </c>
      <c r="C17" s="15">
        <v>95</v>
      </c>
      <c r="D17" s="18">
        <v>1.44</v>
      </c>
      <c r="E17" s="15">
        <v>25.1</v>
      </c>
      <c r="F17" s="15">
        <v>0</v>
      </c>
      <c r="G17" s="15">
        <v>100</v>
      </c>
      <c r="H17" s="15">
        <v>1420</v>
      </c>
      <c r="I17" s="17">
        <v>6</v>
      </c>
      <c r="J17" s="1">
        <v>2</v>
      </c>
      <c r="K17" s="1">
        <v>7</v>
      </c>
    </row>
    <row r="18" spans="1:11" ht="15.75" customHeight="1" x14ac:dyDescent="0.3">
      <c r="A18" s="15" t="s">
        <v>153</v>
      </c>
      <c r="B18" s="23" t="s">
        <v>186</v>
      </c>
      <c r="C18" s="15">
        <v>99</v>
      </c>
      <c r="D18" s="18">
        <v>0.54</v>
      </c>
      <c r="E18" s="15">
        <v>21.9</v>
      </c>
      <c r="F18" s="15">
        <v>0</v>
      </c>
      <c r="G18" s="15">
        <v>100</v>
      </c>
      <c r="H18" s="15">
        <v>1420</v>
      </c>
      <c r="I18" s="17">
        <v>6</v>
      </c>
      <c r="J18" s="1">
        <v>3</v>
      </c>
      <c r="K18" s="1">
        <v>3</v>
      </c>
    </row>
    <row r="19" spans="1:11" ht="15.75" customHeight="1" x14ac:dyDescent="0.3">
      <c r="A19" s="15" t="s">
        <v>158</v>
      </c>
      <c r="B19" s="23" t="s">
        <v>176</v>
      </c>
      <c r="C19" s="15">
        <v>96</v>
      </c>
      <c r="D19" s="18">
        <v>1.1399999999999999</v>
      </c>
      <c r="E19" s="15">
        <v>26.4</v>
      </c>
      <c r="F19" s="15">
        <v>0</v>
      </c>
      <c r="G19" s="15">
        <v>22</v>
      </c>
      <c r="H19" s="15">
        <v>550</v>
      </c>
      <c r="I19" s="17">
        <v>4</v>
      </c>
      <c r="J19" s="1">
        <v>4</v>
      </c>
      <c r="K19" s="1">
        <v>7</v>
      </c>
    </row>
    <row r="20" spans="1:11" ht="15.75" customHeight="1" x14ac:dyDescent="0.3">
      <c r="A20" s="15" t="s">
        <v>158</v>
      </c>
      <c r="B20" s="23" t="s">
        <v>200</v>
      </c>
      <c r="C20" s="15">
        <v>89</v>
      </c>
      <c r="D20" s="18">
        <v>2.74</v>
      </c>
      <c r="E20" s="15">
        <v>23.5</v>
      </c>
      <c r="F20" s="15">
        <v>0</v>
      </c>
      <c r="G20" s="15">
        <v>0</v>
      </c>
      <c r="H20" s="15">
        <v>700</v>
      </c>
      <c r="I20" s="17">
        <v>5</v>
      </c>
      <c r="J20" s="1">
        <v>13</v>
      </c>
      <c r="K20" s="1">
        <v>16</v>
      </c>
    </row>
    <row r="21" spans="1:11" ht="15.75" customHeight="1" x14ac:dyDescent="0.3">
      <c r="A21" s="15" t="s">
        <v>158</v>
      </c>
      <c r="B21" s="23" t="s">
        <v>180</v>
      </c>
      <c r="C21" s="15">
        <v>88</v>
      </c>
      <c r="D21" s="18">
        <v>0.69</v>
      </c>
      <c r="E21" s="15">
        <v>23.4</v>
      </c>
      <c r="F21" s="15">
        <v>6</v>
      </c>
      <c r="G21" s="15">
        <v>100</v>
      </c>
      <c r="H21" s="15">
        <v>700</v>
      </c>
      <c r="I21" s="17">
        <v>5</v>
      </c>
      <c r="J21" s="1">
        <v>8</v>
      </c>
      <c r="K21" s="1">
        <v>9</v>
      </c>
    </row>
    <row r="22" spans="1:11" ht="15.75" customHeight="1" x14ac:dyDescent="0.3">
      <c r="A22" s="15" t="s">
        <v>158</v>
      </c>
      <c r="B22" s="23" t="s">
        <v>181</v>
      </c>
      <c r="C22" s="15">
        <v>80</v>
      </c>
      <c r="D22" s="18">
        <v>51.6</v>
      </c>
      <c r="E22" s="15">
        <v>28.7</v>
      </c>
      <c r="F22" s="15">
        <v>2.5</v>
      </c>
      <c r="G22" s="15">
        <v>0</v>
      </c>
      <c r="H22" s="15">
        <v>700</v>
      </c>
      <c r="I22" s="17">
        <v>3</v>
      </c>
      <c r="J22" s="1">
        <v>5</v>
      </c>
      <c r="K22" s="1">
        <v>5</v>
      </c>
    </row>
    <row r="23" spans="1:11" ht="15.75" customHeight="1" x14ac:dyDescent="0.3">
      <c r="A23" s="15" t="s">
        <v>158</v>
      </c>
      <c r="B23" s="23" t="s">
        <v>198</v>
      </c>
      <c r="C23" s="15">
        <v>71</v>
      </c>
      <c r="D23" s="18">
        <v>7.17</v>
      </c>
      <c r="E23" s="15">
        <v>26.1</v>
      </c>
      <c r="F23" s="15">
        <v>1.9</v>
      </c>
      <c r="G23" s="15">
        <v>0</v>
      </c>
      <c r="H23" s="15">
        <v>700</v>
      </c>
      <c r="I23" s="17">
        <v>3</v>
      </c>
      <c r="J23" s="1">
        <v>9</v>
      </c>
      <c r="K23" s="1">
        <v>11</v>
      </c>
    </row>
    <row r="24" spans="1:11" ht="15.75" customHeight="1" x14ac:dyDescent="0.3">
      <c r="A24" s="15" t="s">
        <v>158</v>
      </c>
      <c r="B24" s="23" t="s">
        <v>183</v>
      </c>
      <c r="C24" s="15">
        <v>99</v>
      </c>
      <c r="D24" s="18">
        <v>29.59</v>
      </c>
      <c r="E24" s="15">
        <v>24.9</v>
      </c>
      <c r="F24" s="15">
        <v>0.65</v>
      </c>
      <c r="G24" s="15">
        <v>99</v>
      </c>
      <c r="H24" s="15">
        <v>700</v>
      </c>
      <c r="I24" s="17">
        <v>3</v>
      </c>
      <c r="J24" s="1">
        <v>4</v>
      </c>
      <c r="K24" s="1">
        <v>7</v>
      </c>
    </row>
    <row r="25" spans="1:11" ht="15.75" customHeight="1" x14ac:dyDescent="0.3">
      <c r="A25" s="15" t="s">
        <v>158</v>
      </c>
      <c r="B25" s="23" t="s">
        <v>186</v>
      </c>
      <c r="C25" s="15">
        <v>95</v>
      </c>
      <c r="D25" s="18">
        <v>0.4</v>
      </c>
      <c r="E25" s="15">
        <v>17.100000000000001</v>
      </c>
      <c r="F25" s="15">
        <v>0</v>
      </c>
      <c r="G25" s="15">
        <v>0</v>
      </c>
      <c r="H25" s="15">
        <v>700</v>
      </c>
      <c r="I25" s="17">
        <v>6</v>
      </c>
      <c r="J25" s="1">
        <v>10</v>
      </c>
      <c r="K25" s="1">
        <v>33</v>
      </c>
    </row>
    <row r="26" spans="1:11" ht="15.75" customHeight="1" x14ac:dyDescent="0.3">
      <c r="A26" s="15" t="s">
        <v>158</v>
      </c>
      <c r="B26" s="23" t="s">
        <v>186</v>
      </c>
      <c r="C26" s="15">
        <v>95</v>
      </c>
      <c r="D26" s="18">
        <v>0.41</v>
      </c>
      <c r="E26" s="15">
        <v>17.100000000000001</v>
      </c>
      <c r="F26" s="15">
        <v>0</v>
      </c>
      <c r="G26" s="15">
        <v>100</v>
      </c>
      <c r="H26" s="15">
        <v>700</v>
      </c>
      <c r="I26" s="17">
        <v>6</v>
      </c>
      <c r="J26" s="1">
        <v>8</v>
      </c>
      <c r="K26" s="1">
        <v>11</v>
      </c>
    </row>
    <row r="27" spans="1:11" ht="15.75" customHeight="1" x14ac:dyDescent="0.3">
      <c r="A27" s="15" t="s">
        <v>164</v>
      </c>
      <c r="B27" s="23" t="s">
        <v>200</v>
      </c>
      <c r="C27" s="15">
        <v>91</v>
      </c>
      <c r="D27" s="18">
        <v>1.1499999999999999</v>
      </c>
      <c r="E27" s="15">
        <v>24.4</v>
      </c>
      <c r="F27" s="15">
        <v>0</v>
      </c>
      <c r="G27" s="15">
        <v>100</v>
      </c>
      <c r="H27" s="15">
        <v>480</v>
      </c>
      <c r="I27" s="17">
        <v>5</v>
      </c>
      <c r="J27" s="1">
        <v>8</v>
      </c>
      <c r="K27" s="1">
        <v>8</v>
      </c>
    </row>
    <row r="28" spans="1:11" ht="15.75" customHeight="1" x14ac:dyDescent="0.3">
      <c r="A28" s="15" t="s">
        <v>164</v>
      </c>
      <c r="B28" s="23" t="s">
        <v>180</v>
      </c>
      <c r="C28" s="15">
        <v>91</v>
      </c>
      <c r="D28" s="18">
        <v>0.57999999999999996</v>
      </c>
      <c r="E28" s="15">
        <v>26.4</v>
      </c>
      <c r="F28" s="15">
        <v>0</v>
      </c>
      <c r="G28" s="15">
        <v>100</v>
      </c>
      <c r="H28" s="15">
        <v>780</v>
      </c>
      <c r="I28" s="17">
        <v>5</v>
      </c>
      <c r="J28" s="1">
        <v>10</v>
      </c>
      <c r="K28" s="1">
        <v>10</v>
      </c>
    </row>
    <row r="29" spans="1:11" ht="15.75" customHeight="1" x14ac:dyDescent="0.3">
      <c r="A29" s="15" t="s">
        <v>164</v>
      </c>
      <c r="B29" s="23" t="s">
        <v>180</v>
      </c>
      <c r="C29" s="15">
        <v>91</v>
      </c>
      <c r="D29" s="18">
        <v>0.81</v>
      </c>
      <c r="E29" s="15">
        <v>23.28</v>
      </c>
      <c r="F29" s="15">
        <v>0</v>
      </c>
      <c r="G29" s="15">
        <v>100</v>
      </c>
      <c r="H29" s="15">
        <v>480</v>
      </c>
      <c r="I29" s="17">
        <v>5</v>
      </c>
      <c r="J29" s="1">
        <v>5</v>
      </c>
      <c r="K29" s="1">
        <v>5</v>
      </c>
    </row>
    <row r="30" spans="1:11" ht="15.75" customHeight="1" x14ac:dyDescent="0.3">
      <c r="A30" s="15" t="s">
        <v>164</v>
      </c>
      <c r="B30" s="23" t="s">
        <v>181</v>
      </c>
      <c r="C30" s="15">
        <v>99</v>
      </c>
      <c r="D30" s="18">
        <v>85.6</v>
      </c>
      <c r="E30" s="15">
        <v>28.5</v>
      </c>
      <c r="F30" s="15">
        <v>1.2</v>
      </c>
      <c r="G30" s="15">
        <v>100</v>
      </c>
      <c r="H30" s="15">
        <v>780</v>
      </c>
      <c r="I30" s="17">
        <v>3</v>
      </c>
      <c r="J30" s="1">
        <v>1</v>
      </c>
      <c r="K30" s="1">
        <v>1</v>
      </c>
    </row>
    <row r="31" spans="1:11" ht="15.75" customHeight="1" x14ac:dyDescent="0.3">
      <c r="A31" s="15" t="s">
        <v>164</v>
      </c>
      <c r="B31" s="23" t="s">
        <v>181</v>
      </c>
      <c r="C31" s="15">
        <v>91</v>
      </c>
      <c r="D31" s="18">
        <v>13.15</v>
      </c>
      <c r="E31" s="15">
        <v>26.13</v>
      </c>
      <c r="F31" s="15">
        <v>0</v>
      </c>
      <c r="G31" s="15">
        <v>100</v>
      </c>
      <c r="H31" s="15">
        <v>480</v>
      </c>
      <c r="I31" s="17">
        <v>3</v>
      </c>
      <c r="J31" s="1">
        <v>3</v>
      </c>
      <c r="K31" s="1">
        <v>3</v>
      </c>
    </row>
    <row r="32" spans="1:11" s="44" customFormat="1" ht="15.75" customHeight="1" x14ac:dyDescent="0.3">
      <c r="A32" s="39" t="s">
        <v>164</v>
      </c>
      <c r="B32" s="40" t="s">
        <v>198</v>
      </c>
      <c r="C32" s="39">
        <v>93</v>
      </c>
      <c r="D32" s="42">
        <v>14.5</v>
      </c>
      <c r="E32" s="39">
        <v>28.73</v>
      </c>
      <c r="F32" s="39">
        <v>0</v>
      </c>
      <c r="G32" s="39">
        <v>100</v>
      </c>
      <c r="H32" s="39">
        <v>480</v>
      </c>
      <c r="I32" s="43">
        <v>3</v>
      </c>
      <c r="J32" s="44">
        <v>6</v>
      </c>
      <c r="K32" s="44">
        <v>9</v>
      </c>
    </row>
    <row r="33" spans="1:11" ht="15.75" customHeight="1" x14ac:dyDescent="0.3">
      <c r="A33" s="15" t="s">
        <v>164</v>
      </c>
      <c r="B33" s="23" t="s">
        <v>183</v>
      </c>
      <c r="C33" s="15">
        <v>81</v>
      </c>
      <c r="D33" s="18">
        <v>5.23</v>
      </c>
      <c r="E33" s="15">
        <v>27.03</v>
      </c>
      <c r="F33" s="15">
        <v>0</v>
      </c>
      <c r="G33" s="15">
        <v>100</v>
      </c>
      <c r="H33" s="15">
        <v>480</v>
      </c>
      <c r="I33" s="17">
        <v>3</v>
      </c>
      <c r="J33" s="1">
        <v>4</v>
      </c>
      <c r="K33" s="1">
        <v>5</v>
      </c>
    </row>
    <row r="34" spans="1:11" ht="15.75" customHeight="1" x14ac:dyDescent="0.3">
      <c r="A34" s="15" t="s">
        <v>164</v>
      </c>
      <c r="B34" s="23" t="s">
        <v>186</v>
      </c>
      <c r="C34" s="15">
        <v>83</v>
      </c>
      <c r="D34" s="18">
        <v>0.20499999999999999</v>
      </c>
      <c r="E34" s="15">
        <v>24.8</v>
      </c>
      <c r="F34" s="15">
        <v>0</v>
      </c>
      <c r="G34" s="15">
        <v>100</v>
      </c>
      <c r="H34" s="15">
        <v>480</v>
      </c>
      <c r="I34" s="17">
        <v>6</v>
      </c>
      <c r="J34" s="1">
        <v>0</v>
      </c>
      <c r="K34" s="1">
        <v>0</v>
      </c>
    </row>
    <row r="35" spans="1:11" ht="15.75" customHeight="1" x14ac:dyDescent="0.3">
      <c r="A35" s="15" t="s">
        <v>168</v>
      </c>
      <c r="B35" s="15" t="s">
        <v>176</v>
      </c>
      <c r="C35" s="15">
        <v>92</v>
      </c>
      <c r="D35" s="18">
        <v>0.14000000000000001</v>
      </c>
      <c r="E35" s="15">
        <v>22.5</v>
      </c>
      <c r="F35" s="15">
        <v>0</v>
      </c>
      <c r="G35" s="15">
        <v>100</v>
      </c>
      <c r="H35" s="15">
        <v>480</v>
      </c>
      <c r="I35" s="17">
        <v>4</v>
      </c>
      <c r="J35" s="1">
        <v>6</v>
      </c>
      <c r="K35" s="1">
        <v>11</v>
      </c>
    </row>
    <row r="36" spans="1:11" ht="15.75" customHeight="1" x14ac:dyDescent="0.3">
      <c r="A36" s="15" t="s">
        <v>168</v>
      </c>
      <c r="B36" s="15" t="s">
        <v>177</v>
      </c>
      <c r="C36" s="15">
        <v>97</v>
      </c>
      <c r="D36" s="18">
        <v>4.5999999999999996</v>
      </c>
      <c r="E36" s="15">
        <v>24.3</v>
      </c>
      <c r="F36" s="15">
        <v>0</v>
      </c>
      <c r="G36" s="15">
        <v>100</v>
      </c>
      <c r="H36" s="15">
        <v>480</v>
      </c>
      <c r="I36" s="17">
        <v>3</v>
      </c>
      <c r="J36" s="1">
        <v>17</v>
      </c>
      <c r="K36" s="1">
        <v>24</v>
      </c>
    </row>
    <row r="37" spans="1:11" ht="15.75" customHeight="1" x14ac:dyDescent="0.3">
      <c r="A37" s="15" t="s">
        <v>168</v>
      </c>
      <c r="B37" s="15" t="s">
        <v>200</v>
      </c>
      <c r="C37" s="15">
        <v>99</v>
      </c>
      <c r="D37" s="18">
        <v>24.2</v>
      </c>
      <c r="E37" s="15">
        <v>26.1</v>
      </c>
      <c r="F37" s="15">
        <v>0</v>
      </c>
      <c r="G37" s="15">
        <v>35</v>
      </c>
      <c r="H37" s="15">
        <v>480</v>
      </c>
      <c r="I37" s="17">
        <v>5</v>
      </c>
      <c r="J37" s="1">
        <v>11</v>
      </c>
      <c r="K37" s="1">
        <v>11</v>
      </c>
    </row>
    <row r="38" spans="1:11" ht="15.75" customHeight="1" x14ac:dyDescent="0.3">
      <c r="A38" s="15" t="s">
        <v>168</v>
      </c>
      <c r="B38" s="15" t="s">
        <v>180</v>
      </c>
      <c r="C38" s="15">
        <v>97</v>
      </c>
      <c r="D38" s="18">
        <v>1.08</v>
      </c>
      <c r="E38" s="15">
        <v>25.4</v>
      </c>
      <c r="F38" s="15">
        <v>0</v>
      </c>
      <c r="G38" s="15">
        <v>65</v>
      </c>
      <c r="H38" s="15">
        <v>480</v>
      </c>
      <c r="I38" s="17">
        <v>5</v>
      </c>
      <c r="J38" s="1">
        <v>9</v>
      </c>
      <c r="K38" s="1">
        <v>9</v>
      </c>
    </row>
    <row r="39" spans="1:11" ht="15.75" customHeight="1" x14ac:dyDescent="0.3">
      <c r="A39" s="15" t="s">
        <v>168</v>
      </c>
      <c r="B39" s="1" t="s">
        <v>181</v>
      </c>
      <c r="C39" s="1">
        <v>87</v>
      </c>
      <c r="D39" s="46">
        <v>9.8000000000000007</v>
      </c>
      <c r="E39" s="1">
        <v>34.5</v>
      </c>
      <c r="F39" s="1">
        <v>0</v>
      </c>
      <c r="G39" s="1">
        <v>0</v>
      </c>
      <c r="H39" s="1">
        <v>480</v>
      </c>
      <c r="I39" s="2">
        <v>3</v>
      </c>
      <c r="J39" s="1">
        <v>3</v>
      </c>
      <c r="K39" s="1">
        <v>3</v>
      </c>
    </row>
    <row r="40" spans="1:11" ht="15.75" customHeight="1" x14ac:dyDescent="0.3">
      <c r="A40" s="15" t="s">
        <v>168</v>
      </c>
      <c r="B40" s="1" t="s">
        <v>198</v>
      </c>
      <c r="C40" s="1">
        <v>81</v>
      </c>
      <c r="D40" s="46">
        <v>36.6</v>
      </c>
      <c r="E40" s="1">
        <v>31.4</v>
      </c>
      <c r="F40" s="1">
        <v>0.8</v>
      </c>
      <c r="G40" s="1">
        <v>96</v>
      </c>
      <c r="H40" s="1">
        <v>480</v>
      </c>
      <c r="I40" s="2">
        <v>3</v>
      </c>
      <c r="J40" s="1">
        <v>7</v>
      </c>
      <c r="K40" s="1">
        <v>7</v>
      </c>
    </row>
    <row r="41" spans="1:11" ht="15.75" customHeight="1" x14ac:dyDescent="0.3">
      <c r="A41" s="15" t="s">
        <v>168</v>
      </c>
      <c r="B41" s="1" t="s">
        <v>183</v>
      </c>
      <c r="C41" s="1">
        <v>89</v>
      </c>
      <c r="D41" s="46">
        <v>1</v>
      </c>
      <c r="E41" s="1">
        <v>22.2</v>
      </c>
      <c r="F41" s="1">
        <v>0</v>
      </c>
      <c r="G41" s="1">
        <v>100</v>
      </c>
      <c r="H41" s="1">
        <v>1420</v>
      </c>
      <c r="I41" s="2">
        <v>3</v>
      </c>
      <c r="J41" s="1">
        <v>4</v>
      </c>
      <c r="K41" s="1">
        <v>4</v>
      </c>
    </row>
    <row r="42" spans="1:11" ht="15.75" customHeight="1" x14ac:dyDescent="0.3">
      <c r="A42" s="15" t="s">
        <v>168</v>
      </c>
      <c r="B42" s="1" t="s">
        <v>186</v>
      </c>
      <c r="C42" s="1">
        <v>76</v>
      </c>
      <c r="D42" s="46">
        <v>1.53</v>
      </c>
      <c r="E42" s="1">
        <v>25.4</v>
      </c>
      <c r="F42" s="1">
        <v>0</v>
      </c>
      <c r="G42" s="1">
        <v>100</v>
      </c>
      <c r="H42" s="1">
        <v>1420</v>
      </c>
      <c r="I42" s="2">
        <v>6</v>
      </c>
      <c r="J42" s="1">
        <v>4</v>
      </c>
      <c r="K42" s="1">
        <v>5</v>
      </c>
    </row>
    <row r="43" spans="1:11" ht="15.75" customHeight="1" x14ac:dyDescent="0.3">
      <c r="A43" s="1" t="s">
        <v>172</v>
      </c>
      <c r="B43" s="1" t="s">
        <v>200</v>
      </c>
      <c r="C43" s="1">
        <v>99</v>
      </c>
      <c r="D43" s="46">
        <v>0.28000000000000003</v>
      </c>
      <c r="E43" s="1">
        <v>23.5</v>
      </c>
      <c r="F43" s="1">
        <v>0</v>
      </c>
      <c r="G43" s="1">
        <v>100</v>
      </c>
      <c r="H43" s="1">
        <v>650</v>
      </c>
      <c r="I43" s="2">
        <v>5</v>
      </c>
      <c r="J43" s="1">
        <v>7</v>
      </c>
      <c r="K43" s="1">
        <v>10</v>
      </c>
    </row>
    <row r="44" spans="1:11" ht="15.75" customHeight="1" x14ac:dyDescent="0.3">
      <c r="A44" s="1" t="s">
        <v>172</v>
      </c>
      <c r="B44" s="1" t="s">
        <v>180</v>
      </c>
      <c r="C44" s="1">
        <v>96</v>
      </c>
      <c r="D44" s="46">
        <v>0.64</v>
      </c>
      <c r="E44" s="1">
        <v>24.9</v>
      </c>
      <c r="F44" s="1">
        <v>0</v>
      </c>
      <c r="G44" s="1">
        <v>100</v>
      </c>
      <c r="H44" s="1">
        <v>650</v>
      </c>
      <c r="I44" s="2">
        <v>5</v>
      </c>
      <c r="J44" s="1">
        <v>9</v>
      </c>
      <c r="K44" s="1">
        <v>9</v>
      </c>
    </row>
    <row r="45" spans="1:11" ht="15.75" customHeight="1" x14ac:dyDescent="0.3">
      <c r="A45" s="1" t="s">
        <v>172</v>
      </c>
      <c r="B45" s="1" t="s">
        <v>181</v>
      </c>
      <c r="C45" s="1">
        <v>98</v>
      </c>
      <c r="D45" s="46">
        <v>2.2799999999999998</v>
      </c>
      <c r="E45" s="1">
        <v>23.7</v>
      </c>
      <c r="F45" s="1">
        <v>0</v>
      </c>
      <c r="G45" s="1">
        <v>100</v>
      </c>
      <c r="H45" s="1">
        <v>650</v>
      </c>
      <c r="I45" s="2">
        <v>3</v>
      </c>
      <c r="J45" s="1">
        <v>4</v>
      </c>
      <c r="K45" s="1">
        <v>4</v>
      </c>
    </row>
    <row r="46" spans="1:11" ht="15.75" customHeight="1" x14ac:dyDescent="0.3">
      <c r="A46" s="1" t="s">
        <v>172</v>
      </c>
      <c r="B46" s="1" t="s">
        <v>198</v>
      </c>
      <c r="C46" s="1">
        <v>99</v>
      </c>
      <c r="D46" s="46">
        <v>7.2350000000000003</v>
      </c>
      <c r="E46" s="1">
        <v>24.6</v>
      </c>
      <c r="F46" s="1">
        <v>1.4</v>
      </c>
      <c r="G46" s="1">
        <v>100</v>
      </c>
      <c r="H46" s="1">
        <v>650</v>
      </c>
      <c r="I46" s="2">
        <v>3</v>
      </c>
      <c r="J46" s="1">
        <v>10</v>
      </c>
      <c r="K46" s="1">
        <v>16</v>
      </c>
    </row>
    <row r="47" spans="1:11" ht="15.75" customHeight="1" x14ac:dyDescent="0.3">
      <c r="D47" s="46"/>
    </row>
    <row r="48" spans="1:11" ht="15.75" customHeight="1" x14ac:dyDescent="0.3">
      <c r="D48" s="46"/>
    </row>
    <row r="49" spans="4:4" ht="15.75" customHeight="1" x14ac:dyDescent="0.3">
      <c r="D49" s="46"/>
    </row>
    <row r="50" spans="4:4" ht="15.75" customHeight="1" x14ac:dyDescent="0.3">
      <c r="D50" s="46"/>
    </row>
    <row r="51" spans="4:4" ht="15.75" customHeight="1" x14ac:dyDescent="0.3">
      <c r="D51" s="46"/>
    </row>
    <row r="52" spans="4:4" ht="15.75" customHeight="1" x14ac:dyDescent="0.3">
      <c r="D52" s="46"/>
    </row>
    <row r="53" spans="4:4" ht="15.75" customHeight="1" x14ac:dyDescent="0.3">
      <c r="D53" s="46"/>
    </row>
    <row r="54" spans="4:4" ht="15.75" customHeight="1" x14ac:dyDescent="0.3">
      <c r="D54" s="46"/>
    </row>
    <row r="55" spans="4:4" ht="15.75" customHeight="1" x14ac:dyDescent="0.3">
      <c r="D55" s="46"/>
    </row>
    <row r="56" spans="4:4" ht="15.75" customHeight="1" x14ac:dyDescent="0.3">
      <c r="D56" s="46"/>
    </row>
    <row r="57" spans="4:4" ht="15.75" customHeight="1" x14ac:dyDescent="0.3">
      <c r="D57" s="46"/>
    </row>
    <row r="58" spans="4:4" ht="15.75" customHeight="1" x14ac:dyDescent="0.3">
      <c r="D58" s="46"/>
    </row>
    <row r="59" spans="4:4" ht="15.75" customHeight="1" x14ac:dyDescent="0.3">
      <c r="D59" s="46"/>
    </row>
    <row r="60" spans="4:4" ht="15.75" customHeight="1" x14ac:dyDescent="0.3">
      <c r="D60" s="46"/>
    </row>
    <row r="61" spans="4:4" ht="15.75" customHeight="1" x14ac:dyDescent="0.3">
      <c r="D61" s="46"/>
    </row>
    <row r="62" spans="4:4" ht="15.75" customHeight="1" x14ac:dyDescent="0.3">
      <c r="D62" s="46"/>
    </row>
    <row r="63" spans="4:4" ht="15.75" customHeight="1" x14ac:dyDescent="0.3">
      <c r="D63" s="46"/>
    </row>
    <row r="64" spans="4:4" ht="15.75" customHeight="1" x14ac:dyDescent="0.3">
      <c r="D64" s="46"/>
    </row>
    <row r="65" spans="4:4" ht="15.75" customHeight="1" x14ac:dyDescent="0.3">
      <c r="D65" s="46"/>
    </row>
    <row r="66" spans="4:4" ht="15.75" customHeight="1" x14ac:dyDescent="0.3">
      <c r="D66" s="46"/>
    </row>
    <row r="67" spans="4:4" ht="15.75" customHeight="1" x14ac:dyDescent="0.3">
      <c r="D67" s="46"/>
    </row>
    <row r="68" spans="4:4" ht="15.75" customHeight="1" x14ac:dyDescent="0.3">
      <c r="D68" s="46"/>
    </row>
    <row r="69" spans="4:4" ht="15.75" customHeight="1" x14ac:dyDescent="0.3">
      <c r="D69" s="46"/>
    </row>
    <row r="70" spans="4:4" ht="15.75" customHeight="1" x14ac:dyDescent="0.3">
      <c r="D70" s="46"/>
    </row>
    <row r="71" spans="4:4" ht="15.75" customHeight="1" x14ac:dyDescent="0.3">
      <c r="D71" s="46"/>
    </row>
    <row r="72" spans="4:4" ht="15.75" customHeight="1" x14ac:dyDescent="0.3">
      <c r="D72" s="46"/>
    </row>
    <row r="73" spans="4:4" ht="15.75" customHeight="1" x14ac:dyDescent="0.3">
      <c r="D73" s="46"/>
    </row>
    <row r="74" spans="4:4" ht="15.75" customHeight="1" x14ac:dyDescent="0.3">
      <c r="D74" s="46"/>
    </row>
    <row r="75" spans="4:4" ht="15.75" customHeight="1" x14ac:dyDescent="0.3">
      <c r="D75" s="46"/>
    </row>
    <row r="76" spans="4:4" ht="15.75" customHeight="1" x14ac:dyDescent="0.3">
      <c r="D76" s="46"/>
    </row>
    <row r="77" spans="4:4" ht="15.75" customHeight="1" x14ac:dyDescent="0.3">
      <c r="D77" s="46"/>
    </row>
    <row r="78" spans="4:4" ht="15.75" customHeight="1" x14ac:dyDescent="0.3">
      <c r="D78" s="46"/>
    </row>
    <row r="79" spans="4:4" ht="15.75" customHeight="1" x14ac:dyDescent="0.3">
      <c r="D79" s="46"/>
    </row>
    <row r="80" spans="4:4" ht="15.75" customHeight="1" x14ac:dyDescent="0.3">
      <c r="D80" s="46"/>
    </row>
    <row r="81" spans="4:4" ht="15.75" customHeight="1" x14ac:dyDescent="0.3">
      <c r="D81" s="46"/>
    </row>
    <row r="82" spans="4:4" ht="15.75" customHeight="1" x14ac:dyDescent="0.3">
      <c r="D82" s="46"/>
    </row>
    <row r="83" spans="4:4" ht="15.75" customHeight="1" x14ac:dyDescent="0.3">
      <c r="D83" s="46"/>
    </row>
    <row r="84" spans="4:4" ht="15.75" customHeight="1" x14ac:dyDescent="0.3">
      <c r="D84" s="46"/>
    </row>
    <row r="85" spans="4:4" ht="15.75" customHeight="1" x14ac:dyDescent="0.3">
      <c r="D85" s="46"/>
    </row>
    <row r="86" spans="4:4" ht="15.75" customHeight="1" x14ac:dyDescent="0.3">
      <c r="D86" s="46"/>
    </row>
    <row r="87" spans="4:4" ht="15.75" customHeight="1" x14ac:dyDescent="0.3">
      <c r="D87" s="46"/>
    </row>
    <row r="88" spans="4:4" ht="15.75" customHeight="1" x14ac:dyDescent="0.3">
      <c r="D88" s="46"/>
    </row>
    <row r="89" spans="4:4" ht="15.75" customHeight="1" x14ac:dyDescent="0.3">
      <c r="D89" s="46"/>
    </row>
    <row r="90" spans="4:4" ht="15.75" customHeight="1" x14ac:dyDescent="0.3">
      <c r="D90" s="46"/>
    </row>
    <row r="91" spans="4:4" ht="15.75" customHeight="1" x14ac:dyDescent="0.3">
      <c r="D91" s="46"/>
    </row>
    <row r="92" spans="4:4" ht="15.75" customHeight="1" x14ac:dyDescent="0.3">
      <c r="D92" s="46"/>
    </row>
    <row r="93" spans="4:4" ht="15.75" customHeight="1" x14ac:dyDescent="0.3">
      <c r="D93" s="46"/>
    </row>
    <row r="94" spans="4:4" ht="15.75" customHeight="1" x14ac:dyDescent="0.3">
      <c r="D94" s="46"/>
    </row>
    <row r="95" spans="4:4" ht="15.75" customHeight="1" x14ac:dyDescent="0.3">
      <c r="D95" s="46"/>
    </row>
    <row r="96" spans="4:4" ht="15.75" customHeight="1" x14ac:dyDescent="0.3">
      <c r="D96" s="46"/>
    </row>
    <row r="97" spans="4:4" ht="15.75" customHeight="1" x14ac:dyDescent="0.3">
      <c r="D97" s="46"/>
    </row>
    <row r="98" spans="4:4" ht="15.75" customHeight="1" x14ac:dyDescent="0.3">
      <c r="D98" s="46"/>
    </row>
    <row r="99" spans="4:4" ht="15.75" customHeight="1" x14ac:dyDescent="0.3">
      <c r="D99" s="46"/>
    </row>
    <row r="100" spans="4:4" ht="15.75" customHeight="1" x14ac:dyDescent="0.3">
      <c r="D100" s="46"/>
    </row>
    <row r="101" spans="4:4" ht="15.75" customHeight="1" x14ac:dyDescent="0.3">
      <c r="D101" s="46"/>
    </row>
    <row r="102" spans="4:4" ht="15.75" customHeight="1" x14ac:dyDescent="0.3">
      <c r="D102" s="46"/>
    </row>
    <row r="103" spans="4:4" ht="15.75" customHeight="1" x14ac:dyDescent="0.3">
      <c r="D103" s="46"/>
    </row>
    <row r="104" spans="4:4" ht="15.75" customHeight="1" x14ac:dyDescent="0.3">
      <c r="D104" s="46"/>
    </row>
    <row r="105" spans="4:4" ht="15.75" customHeight="1" x14ac:dyDescent="0.3">
      <c r="D105" s="46"/>
    </row>
    <row r="106" spans="4:4" ht="15.75" customHeight="1" x14ac:dyDescent="0.3">
      <c r="D106" s="46"/>
    </row>
    <row r="107" spans="4:4" ht="15.75" customHeight="1" x14ac:dyDescent="0.3">
      <c r="D107" s="46"/>
    </row>
    <row r="108" spans="4:4" ht="15.75" customHeight="1" x14ac:dyDescent="0.3">
      <c r="D108" s="46"/>
    </row>
    <row r="109" spans="4:4" ht="15.75" customHeight="1" x14ac:dyDescent="0.3">
      <c r="D109" s="46"/>
    </row>
    <row r="110" spans="4:4" ht="15.75" customHeight="1" x14ac:dyDescent="0.3">
      <c r="D110" s="46"/>
    </row>
    <row r="111" spans="4:4" ht="15.75" customHeight="1" x14ac:dyDescent="0.3">
      <c r="D111" s="46"/>
    </row>
    <row r="112" spans="4:4" ht="15.75" customHeight="1" x14ac:dyDescent="0.3">
      <c r="D112" s="46"/>
    </row>
    <row r="113" spans="4:4" ht="15.75" customHeight="1" x14ac:dyDescent="0.3">
      <c r="D113" s="46"/>
    </row>
    <row r="114" spans="4:4" ht="15.75" customHeight="1" x14ac:dyDescent="0.3">
      <c r="D114" s="46"/>
    </row>
    <row r="115" spans="4:4" ht="15.75" customHeight="1" x14ac:dyDescent="0.3">
      <c r="D115" s="46"/>
    </row>
    <row r="116" spans="4:4" ht="15.75" customHeight="1" x14ac:dyDescent="0.3">
      <c r="D116" s="46"/>
    </row>
    <row r="117" spans="4:4" ht="15.75" customHeight="1" x14ac:dyDescent="0.3">
      <c r="D117" s="46"/>
    </row>
    <row r="118" spans="4:4" ht="15.75" customHeight="1" x14ac:dyDescent="0.3">
      <c r="D118" s="46"/>
    </row>
    <row r="119" spans="4:4" ht="15.75" customHeight="1" x14ac:dyDescent="0.3"/>
    <row r="120" spans="4:4" ht="15.75" customHeight="1" x14ac:dyDescent="0.3"/>
    <row r="121" spans="4:4" ht="15.75" customHeight="1" x14ac:dyDescent="0.3"/>
    <row r="122" spans="4:4" ht="15.75" customHeight="1" x14ac:dyDescent="0.3"/>
    <row r="123" spans="4:4" ht="15.75" customHeight="1" x14ac:dyDescent="0.3"/>
    <row r="124" spans="4:4" ht="15.75" customHeight="1" x14ac:dyDescent="0.3"/>
    <row r="125" spans="4:4" ht="15.75" customHeight="1" x14ac:dyDescent="0.3"/>
    <row r="126" spans="4:4" ht="15.75" customHeight="1" x14ac:dyDescent="0.3"/>
    <row r="127" spans="4:4" ht="15.75" customHeight="1" x14ac:dyDescent="0.3"/>
    <row r="128" spans="4:4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</sheetData>
  <autoFilter ref="A2:K2" xr:uid="{00000000-0009-0000-0000-00000900000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043"/>
  <sheetViews>
    <sheetView topLeftCell="A2" zoomScale="80" workbookViewId="0">
      <selection activeCell="G2" sqref="G1:G1048576"/>
    </sheetView>
  </sheetViews>
  <sheetFormatPr defaultColWidth="12.77734375" defaultRowHeight="14.4" x14ac:dyDescent="0.3"/>
  <cols>
    <col min="1" max="1" width="7.21875" style="1" customWidth="1"/>
    <col min="2" max="2" width="14.77734375" style="1" customWidth="1"/>
    <col min="3" max="3" width="6.44140625" style="1" customWidth="1"/>
    <col min="4" max="4" width="8" style="1" customWidth="1"/>
    <col min="5" max="5" width="6.21875" style="1" customWidth="1"/>
    <col min="6" max="6" width="6" style="1" customWidth="1"/>
    <col min="7" max="7" width="7.5546875" style="1" customWidth="1"/>
    <col min="8" max="8" width="11.44140625" style="2" customWidth="1"/>
    <col min="9" max="16384" width="12.77734375" style="1"/>
  </cols>
  <sheetData>
    <row r="1" spans="1:10" ht="15" hidden="1" customHeight="1" x14ac:dyDescent="0.3">
      <c r="H1" s="3"/>
    </row>
    <row r="2" spans="1:10" ht="234.6" x14ac:dyDescent="0.3">
      <c r="A2" s="6" t="s">
        <v>7</v>
      </c>
      <c r="B2" s="6" t="s">
        <v>8</v>
      </c>
      <c r="C2" s="7" t="s">
        <v>14</v>
      </c>
      <c r="D2" s="9" t="s">
        <v>15</v>
      </c>
      <c r="E2" s="7" t="s">
        <v>16</v>
      </c>
      <c r="F2" s="7" t="s">
        <v>17</v>
      </c>
      <c r="G2" s="7" t="s">
        <v>19</v>
      </c>
      <c r="H2" s="8" t="s">
        <v>21</v>
      </c>
      <c r="I2" s="1" t="s">
        <v>174</v>
      </c>
      <c r="J2" s="1" t="s">
        <v>175</v>
      </c>
    </row>
    <row r="3" spans="1:10" ht="15.75" customHeight="1" x14ac:dyDescent="0.3">
      <c r="A3" s="15" t="s">
        <v>119</v>
      </c>
      <c r="B3" s="16" t="s">
        <v>177</v>
      </c>
      <c r="C3" s="15">
        <v>78</v>
      </c>
      <c r="D3" s="18">
        <v>1.915</v>
      </c>
      <c r="E3" s="15">
        <v>23.8</v>
      </c>
      <c r="F3" s="15">
        <v>0.8</v>
      </c>
      <c r="G3" s="18"/>
      <c r="H3" s="17">
        <v>3</v>
      </c>
      <c r="I3" s="1">
        <v>7</v>
      </c>
      <c r="J3" s="1">
        <v>14</v>
      </c>
    </row>
    <row r="4" spans="1:10" ht="15.75" customHeight="1" x14ac:dyDescent="0.3">
      <c r="A4" s="15" t="s">
        <v>119</v>
      </c>
      <c r="B4" s="16" t="s">
        <v>200</v>
      </c>
      <c r="C4" s="20">
        <v>80</v>
      </c>
      <c r="D4" s="18">
        <v>0.4</v>
      </c>
      <c r="E4" s="15">
        <v>32</v>
      </c>
      <c r="F4" s="15">
        <v>0</v>
      </c>
      <c r="G4" s="18"/>
      <c r="H4" s="17">
        <v>5</v>
      </c>
      <c r="I4" s="1">
        <v>3</v>
      </c>
      <c r="J4" s="1">
        <v>3</v>
      </c>
    </row>
    <row r="5" spans="1:10" ht="15.75" customHeight="1" x14ac:dyDescent="0.3">
      <c r="A5" s="15" t="s">
        <v>119</v>
      </c>
      <c r="B5" s="16" t="s">
        <v>200</v>
      </c>
      <c r="C5" s="20">
        <v>80</v>
      </c>
      <c r="D5" s="18">
        <v>0.52</v>
      </c>
      <c r="E5" s="15">
        <v>33</v>
      </c>
      <c r="F5" s="15">
        <v>0</v>
      </c>
      <c r="G5" s="18"/>
      <c r="H5" s="17">
        <v>5</v>
      </c>
      <c r="I5" s="1">
        <v>1</v>
      </c>
      <c r="J5" s="1">
        <v>1</v>
      </c>
    </row>
    <row r="6" spans="1:10" ht="15.75" customHeight="1" x14ac:dyDescent="0.3">
      <c r="A6" s="15" t="s">
        <v>119</v>
      </c>
      <c r="B6" s="16" t="s">
        <v>200</v>
      </c>
      <c r="C6" s="20">
        <v>80</v>
      </c>
      <c r="D6" s="18">
        <v>0.4</v>
      </c>
      <c r="E6" s="15">
        <v>36</v>
      </c>
      <c r="F6" s="15">
        <v>0</v>
      </c>
      <c r="G6" s="18"/>
      <c r="H6" s="17">
        <v>5</v>
      </c>
      <c r="I6" s="1">
        <v>1</v>
      </c>
      <c r="J6" s="1">
        <v>1</v>
      </c>
    </row>
    <row r="7" spans="1:10" ht="15.75" customHeight="1" x14ac:dyDescent="0.3">
      <c r="A7" s="15" t="s">
        <v>119</v>
      </c>
      <c r="B7" s="16" t="s">
        <v>200</v>
      </c>
      <c r="C7" s="20">
        <v>80</v>
      </c>
      <c r="D7" s="18">
        <v>0.4</v>
      </c>
      <c r="E7" s="15">
        <v>32</v>
      </c>
      <c r="F7" s="15">
        <v>0</v>
      </c>
      <c r="G7" s="18"/>
      <c r="H7" s="17">
        <v>5</v>
      </c>
      <c r="I7" s="1">
        <v>2</v>
      </c>
      <c r="J7" s="1">
        <v>2</v>
      </c>
    </row>
    <row r="8" spans="1:10" ht="15.75" customHeight="1" x14ac:dyDescent="0.3">
      <c r="A8" s="15" t="s">
        <v>119</v>
      </c>
      <c r="B8" s="16" t="s">
        <v>200</v>
      </c>
      <c r="C8" s="20">
        <v>80</v>
      </c>
      <c r="D8" s="18">
        <v>0.4</v>
      </c>
      <c r="E8" s="15">
        <v>33</v>
      </c>
      <c r="F8" s="15">
        <v>0</v>
      </c>
      <c r="G8" s="18"/>
      <c r="H8" s="17">
        <v>5</v>
      </c>
      <c r="I8" s="1">
        <v>1</v>
      </c>
      <c r="J8" s="1">
        <v>1</v>
      </c>
    </row>
    <row r="9" spans="1:10" ht="15.75" customHeight="1" x14ac:dyDescent="0.3">
      <c r="A9" s="15" t="s">
        <v>119</v>
      </c>
      <c r="B9" s="16" t="s">
        <v>200</v>
      </c>
      <c r="C9" s="20">
        <v>80</v>
      </c>
      <c r="D9" s="18">
        <v>0.51</v>
      </c>
      <c r="E9" s="15">
        <v>32</v>
      </c>
      <c r="F9" s="15">
        <v>0</v>
      </c>
      <c r="G9" s="18"/>
      <c r="H9" s="17">
        <v>5</v>
      </c>
      <c r="I9" s="1">
        <v>3</v>
      </c>
      <c r="J9" s="1">
        <v>3</v>
      </c>
    </row>
    <row r="10" spans="1:10" ht="15.75" customHeight="1" x14ac:dyDescent="0.3">
      <c r="A10" s="15" t="s">
        <v>119</v>
      </c>
      <c r="B10" s="16" t="s">
        <v>200</v>
      </c>
      <c r="C10" s="20">
        <v>80</v>
      </c>
      <c r="D10" s="18">
        <v>0.5</v>
      </c>
      <c r="E10" s="15">
        <v>23</v>
      </c>
      <c r="F10" s="15">
        <v>0</v>
      </c>
      <c r="G10" s="18"/>
      <c r="H10" s="17">
        <v>5</v>
      </c>
      <c r="I10" s="1">
        <v>1</v>
      </c>
      <c r="J10" s="1">
        <v>1</v>
      </c>
    </row>
    <row r="11" spans="1:10" ht="15.75" customHeight="1" x14ac:dyDescent="0.3">
      <c r="A11" s="15" t="s">
        <v>119</v>
      </c>
      <c r="B11" s="16" t="s">
        <v>200</v>
      </c>
      <c r="C11" s="15">
        <v>81</v>
      </c>
      <c r="D11" s="18">
        <v>2.0499999999999998</v>
      </c>
      <c r="E11" s="15">
        <v>24.9</v>
      </c>
      <c r="F11" s="15">
        <v>0</v>
      </c>
      <c r="G11" s="18"/>
      <c r="H11" s="17">
        <v>5</v>
      </c>
      <c r="I11" s="1">
        <v>3</v>
      </c>
      <c r="J11" s="1">
        <v>3</v>
      </c>
    </row>
    <row r="12" spans="1:10" ht="15.75" customHeight="1" x14ac:dyDescent="0.3">
      <c r="A12" s="15" t="s">
        <v>119</v>
      </c>
      <c r="B12" s="16" t="s">
        <v>180</v>
      </c>
      <c r="C12" s="15">
        <v>81</v>
      </c>
      <c r="D12" s="18">
        <v>1.2809999999999999</v>
      </c>
      <c r="E12" s="15">
        <v>24.9</v>
      </c>
      <c r="F12" s="15">
        <v>0.8</v>
      </c>
      <c r="G12" s="18"/>
      <c r="H12" s="17">
        <v>5</v>
      </c>
      <c r="I12" s="1">
        <v>3</v>
      </c>
      <c r="J12" s="1">
        <v>3</v>
      </c>
    </row>
    <row r="13" spans="1:10" ht="15.75" customHeight="1" x14ac:dyDescent="0.3">
      <c r="A13" s="15" t="s">
        <v>119</v>
      </c>
      <c r="B13" s="16" t="s">
        <v>180</v>
      </c>
      <c r="C13" s="18">
        <v>68.67</v>
      </c>
      <c r="D13" s="18">
        <v>94.13</v>
      </c>
      <c r="E13" s="15">
        <v>25</v>
      </c>
      <c r="F13" s="15">
        <v>1.2</v>
      </c>
      <c r="G13" s="18"/>
      <c r="H13" s="17">
        <v>5</v>
      </c>
      <c r="I13" s="1">
        <v>1</v>
      </c>
      <c r="J13" s="1">
        <v>1</v>
      </c>
    </row>
    <row r="14" spans="1:10" ht="15.75" customHeight="1" x14ac:dyDescent="0.3">
      <c r="A14" s="15" t="s">
        <v>119</v>
      </c>
      <c r="B14" s="16" t="s">
        <v>181</v>
      </c>
      <c r="C14" s="15">
        <v>80</v>
      </c>
      <c r="D14" s="18">
        <v>9.35</v>
      </c>
      <c r="E14" s="15">
        <v>25.5</v>
      </c>
      <c r="F14" s="15">
        <v>2.6</v>
      </c>
      <c r="G14" s="18"/>
      <c r="H14" s="17">
        <v>3</v>
      </c>
      <c r="I14" s="1">
        <v>3</v>
      </c>
      <c r="J14" s="1">
        <v>3</v>
      </c>
    </row>
    <row r="15" spans="1:10" ht="15.75" customHeight="1" x14ac:dyDescent="0.3">
      <c r="A15" s="15" t="s">
        <v>119</v>
      </c>
      <c r="B15" s="16" t="s">
        <v>181</v>
      </c>
      <c r="C15" s="15">
        <v>68.58</v>
      </c>
      <c r="D15" s="18">
        <v>6.6</v>
      </c>
      <c r="E15" s="15">
        <v>25.7</v>
      </c>
      <c r="F15" s="15">
        <v>2.1</v>
      </c>
      <c r="G15" s="18"/>
      <c r="H15" s="17">
        <v>3</v>
      </c>
      <c r="I15" s="1">
        <v>3</v>
      </c>
      <c r="J15" s="1">
        <v>3</v>
      </c>
    </row>
    <row r="16" spans="1:10" ht="15.75" customHeight="1" x14ac:dyDescent="0.3">
      <c r="A16" s="15" t="s">
        <v>119</v>
      </c>
      <c r="B16" s="16" t="s">
        <v>181</v>
      </c>
      <c r="C16" s="20">
        <v>70</v>
      </c>
      <c r="D16" s="18">
        <v>4.2</v>
      </c>
      <c r="E16" s="15">
        <v>23</v>
      </c>
      <c r="F16" s="15">
        <v>0</v>
      </c>
      <c r="G16" s="18"/>
      <c r="H16" s="17">
        <v>3</v>
      </c>
      <c r="I16" s="1">
        <v>2</v>
      </c>
      <c r="J16" s="1">
        <v>2</v>
      </c>
    </row>
    <row r="17" spans="1:10" ht="15.75" customHeight="1" x14ac:dyDescent="0.3">
      <c r="A17" s="15" t="s">
        <v>119</v>
      </c>
      <c r="B17" s="16" t="s">
        <v>198</v>
      </c>
      <c r="C17" s="20">
        <v>70</v>
      </c>
      <c r="D17" s="18">
        <v>4.2</v>
      </c>
      <c r="E17" s="15">
        <v>21</v>
      </c>
      <c r="F17" s="15">
        <v>0</v>
      </c>
      <c r="G17" s="18"/>
      <c r="H17" s="17">
        <v>3</v>
      </c>
      <c r="I17" s="1">
        <v>4</v>
      </c>
      <c r="J17" s="1">
        <v>4</v>
      </c>
    </row>
    <row r="18" spans="1:10" ht="15.75" customHeight="1" x14ac:dyDescent="0.3">
      <c r="A18" s="15" t="s">
        <v>119</v>
      </c>
      <c r="B18" s="16" t="s">
        <v>198</v>
      </c>
      <c r="C18" s="20">
        <v>70</v>
      </c>
      <c r="D18" s="18">
        <v>4.2</v>
      </c>
      <c r="E18" s="15">
        <v>20</v>
      </c>
      <c r="F18" s="15">
        <v>0</v>
      </c>
      <c r="G18" s="18"/>
      <c r="H18" s="17">
        <v>3</v>
      </c>
      <c r="I18" s="1">
        <v>1</v>
      </c>
      <c r="J18" s="1">
        <v>1</v>
      </c>
    </row>
    <row r="19" spans="1:10" ht="15.75" customHeight="1" x14ac:dyDescent="0.3">
      <c r="A19" s="15" t="s">
        <v>119</v>
      </c>
      <c r="B19" s="16" t="s">
        <v>198</v>
      </c>
      <c r="C19" s="20">
        <v>70</v>
      </c>
      <c r="D19" s="18">
        <v>4.2</v>
      </c>
      <c r="E19" s="15">
        <v>21</v>
      </c>
      <c r="F19" s="15">
        <v>0</v>
      </c>
      <c r="G19" s="18"/>
      <c r="H19" s="17">
        <v>3</v>
      </c>
      <c r="I19" s="1">
        <v>1</v>
      </c>
      <c r="J19" s="1">
        <v>1</v>
      </c>
    </row>
    <row r="20" spans="1:10" ht="15.75" customHeight="1" x14ac:dyDescent="0.3">
      <c r="A20" s="15" t="s">
        <v>119</v>
      </c>
      <c r="B20" s="16" t="s">
        <v>198</v>
      </c>
      <c r="C20" s="20">
        <v>70</v>
      </c>
      <c r="D20" s="18">
        <v>4.2</v>
      </c>
      <c r="E20" s="15">
        <v>22</v>
      </c>
      <c r="F20" s="15">
        <v>0</v>
      </c>
      <c r="G20" s="18"/>
      <c r="H20" s="17">
        <v>3</v>
      </c>
      <c r="I20" s="1">
        <v>5</v>
      </c>
      <c r="J20" s="1">
        <v>5</v>
      </c>
    </row>
    <row r="21" spans="1:10" ht="15.75" customHeight="1" x14ac:dyDescent="0.3">
      <c r="A21" s="15" t="s">
        <v>119</v>
      </c>
      <c r="B21" s="16" t="s">
        <v>198</v>
      </c>
      <c r="C21" s="20">
        <v>70</v>
      </c>
      <c r="D21" s="18">
        <v>4.2</v>
      </c>
      <c r="E21" s="15">
        <v>23</v>
      </c>
      <c r="F21" s="15">
        <v>0</v>
      </c>
      <c r="G21" s="18"/>
      <c r="H21" s="17">
        <v>3</v>
      </c>
      <c r="I21" s="1">
        <v>2</v>
      </c>
      <c r="J21" s="1">
        <v>2</v>
      </c>
    </row>
    <row r="22" spans="1:10" ht="15.75" customHeight="1" x14ac:dyDescent="0.3">
      <c r="A22" s="15" t="s">
        <v>119</v>
      </c>
      <c r="B22" s="16" t="s">
        <v>198</v>
      </c>
      <c r="C22" s="20">
        <v>70</v>
      </c>
      <c r="D22" s="18">
        <v>4.2</v>
      </c>
      <c r="E22" s="15">
        <v>22</v>
      </c>
      <c r="F22" s="15">
        <v>0</v>
      </c>
      <c r="G22" s="18"/>
      <c r="H22" s="17">
        <v>3</v>
      </c>
      <c r="I22" s="1">
        <v>1</v>
      </c>
      <c r="J22" s="1">
        <v>1</v>
      </c>
    </row>
    <row r="23" spans="1:10" ht="15.75" customHeight="1" x14ac:dyDescent="0.3">
      <c r="A23" s="15" t="s">
        <v>119</v>
      </c>
      <c r="B23" s="16" t="s">
        <v>198</v>
      </c>
      <c r="C23" s="20">
        <v>70</v>
      </c>
      <c r="D23" s="18">
        <v>4.2</v>
      </c>
      <c r="E23" s="15">
        <v>25</v>
      </c>
      <c r="F23" s="15">
        <v>0</v>
      </c>
      <c r="G23" s="18"/>
      <c r="H23" s="17">
        <v>3</v>
      </c>
      <c r="I23" s="1">
        <v>1</v>
      </c>
      <c r="J23" s="1">
        <v>1</v>
      </c>
    </row>
    <row r="24" spans="1:10" ht="15.75" customHeight="1" x14ac:dyDescent="0.3">
      <c r="A24" s="15" t="s">
        <v>119</v>
      </c>
      <c r="B24" s="16" t="s">
        <v>198</v>
      </c>
      <c r="C24" s="20">
        <v>70</v>
      </c>
      <c r="D24" s="18">
        <v>4.2</v>
      </c>
      <c r="E24" s="15">
        <v>23</v>
      </c>
      <c r="F24" s="15">
        <v>0</v>
      </c>
      <c r="G24" s="18"/>
      <c r="H24" s="17">
        <v>3</v>
      </c>
      <c r="I24" s="1">
        <v>1</v>
      </c>
      <c r="J24" s="1">
        <v>1</v>
      </c>
    </row>
    <row r="25" spans="1:10" ht="15.75" customHeight="1" x14ac:dyDescent="0.3">
      <c r="A25" s="15" t="s">
        <v>119</v>
      </c>
      <c r="B25" s="16" t="s">
        <v>198</v>
      </c>
      <c r="C25" s="20">
        <v>70</v>
      </c>
      <c r="D25" s="18">
        <v>4.2</v>
      </c>
      <c r="E25" s="15">
        <v>29</v>
      </c>
      <c r="F25" s="15">
        <v>0</v>
      </c>
      <c r="G25" s="18"/>
      <c r="H25" s="17">
        <v>3</v>
      </c>
      <c r="I25" s="1">
        <v>1</v>
      </c>
      <c r="J25" s="1">
        <v>1</v>
      </c>
    </row>
    <row r="26" spans="1:10" ht="15.75" customHeight="1" x14ac:dyDescent="0.3">
      <c r="A26" s="15" t="s">
        <v>119</v>
      </c>
      <c r="B26" s="16" t="s">
        <v>198</v>
      </c>
      <c r="C26" s="20">
        <v>70</v>
      </c>
      <c r="D26" s="18">
        <v>4.2</v>
      </c>
      <c r="E26" s="15">
        <v>23</v>
      </c>
      <c r="F26" s="15">
        <v>0</v>
      </c>
      <c r="G26" s="18"/>
      <c r="H26" s="17">
        <v>3</v>
      </c>
      <c r="I26" s="1">
        <v>1</v>
      </c>
      <c r="J26" s="1">
        <v>1</v>
      </c>
    </row>
    <row r="27" spans="1:10" ht="15.75" customHeight="1" x14ac:dyDescent="0.3">
      <c r="A27" s="15" t="s">
        <v>119</v>
      </c>
      <c r="B27" s="16" t="s">
        <v>198</v>
      </c>
      <c r="C27" s="20">
        <v>70</v>
      </c>
      <c r="D27" s="18">
        <v>4.2</v>
      </c>
      <c r="E27" s="15">
        <v>23</v>
      </c>
      <c r="F27" s="15">
        <v>0</v>
      </c>
      <c r="G27" s="18"/>
      <c r="H27" s="17">
        <v>3</v>
      </c>
      <c r="I27" s="1">
        <v>1</v>
      </c>
      <c r="J27" s="1">
        <v>1</v>
      </c>
    </row>
    <row r="28" spans="1:10" ht="15.75" customHeight="1" x14ac:dyDescent="0.3">
      <c r="A28" s="15" t="s">
        <v>119</v>
      </c>
      <c r="B28" s="16" t="s">
        <v>198</v>
      </c>
      <c r="C28" s="15">
        <v>69.17</v>
      </c>
      <c r="D28" s="18">
        <v>4.55</v>
      </c>
      <c r="E28" s="15">
        <v>27.5</v>
      </c>
      <c r="F28" s="15">
        <v>0.56999999999999995</v>
      </c>
      <c r="G28" s="18"/>
      <c r="H28" s="21">
        <v>3</v>
      </c>
      <c r="I28" s="1">
        <v>3</v>
      </c>
      <c r="J28" s="1">
        <v>3</v>
      </c>
    </row>
    <row r="29" spans="1:10" ht="15.75" customHeight="1" x14ac:dyDescent="0.3">
      <c r="A29" s="15" t="s">
        <v>119</v>
      </c>
      <c r="B29" s="16" t="s">
        <v>198</v>
      </c>
      <c r="C29" s="20">
        <v>69</v>
      </c>
      <c r="D29" s="18">
        <v>4.55</v>
      </c>
      <c r="E29" s="15">
        <v>21</v>
      </c>
      <c r="F29" s="15">
        <v>0</v>
      </c>
      <c r="G29" s="18"/>
      <c r="H29" s="21">
        <v>3</v>
      </c>
      <c r="I29" s="1">
        <v>1</v>
      </c>
      <c r="J29" s="1">
        <v>1</v>
      </c>
    </row>
    <row r="30" spans="1:10" ht="15.75" customHeight="1" x14ac:dyDescent="0.3">
      <c r="A30" s="15" t="s">
        <v>134</v>
      </c>
      <c r="B30" s="16" t="s">
        <v>176</v>
      </c>
      <c r="C30" s="15">
        <v>79</v>
      </c>
      <c r="D30" s="18">
        <v>0.309</v>
      </c>
      <c r="E30" s="15">
        <v>23.3</v>
      </c>
      <c r="F30" s="15">
        <v>0.5</v>
      </c>
      <c r="G30" s="47">
        <v>480</v>
      </c>
      <c r="H30" s="17">
        <v>4</v>
      </c>
      <c r="I30" s="1">
        <v>10</v>
      </c>
      <c r="J30" s="1">
        <v>10</v>
      </c>
    </row>
    <row r="31" spans="1:10" ht="15.75" customHeight="1" x14ac:dyDescent="0.3">
      <c r="A31" s="15" t="s">
        <v>134</v>
      </c>
      <c r="B31" s="16" t="s">
        <v>176</v>
      </c>
      <c r="C31" s="15">
        <v>80</v>
      </c>
      <c r="D31" s="18">
        <v>0.32</v>
      </c>
      <c r="E31" s="15">
        <v>24</v>
      </c>
      <c r="F31" s="15">
        <v>0</v>
      </c>
      <c r="G31" s="47"/>
      <c r="H31" s="17">
        <v>4</v>
      </c>
      <c r="I31" s="1">
        <v>7</v>
      </c>
      <c r="J31" s="1">
        <v>7</v>
      </c>
    </row>
    <row r="32" spans="1:10" ht="15.75" customHeight="1" x14ac:dyDescent="0.3">
      <c r="A32" s="15" t="s">
        <v>134</v>
      </c>
      <c r="B32" s="16" t="s">
        <v>177</v>
      </c>
      <c r="C32" s="15">
        <v>80</v>
      </c>
      <c r="D32" s="18">
        <v>1.85</v>
      </c>
      <c r="E32" s="15">
        <v>25.3</v>
      </c>
      <c r="F32" s="15">
        <v>0.8</v>
      </c>
      <c r="G32" s="47">
        <v>480</v>
      </c>
      <c r="H32" s="17">
        <v>3</v>
      </c>
      <c r="I32" s="1">
        <v>14</v>
      </c>
      <c r="J32" s="1">
        <v>17</v>
      </c>
    </row>
    <row r="33" spans="1:10" ht="15.75" customHeight="1" x14ac:dyDescent="0.3">
      <c r="A33" s="15" t="s">
        <v>134</v>
      </c>
      <c r="B33" s="23" t="s">
        <v>177</v>
      </c>
      <c r="C33" s="15">
        <v>58</v>
      </c>
      <c r="D33" s="18">
        <v>0.27</v>
      </c>
      <c r="E33" s="15">
        <v>26.8</v>
      </c>
      <c r="F33" s="15">
        <v>0.5</v>
      </c>
      <c r="G33" s="47"/>
      <c r="H33" s="17">
        <v>3</v>
      </c>
      <c r="I33" s="1">
        <v>5</v>
      </c>
      <c r="J33" s="1">
        <v>5</v>
      </c>
    </row>
    <row r="34" spans="1:10" ht="15.75" customHeight="1" x14ac:dyDescent="0.3">
      <c r="A34" s="15" t="s">
        <v>134</v>
      </c>
      <c r="B34" s="23" t="s">
        <v>200</v>
      </c>
      <c r="C34" s="20">
        <v>77</v>
      </c>
      <c r="D34" s="18">
        <v>0.28999999999999998</v>
      </c>
      <c r="E34" s="15">
        <v>22</v>
      </c>
      <c r="F34" s="15">
        <v>0</v>
      </c>
      <c r="G34" s="18"/>
      <c r="H34" s="17">
        <v>5</v>
      </c>
      <c r="I34" s="1">
        <v>2</v>
      </c>
      <c r="J34" s="1">
        <v>2</v>
      </c>
    </row>
    <row r="35" spans="1:10" ht="15.75" customHeight="1" x14ac:dyDescent="0.3">
      <c r="A35" s="15" t="s">
        <v>134</v>
      </c>
      <c r="B35" s="23" t="s">
        <v>200</v>
      </c>
      <c r="C35" s="15">
        <v>77</v>
      </c>
      <c r="D35" s="18">
        <v>0.28999999999999998</v>
      </c>
      <c r="E35" s="15">
        <v>25.9</v>
      </c>
      <c r="F35" s="15">
        <v>0</v>
      </c>
      <c r="G35" s="47">
        <v>480</v>
      </c>
      <c r="H35" s="17">
        <v>5</v>
      </c>
      <c r="I35" s="1">
        <v>12</v>
      </c>
      <c r="J35" s="1">
        <v>12</v>
      </c>
    </row>
    <row r="36" spans="1:10" ht="15.75" customHeight="1" x14ac:dyDescent="0.3">
      <c r="A36" s="15" t="s">
        <v>134</v>
      </c>
      <c r="B36" s="23" t="s">
        <v>200</v>
      </c>
      <c r="C36" s="15">
        <v>55</v>
      </c>
      <c r="D36" s="18">
        <v>4.9000000000000002E-2</v>
      </c>
      <c r="E36" s="15">
        <v>27.2</v>
      </c>
      <c r="F36" s="15">
        <v>0</v>
      </c>
      <c r="G36" s="47"/>
      <c r="H36" s="17">
        <v>5</v>
      </c>
      <c r="I36" s="1">
        <v>3</v>
      </c>
      <c r="J36" s="1">
        <v>3</v>
      </c>
    </row>
    <row r="37" spans="1:10" ht="15.75" customHeight="1" x14ac:dyDescent="0.3">
      <c r="A37" s="15" t="s">
        <v>134</v>
      </c>
      <c r="B37" s="23" t="s">
        <v>180</v>
      </c>
      <c r="C37" s="15">
        <v>76</v>
      </c>
      <c r="D37" s="18">
        <v>0.30399999999999999</v>
      </c>
      <c r="E37" s="15">
        <v>24.9</v>
      </c>
      <c r="F37" s="15">
        <v>2</v>
      </c>
      <c r="G37" s="47">
        <v>480</v>
      </c>
      <c r="H37" s="17">
        <v>5</v>
      </c>
      <c r="I37" s="1">
        <v>0</v>
      </c>
      <c r="J37" s="1">
        <v>0</v>
      </c>
    </row>
    <row r="38" spans="1:10" ht="15.75" customHeight="1" x14ac:dyDescent="0.3">
      <c r="A38" s="15" t="s">
        <v>134</v>
      </c>
      <c r="B38" s="23" t="s">
        <v>180</v>
      </c>
      <c r="C38" s="15">
        <v>47</v>
      </c>
      <c r="D38" s="18">
        <v>0.13600000000000001</v>
      </c>
      <c r="E38" s="15">
        <v>29.3</v>
      </c>
      <c r="F38" s="15">
        <v>0.7</v>
      </c>
      <c r="G38" s="47"/>
      <c r="H38" s="17">
        <v>5</v>
      </c>
      <c r="I38" s="1">
        <v>2</v>
      </c>
      <c r="J38" s="1">
        <v>3</v>
      </c>
    </row>
    <row r="39" spans="1:10" ht="15.75" customHeight="1" x14ac:dyDescent="0.3">
      <c r="A39" s="15" t="s">
        <v>134</v>
      </c>
      <c r="B39" s="23" t="s">
        <v>181</v>
      </c>
      <c r="C39" s="20">
        <v>63</v>
      </c>
      <c r="D39" s="18">
        <v>0.08</v>
      </c>
      <c r="E39" s="15">
        <v>21</v>
      </c>
      <c r="F39" s="15">
        <v>0</v>
      </c>
      <c r="G39" s="18"/>
      <c r="H39" s="17">
        <v>3</v>
      </c>
      <c r="I39" s="1">
        <v>1</v>
      </c>
      <c r="J39" s="1">
        <v>1</v>
      </c>
    </row>
    <row r="40" spans="1:10" ht="15.75" customHeight="1" x14ac:dyDescent="0.3">
      <c r="A40" s="15" t="s">
        <v>138</v>
      </c>
      <c r="B40" s="23" t="s">
        <v>181</v>
      </c>
      <c r="C40" s="15">
        <v>63</v>
      </c>
      <c r="D40" s="18">
        <v>6.6900000000000001E-2</v>
      </c>
      <c r="E40" s="15">
        <v>33.700000000000003</v>
      </c>
      <c r="F40" s="15">
        <v>2.4</v>
      </c>
      <c r="G40" s="47">
        <v>480</v>
      </c>
      <c r="H40" s="17">
        <v>3</v>
      </c>
      <c r="I40" s="1">
        <v>4</v>
      </c>
      <c r="J40" s="1">
        <v>4</v>
      </c>
    </row>
    <row r="41" spans="1:10" ht="15.75" customHeight="1" x14ac:dyDescent="0.3">
      <c r="A41" s="15" t="s">
        <v>134</v>
      </c>
      <c r="B41" s="23" t="s">
        <v>181</v>
      </c>
      <c r="C41" s="15">
        <v>44</v>
      </c>
      <c r="D41" s="18">
        <v>21.4</v>
      </c>
      <c r="E41" s="15">
        <v>34.4</v>
      </c>
      <c r="F41" s="15">
        <v>2</v>
      </c>
      <c r="G41" s="47"/>
      <c r="H41" s="17">
        <v>3</v>
      </c>
      <c r="I41" s="1">
        <v>4</v>
      </c>
      <c r="J41" s="1">
        <v>4</v>
      </c>
    </row>
    <row r="42" spans="1:10" ht="15.75" customHeight="1" x14ac:dyDescent="0.3">
      <c r="A42" s="15" t="s">
        <v>134</v>
      </c>
      <c r="B42" s="23" t="s">
        <v>198</v>
      </c>
      <c r="C42" s="15">
        <v>57</v>
      </c>
      <c r="D42" s="18">
        <v>32.799999999999997</v>
      </c>
      <c r="E42" s="15">
        <v>30.4</v>
      </c>
      <c r="F42" s="15">
        <v>3.9</v>
      </c>
      <c r="G42" s="47">
        <v>480</v>
      </c>
      <c r="H42" s="17">
        <v>3</v>
      </c>
      <c r="I42" s="1">
        <v>1</v>
      </c>
      <c r="J42" s="1">
        <v>1</v>
      </c>
    </row>
    <row r="43" spans="1:10" ht="15.75" customHeight="1" x14ac:dyDescent="0.3">
      <c r="A43" s="15" t="s">
        <v>134</v>
      </c>
      <c r="B43" s="15" t="s">
        <v>198</v>
      </c>
      <c r="C43" s="15">
        <v>28</v>
      </c>
      <c r="D43" s="18">
        <v>31.5</v>
      </c>
      <c r="E43" s="15">
        <v>43.8</v>
      </c>
      <c r="F43" s="15">
        <v>1.1000000000000001</v>
      </c>
      <c r="G43" s="47"/>
      <c r="H43" s="17">
        <v>3</v>
      </c>
      <c r="I43" s="1">
        <v>2</v>
      </c>
      <c r="J43" s="1">
        <v>2</v>
      </c>
    </row>
    <row r="44" spans="1:10" ht="15.75" customHeight="1" x14ac:dyDescent="0.3">
      <c r="A44" s="15" t="s">
        <v>141</v>
      </c>
      <c r="B44" s="26" t="s">
        <v>176</v>
      </c>
      <c r="C44" s="30">
        <v>95</v>
      </c>
      <c r="D44" s="29">
        <v>0.59</v>
      </c>
      <c r="E44" s="30">
        <v>23.4</v>
      </c>
      <c r="F44" s="30">
        <v>0</v>
      </c>
      <c r="G44" s="31">
        <v>480</v>
      </c>
      <c r="H44" s="21">
        <v>4</v>
      </c>
      <c r="I44" s="1">
        <v>9</v>
      </c>
      <c r="J44" s="1">
        <v>18</v>
      </c>
    </row>
    <row r="45" spans="1:10" ht="15.75" customHeight="1" x14ac:dyDescent="0.3">
      <c r="A45" s="15" t="s">
        <v>141</v>
      </c>
      <c r="B45" s="26" t="s">
        <v>177</v>
      </c>
      <c r="C45" s="30">
        <v>99</v>
      </c>
      <c r="D45" s="29">
        <v>34.6</v>
      </c>
      <c r="E45" s="30">
        <v>25.4</v>
      </c>
      <c r="F45" s="30">
        <v>2.2999999999999998</v>
      </c>
      <c r="G45" s="29"/>
      <c r="H45" s="21">
        <v>3</v>
      </c>
      <c r="I45" s="1">
        <v>11</v>
      </c>
      <c r="J45" s="1">
        <v>11</v>
      </c>
    </row>
    <row r="46" spans="1:10" ht="15.75" customHeight="1" x14ac:dyDescent="0.3">
      <c r="A46" s="15" t="s">
        <v>141</v>
      </c>
      <c r="B46" s="26" t="s">
        <v>200</v>
      </c>
      <c r="C46" s="33">
        <v>99</v>
      </c>
      <c r="D46" s="29">
        <v>0.42</v>
      </c>
      <c r="E46" s="30">
        <v>22</v>
      </c>
      <c r="F46" s="30">
        <v>0</v>
      </c>
      <c r="G46" s="29"/>
      <c r="H46" s="21">
        <v>5</v>
      </c>
      <c r="I46" s="1">
        <v>7</v>
      </c>
      <c r="J46" s="1">
        <v>10</v>
      </c>
    </row>
    <row r="47" spans="1:10" ht="15.75" customHeight="1" x14ac:dyDescent="0.3">
      <c r="A47" s="15" t="s">
        <v>141</v>
      </c>
      <c r="B47" s="26" t="s">
        <v>200</v>
      </c>
      <c r="C47" s="30">
        <v>99</v>
      </c>
      <c r="D47" s="34">
        <v>0.47249999999999998</v>
      </c>
      <c r="E47" s="30">
        <v>25.7</v>
      </c>
      <c r="F47" s="26">
        <v>0</v>
      </c>
      <c r="G47" s="30">
        <v>480</v>
      </c>
      <c r="H47" s="21">
        <v>5</v>
      </c>
      <c r="I47" s="1">
        <v>8</v>
      </c>
      <c r="J47" s="1">
        <v>9</v>
      </c>
    </row>
    <row r="48" spans="1:10" ht="15.75" customHeight="1" x14ac:dyDescent="0.3">
      <c r="A48" s="15" t="s">
        <v>141</v>
      </c>
      <c r="B48" s="26" t="s">
        <v>200</v>
      </c>
      <c r="C48" s="30">
        <v>99</v>
      </c>
      <c r="D48" s="29">
        <v>32.6</v>
      </c>
      <c r="E48" s="30">
        <v>23.7</v>
      </c>
      <c r="F48" s="26">
        <v>0</v>
      </c>
      <c r="G48" s="26"/>
      <c r="H48" s="21">
        <v>5</v>
      </c>
      <c r="I48" s="1">
        <v>3</v>
      </c>
      <c r="J48" s="1">
        <v>3</v>
      </c>
    </row>
    <row r="49" spans="1:10" ht="15.75" customHeight="1" x14ac:dyDescent="0.3">
      <c r="A49" s="15" t="s">
        <v>141</v>
      </c>
      <c r="B49" s="26" t="s">
        <v>180</v>
      </c>
      <c r="C49" s="30">
        <v>97</v>
      </c>
      <c r="D49" s="35">
        <v>0.53600000000000003</v>
      </c>
      <c r="E49" s="30">
        <v>24.9</v>
      </c>
      <c r="F49" s="30">
        <v>0</v>
      </c>
      <c r="G49" s="30">
        <v>480</v>
      </c>
      <c r="H49" s="21">
        <v>5</v>
      </c>
      <c r="I49" s="1">
        <v>5</v>
      </c>
      <c r="J49" s="1">
        <v>9</v>
      </c>
    </row>
    <row r="50" spans="1:10" ht="15.75" customHeight="1" x14ac:dyDescent="0.3">
      <c r="A50" s="15" t="s">
        <v>141</v>
      </c>
      <c r="B50" s="26" t="s">
        <v>180</v>
      </c>
      <c r="C50" s="30">
        <v>99</v>
      </c>
      <c r="D50" s="29">
        <v>47.9</v>
      </c>
      <c r="E50" s="30">
        <v>24.1</v>
      </c>
      <c r="F50" s="30">
        <v>0.5</v>
      </c>
      <c r="G50" s="30"/>
      <c r="H50" s="21">
        <v>5</v>
      </c>
      <c r="I50" s="1">
        <v>1</v>
      </c>
      <c r="J50" s="1">
        <v>1</v>
      </c>
    </row>
    <row r="51" spans="1:10" ht="15.75" customHeight="1" x14ac:dyDescent="0.3">
      <c r="A51" s="15" t="s">
        <v>141</v>
      </c>
      <c r="B51" s="26" t="s">
        <v>181</v>
      </c>
      <c r="C51" s="30">
        <v>99</v>
      </c>
      <c r="D51" s="29">
        <v>53.2</v>
      </c>
      <c r="E51" s="30">
        <v>27.5</v>
      </c>
      <c r="F51" s="30">
        <v>0</v>
      </c>
      <c r="G51" s="30">
        <v>480</v>
      </c>
      <c r="H51" s="21">
        <v>3</v>
      </c>
      <c r="I51" s="1">
        <v>4</v>
      </c>
      <c r="J51" s="1">
        <v>7</v>
      </c>
    </row>
    <row r="52" spans="1:10" ht="15.75" customHeight="1" x14ac:dyDescent="0.3">
      <c r="A52" s="15" t="s">
        <v>141</v>
      </c>
      <c r="B52" s="26" t="s">
        <v>181</v>
      </c>
      <c r="C52" s="30">
        <v>99</v>
      </c>
      <c r="D52" s="29">
        <v>8.23</v>
      </c>
      <c r="E52" s="30">
        <v>23.7</v>
      </c>
      <c r="F52" s="30">
        <v>0</v>
      </c>
      <c r="G52" s="30"/>
      <c r="H52" s="21">
        <v>3</v>
      </c>
      <c r="I52" s="1">
        <v>2</v>
      </c>
      <c r="J52" s="1">
        <v>4</v>
      </c>
    </row>
    <row r="53" spans="1:10" ht="15.75" customHeight="1" x14ac:dyDescent="0.3">
      <c r="A53" s="15" t="s">
        <v>141</v>
      </c>
      <c r="B53" s="26" t="s">
        <v>198</v>
      </c>
      <c r="C53" s="30">
        <v>77</v>
      </c>
      <c r="D53" s="29">
        <v>8.5399999999999991</v>
      </c>
      <c r="E53" s="30">
        <v>28</v>
      </c>
      <c r="F53" s="30">
        <v>1.75</v>
      </c>
      <c r="G53" s="30">
        <v>480</v>
      </c>
      <c r="H53" s="21">
        <v>3</v>
      </c>
      <c r="I53" s="1">
        <v>6</v>
      </c>
      <c r="J53" s="1">
        <v>12</v>
      </c>
    </row>
    <row r="54" spans="1:10" ht="15.75" customHeight="1" x14ac:dyDescent="0.3">
      <c r="A54" s="15" t="s">
        <v>141</v>
      </c>
      <c r="B54" s="26" t="s">
        <v>198</v>
      </c>
      <c r="C54" s="30">
        <v>99</v>
      </c>
      <c r="D54" s="29">
        <v>7.51</v>
      </c>
      <c r="E54" s="30">
        <v>23.7</v>
      </c>
      <c r="F54" s="30">
        <v>0</v>
      </c>
      <c r="G54" s="30"/>
      <c r="H54" s="21">
        <v>3</v>
      </c>
      <c r="I54" s="1">
        <v>4</v>
      </c>
      <c r="J54" s="1">
        <v>15</v>
      </c>
    </row>
    <row r="55" spans="1:10" ht="15.75" customHeight="1" x14ac:dyDescent="0.3">
      <c r="A55" s="15" t="s">
        <v>141</v>
      </c>
      <c r="B55" s="27" t="s">
        <v>183</v>
      </c>
      <c r="C55" s="30">
        <v>79</v>
      </c>
      <c r="D55" s="29">
        <v>73.7</v>
      </c>
      <c r="E55" s="30">
        <v>29.1</v>
      </c>
      <c r="F55" s="30">
        <v>1</v>
      </c>
      <c r="G55" s="26"/>
      <c r="H55" s="21">
        <v>3</v>
      </c>
      <c r="I55" s="1">
        <v>0</v>
      </c>
      <c r="J55" s="1">
        <v>0</v>
      </c>
    </row>
    <row r="56" spans="1:10" ht="15.75" customHeight="1" x14ac:dyDescent="0.3">
      <c r="A56" s="15" t="s">
        <v>141</v>
      </c>
      <c r="B56" s="27" t="s">
        <v>185</v>
      </c>
      <c r="C56" s="33">
        <v>73</v>
      </c>
      <c r="D56" s="29">
        <v>50.3</v>
      </c>
      <c r="E56" s="30">
        <v>17</v>
      </c>
      <c r="F56" s="30">
        <v>0</v>
      </c>
      <c r="G56" s="26"/>
      <c r="H56" s="21"/>
      <c r="I56" s="1">
        <v>2</v>
      </c>
      <c r="J56" s="1">
        <v>2</v>
      </c>
    </row>
    <row r="57" spans="1:10" ht="15.75" customHeight="1" x14ac:dyDescent="0.3">
      <c r="A57" s="15" t="s">
        <v>141</v>
      </c>
      <c r="B57" s="27" t="s">
        <v>185</v>
      </c>
      <c r="C57" s="30">
        <v>72</v>
      </c>
      <c r="D57" s="29">
        <v>50.4</v>
      </c>
      <c r="E57" s="30">
        <v>30.4</v>
      </c>
      <c r="F57" s="30">
        <v>0</v>
      </c>
      <c r="G57" s="26"/>
      <c r="H57" s="21">
        <v>1</v>
      </c>
      <c r="I57" s="1">
        <v>3</v>
      </c>
      <c r="J57" s="1">
        <v>7</v>
      </c>
    </row>
    <row r="58" spans="1:10" ht="15.75" customHeight="1" x14ac:dyDescent="0.3">
      <c r="A58" s="15" t="s">
        <v>141</v>
      </c>
      <c r="B58" s="27" t="s">
        <v>186</v>
      </c>
      <c r="C58" s="30">
        <v>75</v>
      </c>
      <c r="D58" s="35">
        <v>0.71899999999999997</v>
      </c>
      <c r="E58" s="30">
        <v>25.8</v>
      </c>
      <c r="F58" s="30">
        <v>0</v>
      </c>
      <c r="G58" s="26"/>
      <c r="H58" s="21">
        <v>6</v>
      </c>
      <c r="I58" s="1">
        <v>0</v>
      </c>
      <c r="J58" s="1">
        <v>0</v>
      </c>
    </row>
    <row r="59" spans="1:10" ht="15.75" customHeight="1" x14ac:dyDescent="0.3">
      <c r="A59" s="15" t="s">
        <v>146</v>
      </c>
      <c r="B59" s="23" t="s">
        <v>176</v>
      </c>
      <c r="C59" s="15">
        <v>99</v>
      </c>
      <c r="D59" s="36">
        <v>0.27700000000000002</v>
      </c>
      <c r="E59" s="15">
        <v>26.4</v>
      </c>
      <c r="F59" s="15">
        <v>0</v>
      </c>
      <c r="G59" s="15"/>
      <c r="H59" s="17">
        <v>4</v>
      </c>
      <c r="I59" s="1">
        <v>6</v>
      </c>
      <c r="J59" s="1">
        <v>22</v>
      </c>
    </row>
    <row r="60" spans="1:10" ht="15.75" customHeight="1" x14ac:dyDescent="0.3">
      <c r="A60" s="15" t="s">
        <v>146</v>
      </c>
      <c r="B60" s="23" t="s">
        <v>177</v>
      </c>
      <c r="C60" s="15">
        <v>92</v>
      </c>
      <c r="D60" s="18">
        <v>0.78</v>
      </c>
      <c r="E60" s="15">
        <v>24.6</v>
      </c>
      <c r="F60" s="15">
        <v>0</v>
      </c>
      <c r="G60" s="15"/>
      <c r="H60" s="17">
        <v>3</v>
      </c>
      <c r="I60" s="1">
        <v>9</v>
      </c>
      <c r="J60" s="1">
        <v>14</v>
      </c>
    </row>
    <row r="61" spans="1:10" ht="15.75" customHeight="1" x14ac:dyDescent="0.3">
      <c r="A61" s="15" t="s">
        <v>146</v>
      </c>
      <c r="B61" s="23" t="s">
        <v>200</v>
      </c>
      <c r="C61" s="15">
        <v>94</v>
      </c>
      <c r="D61" s="36">
        <v>0.50800000000000001</v>
      </c>
      <c r="E61" s="15">
        <v>24.8</v>
      </c>
      <c r="F61" s="15">
        <v>0</v>
      </c>
      <c r="G61" s="15"/>
      <c r="H61" s="17">
        <v>5</v>
      </c>
      <c r="I61" s="1">
        <v>8</v>
      </c>
      <c r="J61" s="1">
        <v>8</v>
      </c>
    </row>
    <row r="62" spans="1:10" ht="15.75" customHeight="1" x14ac:dyDescent="0.3">
      <c r="A62" s="15" t="s">
        <v>146</v>
      </c>
      <c r="B62" s="23" t="s">
        <v>200</v>
      </c>
      <c r="C62" s="15">
        <v>94</v>
      </c>
      <c r="D62" s="36">
        <v>0.5</v>
      </c>
      <c r="E62" s="15">
        <v>24.8</v>
      </c>
      <c r="F62" s="15">
        <v>0</v>
      </c>
      <c r="G62" s="15">
        <v>870</v>
      </c>
      <c r="H62" s="17">
        <v>5</v>
      </c>
      <c r="I62" s="1">
        <v>2</v>
      </c>
      <c r="J62" s="1">
        <v>6</v>
      </c>
    </row>
    <row r="63" spans="1:10" ht="15.75" customHeight="1" x14ac:dyDescent="0.3">
      <c r="A63" s="15" t="s">
        <v>146</v>
      </c>
      <c r="B63" s="23" t="s">
        <v>200</v>
      </c>
      <c r="C63" s="20">
        <v>94</v>
      </c>
      <c r="D63" s="36">
        <v>0.5</v>
      </c>
      <c r="E63" s="15">
        <v>23</v>
      </c>
      <c r="F63" s="15">
        <v>0</v>
      </c>
      <c r="G63" s="15"/>
      <c r="H63" s="17">
        <v>5</v>
      </c>
      <c r="I63" s="1">
        <v>5</v>
      </c>
      <c r="J63" s="1">
        <v>5</v>
      </c>
    </row>
    <row r="64" spans="1:10" ht="15.75" customHeight="1" x14ac:dyDescent="0.3">
      <c r="A64" s="15" t="s">
        <v>146</v>
      </c>
      <c r="B64" s="23" t="s">
        <v>200</v>
      </c>
      <c r="C64" s="20">
        <v>94</v>
      </c>
      <c r="D64" s="36">
        <v>0.5</v>
      </c>
      <c r="E64" s="15">
        <v>22</v>
      </c>
      <c r="F64" s="15">
        <v>0</v>
      </c>
      <c r="G64" s="15"/>
      <c r="H64" s="17">
        <v>5</v>
      </c>
      <c r="I64" s="1">
        <v>1</v>
      </c>
      <c r="J64" s="1">
        <v>1</v>
      </c>
    </row>
    <row r="65" spans="1:10" ht="15.75" customHeight="1" x14ac:dyDescent="0.3">
      <c r="A65" s="15" t="s">
        <v>146</v>
      </c>
      <c r="B65" s="23" t="s">
        <v>181</v>
      </c>
      <c r="C65" s="15">
        <v>99</v>
      </c>
      <c r="D65" s="18">
        <v>7.59</v>
      </c>
      <c r="E65" s="15">
        <v>23.9</v>
      </c>
      <c r="F65" s="15">
        <v>0</v>
      </c>
      <c r="G65" s="15">
        <v>870</v>
      </c>
      <c r="H65" s="17">
        <v>3</v>
      </c>
      <c r="I65" s="1">
        <v>5</v>
      </c>
      <c r="J65" s="1">
        <v>6</v>
      </c>
    </row>
    <row r="66" spans="1:10" ht="15.75" customHeight="1" x14ac:dyDescent="0.3">
      <c r="A66" s="15" t="s">
        <v>146</v>
      </c>
      <c r="B66" s="23" t="s">
        <v>198</v>
      </c>
      <c r="C66" s="15">
        <v>99</v>
      </c>
      <c r="D66" s="18">
        <v>13.05</v>
      </c>
      <c r="E66" s="15">
        <v>25.9</v>
      </c>
      <c r="F66" s="15">
        <v>0.45</v>
      </c>
      <c r="G66" s="15">
        <v>870</v>
      </c>
      <c r="H66" s="17">
        <v>3</v>
      </c>
      <c r="I66" s="1">
        <v>4</v>
      </c>
      <c r="J66" s="1">
        <v>4</v>
      </c>
    </row>
    <row r="67" spans="1:10" ht="15.75" customHeight="1" x14ac:dyDescent="0.3">
      <c r="A67" s="15" t="s">
        <v>146</v>
      </c>
      <c r="B67" s="23" t="s">
        <v>199</v>
      </c>
      <c r="C67" s="15">
        <v>93</v>
      </c>
      <c r="D67" s="18">
        <v>6.64</v>
      </c>
      <c r="E67" s="15">
        <v>26</v>
      </c>
      <c r="F67" s="15">
        <v>0</v>
      </c>
      <c r="G67" s="15">
        <v>870</v>
      </c>
      <c r="H67" s="17">
        <v>2</v>
      </c>
      <c r="I67" s="1">
        <v>7</v>
      </c>
      <c r="J67" s="1">
        <v>13</v>
      </c>
    </row>
    <row r="68" spans="1:10" ht="15.75" customHeight="1" x14ac:dyDescent="0.3">
      <c r="A68" s="15" t="s">
        <v>146</v>
      </c>
      <c r="B68" s="23" t="s">
        <v>199</v>
      </c>
      <c r="C68" s="15">
        <v>59</v>
      </c>
      <c r="D68" s="18">
        <v>39.5</v>
      </c>
      <c r="E68" s="15">
        <v>31.13</v>
      </c>
      <c r="F68" s="15">
        <v>2.1</v>
      </c>
      <c r="G68" s="15"/>
      <c r="H68" s="17">
        <v>2</v>
      </c>
      <c r="I68" s="1">
        <v>4</v>
      </c>
      <c r="J68" s="1">
        <v>9</v>
      </c>
    </row>
    <row r="69" spans="1:10" ht="15.75" customHeight="1" x14ac:dyDescent="0.3">
      <c r="A69" s="15" t="s">
        <v>146</v>
      </c>
      <c r="B69" s="23" t="s">
        <v>199</v>
      </c>
      <c r="C69" s="15">
        <v>80</v>
      </c>
      <c r="D69" s="18">
        <v>6.56</v>
      </c>
      <c r="E69" s="15">
        <v>23.9</v>
      </c>
      <c r="F69" s="15">
        <v>0</v>
      </c>
      <c r="G69" s="15"/>
      <c r="H69" s="17">
        <v>2</v>
      </c>
      <c r="I69" s="1">
        <v>0</v>
      </c>
      <c r="J69" s="1">
        <v>0</v>
      </c>
    </row>
    <row r="70" spans="1:10" ht="15.75" customHeight="1" x14ac:dyDescent="0.3">
      <c r="A70" s="15" t="s">
        <v>146</v>
      </c>
      <c r="B70" s="23" t="s">
        <v>183</v>
      </c>
      <c r="C70" s="15">
        <v>79</v>
      </c>
      <c r="D70" s="18">
        <v>15.5</v>
      </c>
      <c r="E70" s="15">
        <v>28.3</v>
      </c>
      <c r="F70" s="15">
        <v>0</v>
      </c>
      <c r="G70" s="15">
        <v>1360</v>
      </c>
      <c r="H70" s="17">
        <v>3</v>
      </c>
      <c r="I70" s="1">
        <v>3</v>
      </c>
      <c r="J70" s="1">
        <v>3</v>
      </c>
    </row>
    <row r="71" spans="1:10" ht="15.75" customHeight="1" x14ac:dyDescent="0.3">
      <c r="A71" s="15" t="s">
        <v>146</v>
      </c>
      <c r="B71" s="23" t="s">
        <v>183</v>
      </c>
      <c r="C71" s="15">
        <v>79</v>
      </c>
      <c r="D71" s="18">
        <v>4.87</v>
      </c>
      <c r="E71" s="15">
        <v>25.2</v>
      </c>
      <c r="F71" s="15">
        <v>0</v>
      </c>
      <c r="G71" s="15"/>
      <c r="H71" s="17">
        <v>3</v>
      </c>
      <c r="I71" s="1">
        <v>0</v>
      </c>
      <c r="J71" s="1">
        <v>0</v>
      </c>
    </row>
    <row r="72" spans="1:10" ht="15.75" customHeight="1" x14ac:dyDescent="0.3">
      <c r="A72" s="15" t="s">
        <v>146</v>
      </c>
      <c r="B72" s="23" t="s">
        <v>185</v>
      </c>
      <c r="C72" s="15">
        <v>86</v>
      </c>
      <c r="D72" s="18">
        <v>19.5</v>
      </c>
      <c r="E72" s="15">
        <v>27.4</v>
      </c>
      <c r="F72" s="15">
        <v>2.9</v>
      </c>
      <c r="G72" s="15">
        <v>1360</v>
      </c>
      <c r="H72" s="17">
        <v>1</v>
      </c>
      <c r="I72" s="1">
        <v>3</v>
      </c>
      <c r="J72" s="1">
        <v>5</v>
      </c>
    </row>
    <row r="73" spans="1:10" ht="15.75" customHeight="1" x14ac:dyDescent="0.3">
      <c r="A73" s="15" t="s">
        <v>146</v>
      </c>
      <c r="B73" s="23" t="s">
        <v>186</v>
      </c>
      <c r="C73" s="15">
        <v>79</v>
      </c>
      <c r="D73" s="18">
        <v>0.56999999999999995</v>
      </c>
      <c r="E73" s="15">
        <v>24.8</v>
      </c>
      <c r="F73" s="15">
        <v>0</v>
      </c>
      <c r="G73" s="15">
        <v>1360</v>
      </c>
      <c r="H73" s="17">
        <v>6</v>
      </c>
      <c r="I73" s="1">
        <v>3</v>
      </c>
      <c r="J73" s="1">
        <v>4</v>
      </c>
    </row>
    <row r="74" spans="1:10" ht="15.75" customHeight="1" x14ac:dyDescent="0.3">
      <c r="A74" s="15" t="s">
        <v>146</v>
      </c>
      <c r="B74" s="23" t="s">
        <v>186</v>
      </c>
      <c r="C74" s="15">
        <v>96</v>
      </c>
      <c r="D74" s="18">
        <v>15.05</v>
      </c>
      <c r="E74" s="15">
        <v>30.2</v>
      </c>
      <c r="F74" s="15">
        <v>0</v>
      </c>
      <c r="G74" s="15"/>
      <c r="H74" s="17">
        <v>6</v>
      </c>
      <c r="I74" s="1">
        <v>2</v>
      </c>
      <c r="J74" s="1">
        <v>6</v>
      </c>
    </row>
    <row r="75" spans="1:10" ht="15.75" customHeight="1" x14ac:dyDescent="0.3">
      <c r="A75" s="15" t="s">
        <v>146</v>
      </c>
      <c r="B75" s="15" t="s">
        <v>186</v>
      </c>
      <c r="C75" s="15">
        <v>57</v>
      </c>
      <c r="D75" s="18">
        <v>153.19999999999999</v>
      </c>
      <c r="E75" s="15">
        <v>30.2</v>
      </c>
      <c r="F75" s="15">
        <v>0.4</v>
      </c>
      <c r="G75" s="15"/>
      <c r="H75" s="17">
        <v>6</v>
      </c>
      <c r="I75" s="1">
        <v>2</v>
      </c>
      <c r="J75" s="1">
        <v>3</v>
      </c>
    </row>
    <row r="76" spans="1:10" ht="15.75" customHeight="1" x14ac:dyDescent="0.3">
      <c r="A76" s="15" t="s">
        <v>153</v>
      </c>
      <c r="B76" s="23" t="s">
        <v>176</v>
      </c>
      <c r="C76" s="15">
        <v>98</v>
      </c>
      <c r="D76" s="18">
        <v>7.54</v>
      </c>
      <c r="E76" s="15">
        <v>25.8</v>
      </c>
      <c r="F76" s="15">
        <v>0</v>
      </c>
      <c r="G76" s="15"/>
      <c r="H76" s="17">
        <v>4</v>
      </c>
      <c r="I76" s="1">
        <v>5</v>
      </c>
      <c r="J76" s="1">
        <v>7</v>
      </c>
    </row>
    <row r="77" spans="1:10" ht="15.75" customHeight="1" x14ac:dyDescent="0.3">
      <c r="A77" s="15" t="s">
        <v>153</v>
      </c>
      <c r="B77" s="23" t="s">
        <v>176</v>
      </c>
      <c r="C77" s="15">
        <v>99</v>
      </c>
      <c r="D77" s="18">
        <v>6.06</v>
      </c>
      <c r="E77" s="15">
        <v>25.35</v>
      </c>
      <c r="F77" s="15">
        <v>0</v>
      </c>
      <c r="G77" s="15">
        <v>580</v>
      </c>
      <c r="H77" s="17">
        <v>4</v>
      </c>
      <c r="I77" s="1">
        <v>9</v>
      </c>
      <c r="J77" s="1">
        <v>9</v>
      </c>
    </row>
    <row r="78" spans="1:10" ht="15.75" customHeight="1" x14ac:dyDescent="0.3">
      <c r="A78" s="15" t="s">
        <v>153</v>
      </c>
      <c r="B78" s="23" t="s">
        <v>177</v>
      </c>
      <c r="C78" s="15">
        <v>98</v>
      </c>
      <c r="D78" s="18">
        <v>0.77</v>
      </c>
      <c r="E78" s="15">
        <v>22.6</v>
      </c>
      <c r="F78" s="15">
        <v>0</v>
      </c>
      <c r="G78" s="15">
        <v>580</v>
      </c>
      <c r="H78" s="17">
        <v>3</v>
      </c>
      <c r="I78" s="1">
        <v>8</v>
      </c>
      <c r="J78" s="1">
        <v>14</v>
      </c>
    </row>
    <row r="79" spans="1:10" ht="15.75" customHeight="1" x14ac:dyDescent="0.3">
      <c r="A79" s="15" t="s">
        <v>153</v>
      </c>
      <c r="B79" s="23" t="s">
        <v>177</v>
      </c>
      <c r="C79" s="15">
        <v>82</v>
      </c>
      <c r="D79" s="36">
        <v>0.19800000000000001</v>
      </c>
      <c r="E79" s="15">
        <v>24.3</v>
      </c>
      <c r="F79" s="15">
        <v>0</v>
      </c>
      <c r="G79" s="15"/>
      <c r="H79" s="17">
        <v>3</v>
      </c>
      <c r="I79" s="1">
        <v>9</v>
      </c>
      <c r="J79" s="1">
        <v>12</v>
      </c>
    </row>
    <row r="80" spans="1:10" ht="15.75" customHeight="1" x14ac:dyDescent="0.3">
      <c r="A80" s="15" t="s">
        <v>153</v>
      </c>
      <c r="B80" s="23" t="s">
        <v>200</v>
      </c>
      <c r="C80" s="15">
        <v>98</v>
      </c>
      <c r="D80" s="18">
        <v>3.69</v>
      </c>
      <c r="E80" s="15">
        <v>22.35</v>
      </c>
      <c r="F80" s="15">
        <v>0</v>
      </c>
      <c r="G80" s="15">
        <v>870</v>
      </c>
      <c r="H80" s="17">
        <v>5</v>
      </c>
      <c r="I80" s="1">
        <v>3</v>
      </c>
      <c r="J80" s="1">
        <v>7</v>
      </c>
    </row>
    <row r="81" spans="1:10" ht="15.75" customHeight="1" x14ac:dyDescent="0.3">
      <c r="A81" s="15" t="s">
        <v>153</v>
      </c>
      <c r="B81" s="23" t="s">
        <v>200</v>
      </c>
      <c r="C81" s="15">
        <v>98</v>
      </c>
      <c r="D81" s="18">
        <v>3.69</v>
      </c>
      <c r="E81" s="15">
        <v>22.35</v>
      </c>
      <c r="F81" s="15">
        <v>0</v>
      </c>
      <c r="G81" s="15">
        <v>870</v>
      </c>
      <c r="H81" s="17">
        <v>5</v>
      </c>
      <c r="I81" s="1">
        <v>13</v>
      </c>
      <c r="J81" s="1">
        <v>14</v>
      </c>
    </row>
    <row r="82" spans="1:10" ht="15.75" customHeight="1" x14ac:dyDescent="0.3">
      <c r="A82" s="15" t="s">
        <v>153</v>
      </c>
      <c r="B82" s="23" t="s">
        <v>200</v>
      </c>
      <c r="C82" s="15">
        <v>90</v>
      </c>
      <c r="D82" s="36">
        <v>3.5000000000000003E-2</v>
      </c>
      <c r="E82" s="15">
        <v>24.2</v>
      </c>
      <c r="F82" s="15">
        <v>0</v>
      </c>
      <c r="G82" s="15"/>
      <c r="H82" s="17">
        <v>5</v>
      </c>
      <c r="I82" s="1">
        <v>1</v>
      </c>
      <c r="J82" s="1">
        <v>1</v>
      </c>
    </row>
    <row r="83" spans="1:10" ht="15.75" customHeight="1" x14ac:dyDescent="0.3">
      <c r="A83" s="15" t="s">
        <v>153</v>
      </c>
      <c r="B83" s="23" t="s">
        <v>200</v>
      </c>
      <c r="C83" s="15">
        <v>61</v>
      </c>
      <c r="D83" s="36">
        <v>9.4E-2</v>
      </c>
      <c r="E83" s="15">
        <v>25.5</v>
      </c>
      <c r="F83" s="15">
        <v>0</v>
      </c>
      <c r="G83" s="15"/>
      <c r="H83" s="17">
        <v>5</v>
      </c>
      <c r="I83" s="1">
        <v>6</v>
      </c>
      <c r="J83" s="1">
        <v>8</v>
      </c>
    </row>
    <row r="84" spans="1:10" ht="15.75" customHeight="1" x14ac:dyDescent="0.3">
      <c r="A84" s="15" t="s">
        <v>153</v>
      </c>
      <c r="B84" s="23" t="s">
        <v>200</v>
      </c>
      <c r="C84" s="15">
        <v>65</v>
      </c>
      <c r="D84" s="36">
        <v>3.5000000000000003E-2</v>
      </c>
      <c r="E84" s="15">
        <v>25.7</v>
      </c>
      <c r="F84" s="15">
        <v>0</v>
      </c>
      <c r="G84" s="15"/>
      <c r="H84" s="17">
        <v>5</v>
      </c>
      <c r="I84" s="1">
        <v>3</v>
      </c>
      <c r="J84" s="1">
        <v>3</v>
      </c>
    </row>
    <row r="85" spans="1:10" ht="15.75" customHeight="1" x14ac:dyDescent="0.3">
      <c r="A85" s="15" t="s">
        <v>153</v>
      </c>
      <c r="B85" s="23" t="s">
        <v>180</v>
      </c>
      <c r="C85" s="15">
        <v>85</v>
      </c>
      <c r="D85" s="18">
        <v>3.81</v>
      </c>
      <c r="E85" s="15">
        <v>25</v>
      </c>
      <c r="F85" s="15">
        <v>0</v>
      </c>
      <c r="G85" s="15">
        <v>870</v>
      </c>
      <c r="H85" s="17">
        <v>5</v>
      </c>
      <c r="I85" s="1">
        <v>3</v>
      </c>
      <c r="J85" s="1">
        <v>3</v>
      </c>
    </row>
    <row r="86" spans="1:10" ht="15.75" customHeight="1" x14ac:dyDescent="0.3">
      <c r="A86" s="15" t="s">
        <v>153</v>
      </c>
      <c r="B86" s="23" t="s">
        <v>180</v>
      </c>
      <c r="C86" s="15">
        <v>61</v>
      </c>
      <c r="D86" s="18">
        <v>4.78</v>
      </c>
      <c r="E86" s="15">
        <v>28.7</v>
      </c>
      <c r="F86" s="15">
        <v>0</v>
      </c>
      <c r="G86" s="15"/>
      <c r="H86" s="17">
        <v>5</v>
      </c>
      <c r="I86" s="1">
        <v>0</v>
      </c>
      <c r="J86" s="1">
        <v>0</v>
      </c>
    </row>
    <row r="87" spans="1:10" ht="15.75" customHeight="1" x14ac:dyDescent="0.3">
      <c r="A87" s="15" t="s">
        <v>153</v>
      </c>
      <c r="B87" s="23" t="s">
        <v>180</v>
      </c>
      <c r="C87" s="15">
        <v>47</v>
      </c>
      <c r="D87" s="36">
        <v>0.74399999999999999</v>
      </c>
      <c r="E87" s="15">
        <v>29.9</v>
      </c>
      <c r="F87" s="15">
        <v>0</v>
      </c>
      <c r="G87" s="15"/>
      <c r="H87" s="17">
        <v>5</v>
      </c>
      <c r="I87" s="1">
        <v>2</v>
      </c>
      <c r="J87" s="1">
        <v>2</v>
      </c>
    </row>
    <row r="88" spans="1:10" ht="15.75" customHeight="1" x14ac:dyDescent="0.3">
      <c r="A88" s="15" t="s">
        <v>153</v>
      </c>
      <c r="B88" s="23" t="s">
        <v>180</v>
      </c>
      <c r="C88" s="15">
        <v>50</v>
      </c>
      <c r="D88" s="36">
        <v>0.7</v>
      </c>
      <c r="E88" s="15">
        <v>26.3</v>
      </c>
      <c r="F88" s="15">
        <v>0</v>
      </c>
      <c r="G88" s="15"/>
      <c r="H88" s="17">
        <v>5</v>
      </c>
      <c r="I88" s="1">
        <v>2</v>
      </c>
      <c r="J88" s="1">
        <v>5</v>
      </c>
    </row>
    <row r="89" spans="1:10" ht="15.75" customHeight="1" x14ac:dyDescent="0.3">
      <c r="A89" s="15" t="s">
        <v>153</v>
      </c>
      <c r="B89" s="23" t="s">
        <v>181</v>
      </c>
      <c r="C89" s="15">
        <v>85</v>
      </c>
      <c r="D89" s="18">
        <v>13.84</v>
      </c>
      <c r="E89" s="15">
        <v>26.7</v>
      </c>
      <c r="F89" s="15">
        <v>0</v>
      </c>
      <c r="G89" s="15">
        <v>870</v>
      </c>
      <c r="H89" s="17">
        <v>3</v>
      </c>
      <c r="I89" s="1">
        <v>4</v>
      </c>
      <c r="J89" s="1">
        <v>6</v>
      </c>
    </row>
    <row r="90" spans="1:10" ht="15.75" customHeight="1" x14ac:dyDescent="0.3">
      <c r="A90" s="15" t="s">
        <v>153</v>
      </c>
      <c r="B90" s="23" t="s">
        <v>181</v>
      </c>
      <c r="C90" s="15">
        <v>55</v>
      </c>
      <c r="D90" s="18">
        <v>55.3</v>
      </c>
      <c r="E90" s="15">
        <v>30.2</v>
      </c>
      <c r="F90" s="15">
        <v>0</v>
      </c>
      <c r="G90" s="15"/>
      <c r="H90" s="17">
        <v>3</v>
      </c>
      <c r="I90" s="1">
        <v>0</v>
      </c>
      <c r="J90" s="1">
        <v>0</v>
      </c>
    </row>
    <row r="91" spans="1:10" ht="15.75" customHeight="1" x14ac:dyDescent="0.3">
      <c r="A91" s="15" t="s">
        <v>153</v>
      </c>
      <c r="B91" s="23" t="s">
        <v>181</v>
      </c>
      <c r="C91" s="15">
        <v>51</v>
      </c>
      <c r="D91" s="18">
        <v>26.78</v>
      </c>
      <c r="E91" s="15">
        <v>30.7</v>
      </c>
      <c r="F91" s="15">
        <v>0</v>
      </c>
      <c r="G91" s="15"/>
      <c r="H91" s="17">
        <v>3</v>
      </c>
      <c r="I91" s="1">
        <v>2</v>
      </c>
      <c r="J91" s="1">
        <v>2</v>
      </c>
    </row>
    <row r="92" spans="1:10" ht="15.75" customHeight="1" x14ac:dyDescent="0.3">
      <c r="A92" s="15" t="s">
        <v>153</v>
      </c>
      <c r="B92" s="23" t="s">
        <v>198</v>
      </c>
      <c r="C92" s="15">
        <v>90</v>
      </c>
      <c r="D92" s="18">
        <v>8.44</v>
      </c>
      <c r="E92" s="15">
        <v>27.4</v>
      </c>
      <c r="F92" s="15">
        <v>0.8</v>
      </c>
      <c r="G92" s="15">
        <v>870</v>
      </c>
      <c r="H92" s="17">
        <v>3</v>
      </c>
      <c r="I92" s="1">
        <v>12</v>
      </c>
      <c r="J92" s="1">
        <v>17</v>
      </c>
    </row>
    <row r="93" spans="1:10" ht="15.75" customHeight="1" x14ac:dyDescent="0.3">
      <c r="A93" s="15" t="s">
        <v>153</v>
      </c>
      <c r="B93" s="16" t="s">
        <v>198</v>
      </c>
      <c r="C93" s="15">
        <v>58</v>
      </c>
      <c r="D93" s="18">
        <v>30.1</v>
      </c>
      <c r="E93" s="15">
        <v>29.1</v>
      </c>
      <c r="F93" s="15">
        <v>0</v>
      </c>
      <c r="G93" s="15"/>
      <c r="H93" s="17">
        <v>3</v>
      </c>
      <c r="I93" s="1">
        <v>2</v>
      </c>
      <c r="J93" s="1">
        <v>2</v>
      </c>
    </row>
    <row r="94" spans="1:10" ht="15.75" customHeight="1" x14ac:dyDescent="0.3">
      <c r="A94" s="15" t="s">
        <v>153</v>
      </c>
      <c r="B94" s="23" t="s">
        <v>199</v>
      </c>
      <c r="C94" s="15">
        <v>77</v>
      </c>
      <c r="D94" s="36">
        <v>1.79</v>
      </c>
      <c r="E94" s="15">
        <v>23.98</v>
      </c>
      <c r="F94" s="15">
        <v>0.83</v>
      </c>
      <c r="G94" s="15">
        <v>1100</v>
      </c>
      <c r="H94" s="17">
        <v>2</v>
      </c>
      <c r="I94" s="1">
        <v>3</v>
      </c>
      <c r="J94" s="1">
        <v>3</v>
      </c>
    </row>
    <row r="95" spans="1:10" ht="15.75" customHeight="1" x14ac:dyDescent="0.3">
      <c r="A95" s="15" t="s">
        <v>153</v>
      </c>
      <c r="B95" s="23" t="s">
        <v>199</v>
      </c>
      <c r="C95" s="15">
        <v>78</v>
      </c>
      <c r="D95" s="36">
        <v>20.350000000000001</v>
      </c>
      <c r="E95" s="15">
        <v>22.55</v>
      </c>
      <c r="F95" s="15">
        <v>0</v>
      </c>
      <c r="G95" s="1">
        <v>1420</v>
      </c>
      <c r="H95" s="17">
        <v>2</v>
      </c>
      <c r="I95" s="1">
        <v>6</v>
      </c>
      <c r="J95" s="1">
        <v>14</v>
      </c>
    </row>
    <row r="96" spans="1:10" ht="15.75" customHeight="1" x14ac:dyDescent="0.3">
      <c r="A96" s="15" t="s">
        <v>153</v>
      </c>
      <c r="B96" s="23" t="s">
        <v>199</v>
      </c>
      <c r="C96" s="15">
        <v>98</v>
      </c>
      <c r="D96" s="36">
        <v>3.05</v>
      </c>
      <c r="E96" s="15">
        <v>21.7</v>
      </c>
      <c r="F96" s="15">
        <v>0.9</v>
      </c>
      <c r="G96" s="15"/>
      <c r="H96" s="17">
        <v>2</v>
      </c>
      <c r="I96" s="1">
        <v>1</v>
      </c>
      <c r="J96" s="1">
        <v>1</v>
      </c>
    </row>
    <row r="97" spans="1:10" ht="15.75" customHeight="1" x14ac:dyDescent="0.3">
      <c r="A97" s="15" t="s">
        <v>153</v>
      </c>
      <c r="B97" s="23" t="s">
        <v>199</v>
      </c>
      <c r="C97" s="15">
        <v>77</v>
      </c>
      <c r="D97" s="36">
        <v>12.54</v>
      </c>
      <c r="E97" s="15">
        <v>25.3</v>
      </c>
      <c r="F97" s="15">
        <v>1</v>
      </c>
      <c r="G97" s="15"/>
      <c r="H97" s="17">
        <v>2</v>
      </c>
      <c r="I97" s="1">
        <v>1</v>
      </c>
      <c r="J97" s="1">
        <v>5</v>
      </c>
    </row>
    <row r="98" spans="1:10" ht="15.75" customHeight="1" x14ac:dyDescent="0.3">
      <c r="A98" s="15" t="s">
        <v>153</v>
      </c>
      <c r="B98" s="23" t="s">
        <v>183</v>
      </c>
      <c r="C98" s="15">
        <v>95</v>
      </c>
      <c r="D98" s="18">
        <v>10.69</v>
      </c>
      <c r="E98" s="15">
        <v>22.8</v>
      </c>
      <c r="F98" s="15">
        <v>1.2</v>
      </c>
      <c r="G98" s="15">
        <v>1100</v>
      </c>
      <c r="H98" s="17">
        <v>3</v>
      </c>
      <c r="I98" s="1">
        <v>4</v>
      </c>
      <c r="J98" s="1">
        <v>7</v>
      </c>
    </row>
    <row r="99" spans="1:10" ht="15.75" customHeight="1" x14ac:dyDescent="0.3">
      <c r="A99" s="15" t="s">
        <v>153</v>
      </c>
      <c r="B99" s="23" t="s">
        <v>183</v>
      </c>
      <c r="C99" s="15">
        <v>95</v>
      </c>
      <c r="D99" s="18">
        <v>5.99</v>
      </c>
      <c r="E99" s="15">
        <v>25.7</v>
      </c>
      <c r="F99" s="15">
        <v>0</v>
      </c>
      <c r="G99" s="15">
        <v>1420</v>
      </c>
      <c r="H99" s="17">
        <v>3</v>
      </c>
      <c r="I99" s="1">
        <v>5</v>
      </c>
      <c r="J99" s="1">
        <v>7</v>
      </c>
    </row>
    <row r="100" spans="1:10" ht="15.75" customHeight="1" x14ac:dyDescent="0.3">
      <c r="A100" s="15" t="s">
        <v>153</v>
      </c>
      <c r="B100" s="16" t="s">
        <v>183</v>
      </c>
      <c r="C100" s="15">
        <v>98</v>
      </c>
      <c r="D100" s="18">
        <v>3.61</v>
      </c>
      <c r="E100" s="15">
        <v>23</v>
      </c>
      <c r="F100" s="15">
        <v>0</v>
      </c>
      <c r="G100" s="15"/>
      <c r="H100" s="17">
        <v>3</v>
      </c>
      <c r="I100" s="1">
        <v>0</v>
      </c>
      <c r="J100" s="1">
        <v>0</v>
      </c>
    </row>
    <row r="101" spans="1:10" ht="15.75" customHeight="1" x14ac:dyDescent="0.3">
      <c r="A101" s="15" t="s">
        <v>153</v>
      </c>
      <c r="B101" s="23" t="s">
        <v>183</v>
      </c>
      <c r="C101" s="15">
        <v>80</v>
      </c>
      <c r="D101" s="18">
        <v>6.89</v>
      </c>
      <c r="E101" s="15">
        <v>24.3</v>
      </c>
      <c r="F101" s="15">
        <v>0.87</v>
      </c>
      <c r="G101" s="15"/>
      <c r="H101" s="17">
        <v>3</v>
      </c>
      <c r="I101" s="1">
        <v>2</v>
      </c>
      <c r="J101" s="1">
        <v>2</v>
      </c>
    </row>
    <row r="102" spans="1:10" ht="15.75" customHeight="1" x14ac:dyDescent="0.3">
      <c r="A102" s="15" t="s">
        <v>153</v>
      </c>
      <c r="B102" s="23" t="s">
        <v>185</v>
      </c>
      <c r="C102" s="15">
        <v>80</v>
      </c>
      <c r="D102" s="36">
        <v>14.7</v>
      </c>
      <c r="E102" s="15">
        <v>24.13</v>
      </c>
      <c r="F102" s="15">
        <v>2.1</v>
      </c>
      <c r="G102" s="15">
        <v>1420</v>
      </c>
      <c r="H102" s="17">
        <v>1</v>
      </c>
      <c r="I102" s="1">
        <v>3</v>
      </c>
      <c r="J102" s="1">
        <v>11</v>
      </c>
    </row>
    <row r="103" spans="1:10" ht="15.75" customHeight="1" x14ac:dyDescent="0.3">
      <c r="A103" s="15" t="s">
        <v>153</v>
      </c>
      <c r="B103" s="23" t="s">
        <v>185</v>
      </c>
      <c r="C103" s="15">
        <v>99</v>
      </c>
      <c r="D103" s="36">
        <v>12.46</v>
      </c>
      <c r="E103" s="15">
        <v>22.9</v>
      </c>
      <c r="F103" s="15">
        <v>0</v>
      </c>
      <c r="G103" s="15">
        <v>1420</v>
      </c>
      <c r="H103" s="17">
        <v>1</v>
      </c>
      <c r="I103" s="1">
        <v>4</v>
      </c>
      <c r="J103" s="1">
        <v>5</v>
      </c>
    </row>
    <row r="104" spans="1:10" ht="15.75" customHeight="1" x14ac:dyDescent="0.3">
      <c r="A104" s="15" t="s">
        <v>153</v>
      </c>
      <c r="B104" s="16" t="s">
        <v>185</v>
      </c>
      <c r="C104" s="15">
        <v>99</v>
      </c>
      <c r="D104" s="18">
        <v>8.2799999999999994</v>
      </c>
      <c r="E104" s="15">
        <v>24.2</v>
      </c>
      <c r="F104" s="15">
        <v>0</v>
      </c>
      <c r="G104" s="15"/>
      <c r="H104" s="17">
        <v>1</v>
      </c>
      <c r="I104" s="1">
        <v>0</v>
      </c>
      <c r="J104" s="1">
        <v>0</v>
      </c>
    </row>
    <row r="105" spans="1:10" ht="15.75" customHeight="1" x14ac:dyDescent="0.3">
      <c r="A105" s="15" t="s">
        <v>153</v>
      </c>
      <c r="B105" s="16" t="s">
        <v>185</v>
      </c>
      <c r="C105" s="15">
        <v>99</v>
      </c>
      <c r="D105" s="18">
        <v>7.19</v>
      </c>
      <c r="E105" s="15">
        <v>23.4</v>
      </c>
      <c r="F105" s="15">
        <v>1.5</v>
      </c>
      <c r="G105" s="15"/>
      <c r="H105" s="17">
        <v>1</v>
      </c>
      <c r="I105" s="1">
        <v>0</v>
      </c>
      <c r="J105" s="1">
        <v>0</v>
      </c>
    </row>
    <row r="106" spans="1:10" ht="15.75" customHeight="1" x14ac:dyDescent="0.3">
      <c r="A106" s="15" t="s">
        <v>153</v>
      </c>
      <c r="B106" s="23" t="s">
        <v>186</v>
      </c>
      <c r="C106" s="15">
        <v>95</v>
      </c>
      <c r="D106" s="18">
        <v>1.44</v>
      </c>
      <c r="E106" s="15">
        <v>25.1</v>
      </c>
      <c r="F106" s="15">
        <v>0</v>
      </c>
      <c r="G106" s="15">
        <v>1420</v>
      </c>
      <c r="H106" s="17">
        <v>6</v>
      </c>
      <c r="I106" s="1">
        <v>2</v>
      </c>
      <c r="J106" s="1">
        <v>7</v>
      </c>
    </row>
    <row r="107" spans="1:10" ht="15.75" customHeight="1" x14ac:dyDescent="0.3">
      <c r="A107" s="15" t="s">
        <v>153</v>
      </c>
      <c r="B107" s="23" t="s">
        <v>186</v>
      </c>
      <c r="C107" s="15">
        <v>99</v>
      </c>
      <c r="D107" s="18">
        <v>0.54</v>
      </c>
      <c r="E107" s="15">
        <v>21.9</v>
      </c>
      <c r="F107" s="15">
        <v>0</v>
      </c>
      <c r="G107" s="15">
        <v>1420</v>
      </c>
      <c r="H107" s="17">
        <v>6</v>
      </c>
      <c r="I107" s="1">
        <v>3</v>
      </c>
      <c r="J107" s="1">
        <v>3</v>
      </c>
    </row>
    <row r="108" spans="1:10" ht="15.75" customHeight="1" x14ac:dyDescent="0.3">
      <c r="A108" s="15" t="s">
        <v>153</v>
      </c>
      <c r="B108" s="23" t="s">
        <v>186</v>
      </c>
      <c r="C108" s="15">
        <v>99</v>
      </c>
      <c r="D108" s="18">
        <v>0.63</v>
      </c>
      <c r="E108" s="15">
        <v>25.1</v>
      </c>
      <c r="F108" s="15">
        <v>0</v>
      </c>
      <c r="G108" s="15"/>
      <c r="H108" s="17">
        <v>6</v>
      </c>
      <c r="I108" s="1">
        <v>3</v>
      </c>
      <c r="J108" s="1">
        <v>8</v>
      </c>
    </row>
    <row r="109" spans="1:10" ht="15.75" customHeight="1" x14ac:dyDescent="0.3">
      <c r="A109" s="15" t="s">
        <v>153</v>
      </c>
      <c r="B109" s="23" t="s">
        <v>186</v>
      </c>
      <c r="C109" s="15">
        <v>99</v>
      </c>
      <c r="D109" s="18">
        <v>1.67</v>
      </c>
      <c r="E109" s="15">
        <v>25.2</v>
      </c>
      <c r="F109" s="15">
        <v>0</v>
      </c>
      <c r="G109" s="15"/>
      <c r="H109" s="17">
        <v>6</v>
      </c>
      <c r="I109" s="1">
        <v>3</v>
      </c>
      <c r="J109" s="1">
        <v>4</v>
      </c>
    </row>
    <row r="110" spans="1:10" ht="15.75" customHeight="1" x14ac:dyDescent="0.3">
      <c r="A110" s="15" t="s">
        <v>158</v>
      </c>
      <c r="B110" s="23" t="s">
        <v>176</v>
      </c>
      <c r="C110" s="15">
        <v>96</v>
      </c>
      <c r="D110" s="18">
        <v>1.1399999999999999</v>
      </c>
      <c r="E110" s="15">
        <v>26.4</v>
      </c>
      <c r="F110" s="15">
        <v>0</v>
      </c>
      <c r="G110" s="15">
        <v>550</v>
      </c>
      <c r="H110" s="17">
        <v>4</v>
      </c>
      <c r="I110" s="1">
        <v>4</v>
      </c>
      <c r="J110" s="1">
        <v>7</v>
      </c>
    </row>
    <row r="111" spans="1:10" ht="15.75" customHeight="1" x14ac:dyDescent="0.3">
      <c r="A111" s="15" t="s">
        <v>158</v>
      </c>
      <c r="B111" s="23" t="s">
        <v>176</v>
      </c>
      <c r="C111" s="15">
        <v>99</v>
      </c>
      <c r="D111" s="18">
        <v>8.51</v>
      </c>
      <c r="E111" s="15">
        <v>26.5</v>
      </c>
      <c r="F111" s="15">
        <v>0</v>
      </c>
      <c r="G111" s="15"/>
      <c r="H111" s="17">
        <v>4</v>
      </c>
      <c r="I111" s="1">
        <v>9</v>
      </c>
      <c r="J111" s="1">
        <v>9</v>
      </c>
    </row>
    <row r="112" spans="1:10" ht="15.75" customHeight="1" x14ac:dyDescent="0.3">
      <c r="A112" s="15" t="s">
        <v>158</v>
      </c>
      <c r="B112" s="23" t="s">
        <v>176</v>
      </c>
      <c r="C112" s="15">
        <v>99</v>
      </c>
      <c r="D112" s="18">
        <v>8.52</v>
      </c>
      <c r="E112" s="15">
        <v>26.5</v>
      </c>
      <c r="F112" s="15">
        <v>0</v>
      </c>
      <c r="G112" s="15"/>
      <c r="H112" s="17">
        <v>4</v>
      </c>
      <c r="I112" s="1">
        <v>5</v>
      </c>
      <c r="J112" s="1">
        <v>6</v>
      </c>
    </row>
    <row r="113" spans="1:10" ht="15.75" customHeight="1" x14ac:dyDescent="0.3">
      <c r="A113" s="15" t="s">
        <v>158</v>
      </c>
      <c r="B113" s="23" t="s">
        <v>178</v>
      </c>
      <c r="C113" s="15">
        <v>99</v>
      </c>
      <c r="D113" s="18">
        <v>6.93</v>
      </c>
      <c r="E113" s="15">
        <v>23.5</v>
      </c>
      <c r="F113" s="15">
        <v>0</v>
      </c>
      <c r="G113" s="15"/>
      <c r="H113" s="17">
        <v>3</v>
      </c>
      <c r="I113" s="1">
        <v>7</v>
      </c>
      <c r="J113" s="1">
        <v>7</v>
      </c>
    </row>
    <row r="114" spans="1:10" ht="15.75" customHeight="1" x14ac:dyDescent="0.3">
      <c r="A114" s="15" t="s">
        <v>158</v>
      </c>
      <c r="B114" s="23" t="s">
        <v>178</v>
      </c>
      <c r="C114" s="15">
        <v>99</v>
      </c>
      <c r="D114" s="18">
        <v>6.8</v>
      </c>
      <c r="E114" s="15">
        <v>23.5</v>
      </c>
      <c r="F114" s="15">
        <v>0</v>
      </c>
      <c r="G114" s="15"/>
      <c r="H114" s="17">
        <v>3</v>
      </c>
      <c r="I114" s="1">
        <v>1</v>
      </c>
      <c r="J114" s="1">
        <v>1</v>
      </c>
    </row>
    <row r="115" spans="1:10" ht="15.75" customHeight="1" x14ac:dyDescent="0.3">
      <c r="A115" s="15" t="s">
        <v>158</v>
      </c>
      <c r="B115" s="23" t="s">
        <v>200</v>
      </c>
      <c r="C115" s="15">
        <v>89</v>
      </c>
      <c r="D115" s="18">
        <v>2.74</v>
      </c>
      <c r="E115" s="15">
        <v>23.5</v>
      </c>
      <c r="F115" s="15">
        <v>0</v>
      </c>
      <c r="G115" s="15">
        <v>700</v>
      </c>
      <c r="H115" s="17">
        <v>5</v>
      </c>
      <c r="I115" s="1">
        <v>13</v>
      </c>
      <c r="J115" s="1">
        <v>16</v>
      </c>
    </row>
    <row r="116" spans="1:10" ht="15.75" customHeight="1" x14ac:dyDescent="0.3">
      <c r="A116" s="15" t="s">
        <v>158</v>
      </c>
      <c r="B116" s="23" t="s">
        <v>200</v>
      </c>
      <c r="C116" s="15">
        <v>99</v>
      </c>
      <c r="D116" s="18">
        <v>0.32</v>
      </c>
      <c r="E116" s="15">
        <v>21.5</v>
      </c>
      <c r="F116" s="15">
        <v>0</v>
      </c>
      <c r="G116" s="15"/>
      <c r="H116" s="17">
        <v>5</v>
      </c>
      <c r="I116" s="1">
        <v>3</v>
      </c>
      <c r="J116" s="1">
        <v>3</v>
      </c>
    </row>
    <row r="117" spans="1:10" ht="15.75" customHeight="1" x14ac:dyDescent="0.3">
      <c r="A117" s="15" t="s">
        <v>158</v>
      </c>
      <c r="B117" s="23" t="s">
        <v>200</v>
      </c>
      <c r="C117" s="15">
        <v>87</v>
      </c>
      <c r="D117" s="18">
        <v>0.03</v>
      </c>
      <c r="E117" s="15">
        <v>23.2</v>
      </c>
      <c r="F117" s="15">
        <v>0</v>
      </c>
      <c r="G117" s="15"/>
      <c r="H117" s="17">
        <v>5</v>
      </c>
      <c r="I117" s="1">
        <v>3</v>
      </c>
      <c r="J117" s="1">
        <v>3</v>
      </c>
    </row>
    <row r="118" spans="1:10" ht="15.75" customHeight="1" x14ac:dyDescent="0.3">
      <c r="A118" s="15" t="s">
        <v>158</v>
      </c>
      <c r="B118" s="23" t="s">
        <v>200</v>
      </c>
      <c r="C118" s="15">
        <v>85</v>
      </c>
      <c r="D118" s="18">
        <v>0.04</v>
      </c>
      <c r="E118" s="15">
        <v>23.2</v>
      </c>
      <c r="F118" s="15">
        <v>0</v>
      </c>
      <c r="G118" s="15"/>
      <c r="H118" s="17">
        <v>5</v>
      </c>
      <c r="I118" s="1">
        <v>1</v>
      </c>
      <c r="J118" s="1">
        <v>1</v>
      </c>
    </row>
    <row r="119" spans="1:10" ht="15.75" customHeight="1" x14ac:dyDescent="0.3">
      <c r="A119" s="15" t="s">
        <v>158</v>
      </c>
      <c r="B119" s="23" t="s">
        <v>180</v>
      </c>
      <c r="C119" s="15">
        <v>88</v>
      </c>
      <c r="D119" s="18">
        <v>0.69</v>
      </c>
      <c r="E119" s="15">
        <v>23.4</v>
      </c>
      <c r="F119" s="15">
        <v>6</v>
      </c>
      <c r="G119" s="15">
        <v>700</v>
      </c>
      <c r="H119" s="17">
        <v>5</v>
      </c>
      <c r="I119" s="1">
        <v>8</v>
      </c>
      <c r="J119" s="1">
        <v>9</v>
      </c>
    </row>
    <row r="120" spans="1:10" ht="15.75" customHeight="1" x14ac:dyDescent="0.3">
      <c r="A120" s="15" t="s">
        <v>158</v>
      </c>
      <c r="B120" s="23" t="s">
        <v>180</v>
      </c>
      <c r="C120" s="15">
        <v>88</v>
      </c>
      <c r="D120" s="18">
        <v>1.86</v>
      </c>
      <c r="E120" s="15">
        <v>27.2</v>
      </c>
      <c r="F120" s="15">
        <v>0.6</v>
      </c>
      <c r="G120" s="15"/>
      <c r="H120" s="17">
        <v>5</v>
      </c>
      <c r="I120" s="1">
        <v>4</v>
      </c>
      <c r="J120" s="1">
        <v>4</v>
      </c>
    </row>
    <row r="121" spans="1:10" ht="15.75" customHeight="1" x14ac:dyDescent="0.3">
      <c r="A121" s="15" t="s">
        <v>158</v>
      </c>
      <c r="B121" s="23" t="s">
        <v>181</v>
      </c>
      <c r="C121" s="15">
        <v>80</v>
      </c>
      <c r="D121" s="18">
        <v>51.6</v>
      </c>
      <c r="E121" s="15">
        <v>28.7</v>
      </c>
      <c r="F121" s="15">
        <v>2.5</v>
      </c>
      <c r="G121" s="15">
        <v>700</v>
      </c>
      <c r="H121" s="17">
        <v>3</v>
      </c>
      <c r="I121" s="1">
        <v>5</v>
      </c>
      <c r="J121" s="1">
        <v>5</v>
      </c>
    </row>
    <row r="122" spans="1:10" ht="15.75" customHeight="1" x14ac:dyDescent="0.3">
      <c r="A122" s="15" t="s">
        <v>158</v>
      </c>
      <c r="B122" s="23" t="s">
        <v>198</v>
      </c>
      <c r="C122" s="15">
        <v>71</v>
      </c>
      <c r="D122" s="18">
        <v>7.17</v>
      </c>
      <c r="E122" s="15">
        <v>26.1</v>
      </c>
      <c r="F122" s="15">
        <v>1.9</v>
      </c>
      <c r="G122" s="15">
        <v>700</v>
      </c>
      <c r="H122" s="17">
        <v>3</v>
      </c>
      <c r="I122" s="1">
        <v>9</v>
      </c>
      <c r="J122" s="1">
        <v>11</v>
      </c>
    </row>
    <row r="123" spans="1:10" ht="15.75" customHeight="1" x14ac:dyDescent="0.3">
      <c r="A123" s="15" t="s">
        <v>158</v>
      </c>
      <c r="B123" s="23" t="s">
        <v>198</v>
      </c>
      <c r="C123" s="15">
        <v>74</v>
      </c>
      <c r="D123" s="18">
        <v>7.5</v>
      </c>
      <c r="E123" s="15">
        <v>26</v>
      </c>
      <c r="F123" s="15">
        <v>0</v>
      </c>
      <c r="G123" s="15"/>
      <c r="H123" s="17">
        <v>3</v>
      </c>
      <c r="I123" s="1">
        <v>1</v>
      </c>
      <c r="J123" s="1">
        <v>1</v>
      </c>
    </row>
    <row r="124" spans="1:10" ht="15.75" customHeight="1" x14ac:dyDescent="0.3">
      <c r="A124" s="15" t="s">
        <v>158</v>
      </c>
      <c r="B124" s="23" t="s">
        <v>198</v>
      </c>
      <c r="C124" s="15">
        <v>54</v>
      </c>
      <c r="D124" s="18">
        <v>10.85</v>
      </c>
      <c r="E124" s="15">
        <v>28.3</v>
      </c>
      <c r="F124" s="15">
        <v>1.45</v>
      </c>
      <c r="G124" s="15"/>
      <c r="H124" s="17">
        <v>3</v>
      </c>
      <c r="I124" s="1">
        <v>4</v>
      </c>
      <c r="J124" s="1">
        <v>4</v>
      </c>
    </row>
    <row r="125" spans="1:10" ht="15.75" customHeight="1" x14ac:dyDescent="0.3">
      <c r="A125" s="15" t="s">
        <v>158</v>
      </c>
      <c r="B125" s="23" t="s">
        <v>199</v>
      </c>
      <c r="C125" s="1">
        <v>72</v>
      </c>
      <c r="D125" s="1">
        <v>17.850000000000001</v>
      </c>
      <c r="E125" s="1">
        <v>26.9</v>
      </c>
      <c r="F125" s="1">
        <v>1.6</v>
      </c>
      <c r="G125" s="15">
        <v>700</v>
      </c>
      <c r="H125" s="17">
        <v>2</v>
      </c>
      <c r="I125" s="1">
        <v>2</v>
      </c>
      <c r="J125" s="1">
        <v>3</v>
      </c>
    </row>
    <row r="126" spans="1:10" ht="15.75" customHeight="1" x14ac:dyDescent="0.3">
      <c r="A126" s="15" t="s">
        <v>158</v>
      </c>
      <c r="B126" s="23" t="s">
        <v>199</v>
      </c>
      <c r="C126" s="15">
        <v>66</v>
      </c>
      <c r="D126" s="18">
        <v>6.27</v>
      </c>
      <c r="E126" s="15">
        <v>26.2</v>
      </c>
      <c r="F126" s="15">
        <v>0.8</v>
      </c>
      <c r="G126" s="15"/>
      <c r="H126" s="17">
        <v>2</v>
      </c>
      <c r="I126" s="1">
        <v>1</v>
      </c>
      <c r="J126" s="1">
        <v>1</v>
      </c>
    </row>
    <row r="127" spans="1:10" ht="15.75" customHeight="1" x14ac:dyDescent="0.3">
      <c r="A127" s="15" t="s">
        <v>158</v>
      </c>
      <c r="B127" s="23" t="s">
        <v>183</v>
      </c>
      <c r="C127" s="15">
        <v>77</v>
      </c>
      <c r="D127" s="18">
        <v>19</v>
      </c>
      <c r="E127" s="15">
        <v>23.9</v>
      </c>
      <c r="F127" s="15">
        <v>0</v>
      </c>
      <c r="G127" s="15"/>
      <c r="H127" s="17">
        <v>3</v>
      </c>
      <c r="I127" s="1">
        <v>4</v>
      </c>
      <c r="J127" s="1">
        <v>13</v>
      </c>
    </row>
    <row r="128" spans="1:10" ht="15.75" customHeight="1" x14ac:dyDescent="0.3">
      <c r="A128" s="15" t="s">
        <v>158</v>
      </c>
      <c r="B128" s="23" t="s">
        <v>183</v>
      </c>
      <c r="C128" s="15">
        <v>99</v>
      </c>
      <c r="D128" s="18">
        <v>29.59</v>
      </c>
      <c r="E128" s="15">
        <v>24.9</v>
      </c>
      <c r="F128" s="15">
        <v>0.65</v>
      </c>
      <c r="G128" s="15">
        <v>700</v>
      </c>
      <c r="H128" s="17">
        <v>3</v>
      </c>
      <c r="I128" s="1">
        <v>4</v>
      </c>
      <c r="J128" s="1">
        <v>7</v>
      </c>
    </row>
    <row r="129" spans="1:10" ht="15.75" customHeight="1" x14ac:dyDescent="0.3">
      <c r="A129" s="15" t="s">
        <v>158</v>
      </c>
      <c r="B129" s="23" t="s">
        <v>183</v>
      </c>
      <c r="C129" s="15">
        <v>74</v>
      </c>
      <c r="D129" s="18">
        <v>1.52</v>
      </c>
      <c r="E129" s="15">
        <v>19.829999999999998</v>
      </c>
      <c r="F129" s="15">
        <v>0.85</v>
      </c>
      <c r="G129" s="15"/>
      <c r="H129" s="17">
        <v>3</v>
      </c>
      <c r="I129" s="1">
        <v>2</v>
      </c>
      <c r="J129" s="1">
        <v>2</v>
      </c>
    </row>
    <row r="130" spans="1:10" ht="15.75" customHeight="1" x14ac:dyDescent="0.3">
      <c r="A130" s="15" t="s">
        <v>158</v>
      </c>
      <c r="B130" s="23" t="s">
        <v>185</v>
      </c>
      <c r="C130" s="15">
        <v>99</v>
      </c>
      <c r="D130" s="18">
        <v>27.94</v>
      </c>
      <c r="E130" s="15">
        <v>22.3</v>
      </c>
      <c r="F130" s="15">
        <v>1.2</v>
      </c>
      <c r="G130" s="15">
        <v>700</v>
      </c>
      <c r="H130" s="17">
        <v>1</v>
      </c>
      <c r="I130" s="1">
        <v>5</v>
      </c>
      <c r="J130" s="1">
        <v>15</v>
      </c>
    </row>
    <row r="131" spans="1:10" ht="15.75" customHeight="1" x14ac:dyDescent="0.3">
      <c r="A131" s="15" t="s">
        <v>158</v>
      </c>
      <c r="B131" s="23" t="s">
        <v>185</v>
      </c>
      <c r="C131" s="15">
        <v>80</v>
      </c>
      <c r="D131" s="18">
        <v>6.81</v>
      </c>
      <c r="E131" s="15">
        <v>19.03</v>
      </c>
      <c r="F131" s="15">
        <v>1.8</v>
      </c>
      <c r="G131" s="15"/>
      <c r="H131" s="17">
        <v>1</v>
      </c>
      <c r="I131" s="1">
        <v>2</v>
      </c>
      <c r="J131" s="1">
        <v>4</v>
      </c>
    </row>
    <row r="132" spans="1:10" ht="15.75" customHeight="1" x14ac:dyDescent="0.3">
      <c r="A132" s="15" t="s">
        <v>158</v>
      </c>
      <c r="B132" s="23" t="s">
        <v>186</v>
      </c>
      <c r="C132" s="15">
        <v>95</v>
      </c>
      <c r="D132" s="18">
        <v>0.4</v>
      </c>
      <c r="E132" s="15">
        <v>17.100000000000001</v>
      </c>
      <c r="F132" s="15">
        <v>0</v>
      </c>
      <c r="G132" s="15">
        <v>700</v>
      </c>
      <c r="H132" s="17">
        <v>6</v>
      </c>
      <c r="I132" s="1">
        <v>10</v>
      </c>
      <c r="J132" s="1">
        <v>33</v>
      </c>
    </row>
    <row r="133" spans="1:10" ht="15.75" customHeight="1" x14ac:dyDescent="0.3">
      <c r="A133" s="15" t="s">
        <v>158</v>
      </c>
      <c r="B133" s="23" t="s">
        <v>186</v>
      </c>
      <c r="C133" s="15">
        <v>95</v>
      </c>
      <c r="D133" s="18">
        <v>0.42</v>
      </c>
      <c r="E133" s="15">
        <v>17.2</v>
      </c>
      <c r="F133" s="15">
        <v>0</v>
      </c>
      <c r="G133" s="15"/>
      <c r="H133" s="17">
        <v>6</v>
      </c>
      <c r="I133" s="1">
        <v>1</v>
      </c>
      <c r="J133" s="1">
        <v>1</v>
      </c>
    </row>
    <row r="134" spans="1:10" ht="15.75" customHeight="1" x14ac:dyDescent="0.3">
      <c r="A134" s="15" t="s">
        <v>158</v>
      </c>
      <c r="B134" s="23" t="s">
        <v>186</v>
      </c>
      <c r="C134" s="15">
        <v>95</v>
      </c>
      <c r="D134" s="18">
        <v>0.41</v>
      </c>
      <c r="E134" s="15">
        <v>17.100000000000001</v>
      </c>
      <c r="F134" s="15">
        <v>0</v>
      </c>
      <c r="G134" s="15">
        <v>700</v>
      </c>
      <c r="H134" s="17">
        <v>6</v>
      </c>
      <c r="I134" s="1">
        <v>8</v>
      </c>
      <c r="J134" s="1">
        <v>11</v>
      </c>
    </row>
    <row r="135" spans="1:10" ht="15.75" customHeight="1" x14ac:dyDescent="0.3">
      <c r="A135" s="15" t="s">
        <v>158</v>
      </c>
      <c r="B135" s="23" t="s">
        <v>186</v>
      </c>
      <c r="C135" s="15">
        <v>87</v>
      </c>
      <c r="D135" s="18">
        <v>0.16</v>
      </c>
      <c r="E135" s="15">
        <v>20.2</v>
      </c>
      <c r="F135" s="15">
        <v>0</v>
      </c>
      <c r="G135" s="15"/>
      <c r="H135" s="17">
        <v>6</v>
      </c>
      <c r="I135" s="1">
        <v>6</v>
      </c>
      <c r="J135" s="1">
        <v>6</v>
      </c>
    </row>
    <row r="136" spans="1:10" ht="15.75" customHeight="1" x14ac:dyDescent="0.3">
      <c r="A136" s="15" t="s">
        <v>164</v>
      </c>
      <c r="B136" s="23" t="s">
        <v>176</v>
      </c>
      <c r="C136" s="15">
        <v>89</v>
      </c>
      <c r="D136" s="18">
        <v>1.36</v>
      </c>
      <c r="E136" s="15">
        <v>23.18</v>
      </c>
      <c r="F136" s="15">
        <v>0</v>
      </c>
      <c r="G136" s="15"/>
      <c r="H136" s="17">
        <v>4</v>
      </c>
      <c r="I136" s="1">
        <v>8</v>
      </c>
      <c r="J136" s="1">
        <v>11</v>
      </c>
    </row>
    <row r="137" spans="1:10" ht="15.75" customHeight="1" x14ac:dyDescent="0.3">
      <c r="A137" s="15" t="s">
        <v>164</v>
      </c>
      <c r="B137" s="23" t="s">
        <v>177</v>
      </c>
      <c r="C137" s="15">
        <v>94</v>
      </c>
      <c r="D137" s="18">
        <v>7.68</v>
      </c>
      <c r="E137" s="15">
        <v>26.7</v>
      </c>
      <c r="F137" s="15">
        <v>0.75</v>
      </c>
      <c r="G137" s="15"/>
      <c r="H137" s="17">
        <v>3</v>
      </c>
      <c r="I137" s="1">
        <v>6</v>
      </c>
      <c r="J137" s="1">
        <v>8</v>
      </c>
    </row>
    <row r="138" spans="1:10" ht="15.75" customHeight="1" x14ac:dyDescent="0.3">
      <c r="A138" s="15" t="s">
        <v>164</v>
      </c>
      <c r="B138" s="23" t="s">
        <v>177</v>
      </c>
      <c r="C138" s="15">
        <v>90</v>
      </c>
      <c r="D138" s="18">
        <v>1.5</v>
      </c>
      <c r="E138" s="15">
        <v>23.4</v>
      </c>
      <c r="F138" s="15">
        <v>0</v>
      </c>
      <c r="G138" s="15"/>
      <c r="H138" s="17">
        <v>3</v>
      </c>
      <c r="I138" s="1">
        <v>1</v>
      </c>
      <c r="J138" s="1">
        <v>1</v>
      </c>
    </row>
    <row r="139" spans="1:10" ht="15.75" customHeight="1" x14ac:dyDescent="0.3">
      <c r="A139" s="15" t="s">
        <v>164</v>
      </c>
      <c r="B139" s="23" t="s">
        <v>200</v>
      </c>
      <c r="C139" s="15">
        <v>91</v>
      </c>
      <c r="D139" s="18">
        <v>1.1499999999999999</v>
      </c>
      <c r="E139" s="15">
        <v>24.4</v>
      </c>
      <c r="F139" s="15">
        <v>0</v>
      </c>
      <c r="G139" s="15">
        <v>480</v>
      </c>
      <c r="H139" s="17">
        <v>5</v>
      </c>
      <c r="I139" s="1">
        <v>8</v>
      </c>
      <c r="J139" s="1">
        <v>8</v>
      </c>
    </row>
    <row r="140" spans="1:10" ht="15.75" customHeight="1" x14ac:dyDescent="0.3">
      <c r="A140" s="15" t="s">
        <v>164</v>
      </c>
      <c r="B140" s="23" t="s">
        <v>200</v>
      </c>
      <c r="C140" s="15">
        <v>94</v>
      </c>
      <c r="D140" s="18">
        <v>1.2</v>
      </c>
      <c r="E140" s="15">
        <v>24.4</v>
      </c>
      <c r="F140" s="15">
        <v>0</v>
      </c>
      <c r="G140" s="15"/>
      <c r="H140" s="17">
        <v>5</v>
      </c>
      <c r="I140" s="1">
        <v>1</v>
      </c>
      <c r="J140" s="1">
        <v>1</v>
      </c>
    </row>
    <row r="141" spans="1:10" ht="15.75" customHeight="1" x14ac:dyDescent="0.3">
      <c r="A141" s="15" t="s">
        <v>164</v>
      </c>
      <c r="B141" s="23" t="s">
        <v>200</v>
      </c>
      <c r="C141" s="15">
        <v>85</v>
      </c>
      <c r="D141" s="18">
        <v>1.3</v>
      </c>
      <c r="E141" s="15">
        <v>24.4</v>
      </c>
      <c r="F141" s="15">
        <v>0</v>
      </c>
      <c r="G141" s="15"/>
      <c r="H141" s="17">
        <v>5</v>
      </c>
      <c r="I141" s="1">
        <v>8</v>
      </c>
      <c r="J141" s="1">
        <v>8</v>
      </c>
    </row>
    <row r="142" spans="1:10" ht="15.75" customHeight="1" x14ac:dyDescent="0.3">
      <c r="A142" s="15" t="s">
        <v>164</v>
      </c>
      <c r="B142" s="23" t="s">
        <v>180</v>
      </c>
      <c r="C142" s="15">
        <v>91</v>
      </c>
      <c r="D142" s="18">
        <v>0.57999999999999996</v>
      </c>
      <c r="E142" s="15">
        <v>26.4</v>
      </c>
      <c r="F142" s="15">
        <v>0</v>
      </c>
      <c r="G142" s="15">
        <v>780</v>
      </c>
      <c r="H142" s="17">
        <v>5</v>
      </c>
      <c r="I142" s="1">
        <v>10</v>
      </c>
      <c r="J142" s="1">
        <v>10</v>
      </c>
    </row>
    <row r="143" spans="1:10" ht="15.75" customHeight="1" x14ac:dyDescent="0.3">
      <c r="A143" s="15" t="s">
        <v>164</v>
      </c>
      <c r="B143" s="23" t="s">
        <v>180</v>
      </c>
      <c r="C143" s="15">
        <v>91</v>
      </c>
      <c r="D143" s="18">
        <v>0.81</v>
      </c>
      <c r="E143" s="15">
        <v>23.28</v>
      </c>
      <c r="F143" s="15">
        <v>0</v>
      </c>
      <c r="G143" s="15">
        <v>480</v>
      </c>
      <c r="H143" s="17">
        <v>5</v>
      </c>
      <c r="I143" s="1">
        <v>5</v>
      </c>
      <c r="J143" s="1">
        <v>5</v>
      </c>
    </row>
    <row r="144" spans="1:10" ht="15.75" customHeight="1" x14ac:dyDescent="0.3">
      <c r="A144" s="15" t="s">
        <v>164</v>
      </c>
      <c r="B144" s="23" t="s">
        <v>181</v>
      </c>
      <c r="C144" s="15">
        <v>91</v>
      </c>
      <c r="D144" s="18">
        <v>0.81</v>
      </c>
      <c r="E144" s="15">
        <v>23.3</v>
      </c>
      <c r="F144" s="15">
        <v>0</v>
      </c>
      <c r="G144" s="15"/>
      <c r="H144" s="17">
        <v>3</v>
      </c>
      <c r="I144" s="1">
        <v>1</v>
      </c>
      <c r="J144" s="1">
        <v>2</v>
      </c>
    </row>
    <row r="145" spans="1:10" ht="15.75" customHeight="1" x14ac:dyDescent="0.3">
      <c r="A145" s="15" t="s">
        <v>164</v>
      </c>
      <c r="B145" s="23" t="s">
        <v>181</v>
      </c>
      <c r="C145" s="15">
        <v>99</v>
      </c>
      <c r="D145" s="18">
        <v>85.6</v>
      </c>
      <c r="E145" s="15">
        <v>28.5</v>
      </c>
      <c r="F145" s="15">
        <v>1.2</v>
      </c>
      <c r="G145" s="15">
        <v>780</v>
      </c>
      <c r="H145" s="17">
        <v>3</v>
      </c>
      <c r="I145" s="1">
        <v>1</v>
      </c>
      <c r="J145" s="1">
        <v>1</v>
      </c>
    </row>
    <row r="146" spans="1:10" ht="15.75" customHeight="1" x14ac:dyDescent="0.3">
      <c r="A146" s="15" t="s">
        <v>164</v>
      </c>
      <c r="B146" s="23" t="s">
        <v>181</v>
      </c>
      <c r="C146" s="15">
        <v>91</v>
      </c>
      <c r="D146" s="18">
        <v>13.15</v>
      </c>
      <c r="E146" s="15">
        <v>26.13</v>
      </c>
      <c r="F146" s="15">
        <v>0</v>
      </c>
      <c r="G146" s="15">
        <v>480</v>
      </c>
      <c r="H146" s="17">
        <v>3</v>
      </c>
      <c r="I146" s="1">
        <v>3</v>
      </c>
      <c r="J146" s="1">
        <v>3</v>
      </c>
    </row>
    <row r="147" spans="1:10" ht="15.75" customHeight="1" x14ac:dyDescent="0.3">
      <c r="A147" s="15" t="s">
        <v>164</v>
      </c>
      <c r="B147" s="23" t="s">
        <v>198</v>
      </c>
      <c r="C147" s="15">
        <v>75</v>
      </c>
      <c r="D147" s="18">
        <v>17.2</v>
      </c>
      <c r="E147" s="15">
        <v>28</v>
      </c>
      <c r="F147" s="15">
        <v>0</v>
      </c>
      <c r="G147" s="15"/>
      <c r="H147" s="17">
        <v>3</v>
      </c>
      <c r="I147" s="1">
        <v>2</v>
      </c>
      <c r="J147" s="1">
        <v>2</v>
      </c>
    </row>
    <row r="148" spans="1:10" s="44" customFormat="1" ht="15.75" customHeight="1" x14ac:dyDescent="0.3">
      <c r="A148" s="39" t="s">
        <v>164</v>
      </c>
      <c r="B148" s="40" t="s">
        <v>198</v>
      </c>
      <c r="C148" s="39">
        <v>93</v>
      </c>
      <c r="D148" s="42">
        <v>14.5</v>
      </c>
      <c r="E148" s="39">
        <v>28.73</v>
      </c>
      <c r="F148" s="39">
        <v>0</v>
      </c>
      <c r="G148" s="39">
        <v>480</v>
      </c>
      <c r="H148" s="43">
        <v>3</v>
      </c>
      <c r="I148" s="44">
        <v>6</v>
      </c>
      <c r="J148" s="44">
        <v>9</v>
      </c>
    </row>
    <row r="149" spans="1:10" ht="15.75" customHeight="1" x14ac:dyDescent="0.3">
      <c r="A149" s="15" t="s">
        <v>164</v>
      </c>
      <c r="B149" s="23" t="s">
        <v>198</v>
      </c>
      <c r="C149" s="15">
        <v>74</v>
      </c>
      <c r="D149" s="18">
        <v>18</v>
      </c>
      <c r="E149" s="15">
        <v>28</v>
      </c>
      <c r="F149" s="15">
        <v>0</v>
      </c>
      <c r="G149" s="15"/>
      <c r="H149" s="17">
        <v>3</v>
      </c>
      <c r="I149" s="1">
        <v>2</v>
      </c>
      <c r="J149" s="1">
        <v>2</v>
      </c>
    </row>
    <row r="150" spans="1:10" ht="15.75" customHeight="1" x14ac:dyDescent="0.3">
      <c r="A150" s="15" t="s">
        <v>164</v>
      </c>
      <c r="B150" s="23" t="s">
        <v>199</v>
      </c>
      <c r="C150" s="15">
        <v>92</v>
      </c>
      <c r="D150" s="18">
        <v>97.97</v>
      </c>
      <c r="E150" s="15">
        <v>28.73</v>
      </c>
      <c r="F150" s="15">
        <v>0.97</v>
      </c>
      <c r="G150" s="15">
        <v>480</v>
      </c>
      <c r="H150" s="17">
        <v>2</v>
      </c>
      <c r="I150" s="1">
        <v>0</v>
      </c>
      <c r="J150" s="1">
        <v>0</v>
      </c>
    </row>
    <row r="151" spans="1:10" ht="15.75" customHeight="1" x14ac:dyDescent="0.3">
      <c r="A151" s="15" t="s">
        <v>164</v>
      </c>
      <c r="B151" s="23" t="s">
        <v>199</v>
      </c>
      <c r="C151" s="15">
        <v>86.5</v>
      </c>
      <c r="D151" s="18">
        <v>33.18</v>
      </c>
      <c r="E151" s="15">
        <v>25.7</v>
      </c>
      <c r="F151" s="15">
        <v>1.2</v>
      </c>
      <c r="G151" s="15"/>
      <c r="H151" s="17">
        <v>2</v>
      </c>
      <c r="I151" s="1">
        <v>3</v>
      </c>
      <c r="J151" s="1">
        <v>6</v>
      </c>
    </row>
    <row r="152" spans="1:10" ht="15.75" customHeight="1" x14ac:dyDescent="0.3">
      <c r="A152" s="15" t="s">
        <v>164</v>
      </c>
      <c r="B152" s="23" t="s">
        <v>199</v>
      </c>
      <c r="C152" s="15">
        <v>70</v>
      </c>
      <c r="D152" s="18">
        <v>5.91</v>
      </c>
      <c r="E152" s="15">
        <v>20.5</v>
      </c>
      <c r="F152" s="15">
        <v>1.5</v>
      </c>
      <c r="G152" s="15"/>
      <c r="H152" s="17">
        <v>2</v>
      </c>
      <c r="I152" s="1">
        <v>3</v>
      </c>
      <c r="J152" s="1">
        <v>3</v>
      </c>
    </row>
    <row r="153" spans="1:10" ht="15.75" customHeight="1" x14ac:dyDescent="0.3">
      <c r="A153" s="15" t="s">
        <v>164</v>
      </c>
      <c r="B153" s="23" t="s">
        <v>183</v>
      </c>
      <c r="C153" s="15">
        <v>89</v>
      </c>
      <c r="D153" s="18">
        <v>7.61</v>
      </c>
      <c r="E153" s="15">
        <v>23.8</v>
      </c>
      <c r="F153" s="15">
        <v>0.75</v>
      </c>
      <c r="G153" s="15"/>
      <c r="H153" s="17">
        <v>3</v>
      </c>
      <c r="I153" s="1">
        <v>5</v>
      </c>
      <c r="J153" s="1">
        <v>10</v>
      </c>
    </row>
    <row r="154" spans="1:10" ht="15.75" customHeight="1" x14ac:dyDescent="0.3">
      <c r="A154" s="15" t="s">
        <v>164</v>
      </c>
      <c r="B154" s="23" t="s">
        <v>183</v>
      </c>
      <c r="C154" s="15">
        <v>81</v>
      </c>
      <c r="D154" s="18">
        <v>5.23</v>
      </c>
      <c r="E154" s="15">
        <v>27.03</v>
      </c>
      <c r="F154" s="15">
        <v>0</v>
      </c>
      <c r="G154" s="15">
        <v>480</v>
      </c>
      <c r="H154" s="17">
        <v>3</v>
      </c>
      <c r="I154" s="1">
        <v>4</v>
      </c>
      <c r="J154" s="1">
        <v>5</v>
      </c>
    </row>
    <row r="155" spans="1:10" ht="15.75" customHeight="1" x14ac:dyDescent="0.3">
      <c r="A155" s="15" t="s">
        <v>164</v>
      </c>
      <c r="B155" s="23" t="s">
        <v>185</v>
      </c>
      <c r="C155" s="15">
        <v>88</v>
      </c>
      <c r="D155" s="18">
        <v>24.87</v>
      </c>
      <c r="E155" s="15">
        <v>23.25</v>
      </c>
      <c r="F155" s="15">
        <v>0.45</v>
      </c>
      <c r="G155" s="15"/>
      <c r="H155" s="17">
        <v>1</v>
      </c>
      <c r="I155" s="1">
        <v>1</v>
      </c>
      <c r="J155" s="1">
        <v>1</v>
      </c>
    </row>
    <row r="156" spans="1:10" ht="15.75" customHeight="1" x14ac:dyDescent="0.3">
      <c r="A156" s="15" t="s">
        <v>164</v>
      </c>
      <c r="B156" s="23" t="s">
        <v>185</v>
      </c>
      <c r="C156" s="15">
        <v>72</v>
      </c>
      <c r="D156" s="18">
        <v>4.6399999999999997</v>
      </c>
      <c r="E156" s="15">
        <v>24.9</v>
      </c>
      <c r="F156" s="15">
        <v>3.17</v>
      </c>
      <c r="G156" s="15">
        <v>480</v>
      </c>
      <c r="H156" s="17">
        <v>1</v>
      </c>
      <c r="I156" s="1">
        <v>2</v>
      </c>
      <c r="J156" s="1">
        <v>4</v>
      </c>
    </row>
    <row r="157" spans="1:10" ht="15.75" customHeight="1" x14ac:dyDescent="0.3">
      <c r="A157" s="15" t="s">
        <v>164</v>
      </c>
      <c r="B157" s="23" t="s">
        <v>186</v>
      </c>
      <c r="C157" s="15">
        <v>86</v>
      </c>
      <c r="D157" s="18">
        <v>0.14000000000000001</v>
      </c>
      <c r="E157" s="15">
        <v>18.55</v>
      </c>
      <c r="F157" s="15">
        <v>0</v>
      </c>
      <c r="G157" s="15"/>
      <c r="H157" s="17">
        <v>6</v>
      </c>
      <c r="I157" s="1">
        <v>5</v>
      </c>
      <c r="J157" s="1">
        <v>5</v>
      </c>
    </row>
    <row r="158" spans="1:10" ht="15.75" customHeight="1" x14ac:dyDescent="0.3">
      <c r="A158" s="15" t="s">
        <v>164</v>
      </c>
      <c r="B158" s="23" t="s">
        <v>186</v>
      </c>
      <c r="C158" s="15">
        <v>87</v>
      </c>
      <c r="D158" s="18">
        <v>0.15</v>
      </c>
      <c r="E158" s="15">
        <v>15.2</v>
      </c>
      <c r="F158" s="15">
        <v>0</v>
      </c>
      <c r="G158" s="15"/>
      <c r="H158" s="17">
        <v>6</v>
      </c>
      <c r="I158" s="1">
        <v>3</v>
      </c>
      <c r="J158" s="1">
        <v>3</v>
      </c>
    </row>
    <row r="159" spans="1:10" ht="15.75" customHeight="1" x14ac:dyDescent="0.3">
      <c r="A159" s="15" t="s">
        <v>164</v>
      </c>
      <c r="B159" s="23" t="s">
        <v>186</v>
      </c>
      <c r="C159" s="15">
        <v>83</v>
      </c>
      <c r="D159" s="18">
        <v>0.20499999999999999</v>
      </c>
      <c r="E159" s="15">
        <v>24.8</v>
      </c>
      <c r="F159" s="15">
        <v>0</v>
      </c>
      <c r="G159" s="15">
        <v>480</v>
      </c>
      <c r="H159" s="17">
        <v>6</v>
      </c>
      <c r="I159" s="1">
        <v>0</v>
      </c>
      <c r="J159" s="1">
        <v>0</v>
      </c>
    </row>
    <row r="160" spans="1:10" ht="15.75" customHeight="1" x14ac:dyDescent="0.3">
      <c r="A160" s="15" t="s">
        <v>168</v>
      </c>
      <c r="B160" s="15" t="s">
        <v>176</v>
      </c>
      <c r="C160" s="15">
        <v>92</v>
      </c>
      <c r="D160" s="18">
        <v>0.14000000000000001</v>
      </c>
      <c r="E160" s="15">
        <v>22.5</v>
      </c>
      <c r="F160" s="15">
        <v>0</v>
      </c>
      <c r="G160" s="15">
        <v>480</v>
      </c>
      <c r="H160" s="17">
        <v>4</v>
      </c>
      <c r="I160" s="1">
        <v>6</v>
      </c>
      <c r="J160" s="1">
        <v>11</v>
      </c>
    </row>
    <row r="161" spans="1:10" ht="15.75" customHeight="1" x14ac:dyDescent="0.3">
      <c r="A161" s="15" t="s">
        <v>168</v>
      </c>
      <c r="B161" s="15" t="s">
        <v>176</v>
      </c>
      <c r="C161" s="15">
        <v>92</v>
      </c>
      <c r="D161" s="18">
        <v>0.14000000000000001</v>
      </c>
      <c r="E161" s="15">
        <v>22.5</v>
      </c>
      <c r="F161" s="15">
        <v>0</v>
      </c>
      <c r="G161" s="15"/>
      <c r="H161" s="17">
        <v>4</v>
      </c>
      <c r="I161" s="1">
        <v>1</v>
      </c>
      <c r="J161" s="1">
        <v>2</v>
      </c>
    </row>
    <row r="162" spans="1:10" ht="15.75" customHeight="1" x14ac:dyDescent="0.3">
      <c r="A162" s="15" t="s">
        <v>168</v>
      </c>
      <c r="B162" s="15" t="s">
        <v>177</v>
      </c>
      <c r="C162" s="15">
        <v>97</v>
      </c>
      <c r="D162" s="18">
        <v>4.5999999999999996</v>
      </c>
      <c r="E162" s="15">
        <v>24.3</v>
      </c>
      <c r="F162" s="15">
        <v>0</v>
      </c>
      <c r="G162" s="15">
        <v>480</v>
      </c>
      <c r="H162" s="17">
        <v>3</v>
      </c>
      <c r="I162" s="1">
        <v>17</v>
      </c>
      <c r="J162" s="1">
        <v>24</v>
      </c>
    </row>
    <row r="163" spans="1:10" ht="15.75" customHeight="1" x14ac:dyDescent="0.3">
      <c r="A163" s="15" t="s">
        <v>168</v>
      </c>
      <c r="B163" s="15" t="s">
        <v>200</v>
      </c>
      <c r="C163" s="15">
        <v>99</v>
      </c>
      <c r="D163" s="18">
        <v>24.2</v>
      </c>
      <c r="E163" s="15">
        <v>26.1</v>
      </c>
      <c r="F163" s="15">
        <v>0</v>
      </c>
      <c r="G163" s="15"/>
      <c r="H163" s="17">
        <v>5</v>
      </c>
      <c r="I163" s="1">
        <v>1</v>
      </c>
      <c r="J163" s="1">
        <v>1</v>
      </c>
    </row>
    <row r="164" spans="1:10" ht="15.75" customHeight="1" x14ac:dyDescent="0.3">
      <c r="A164" s="15" t="s">
        <v>168</v>
      </c>
      <c r="B164" s="15" t="s">
        <v>200</v>
      </c>
      <c r="C164" s="15">
        <v>99</v>
      </c>
      <c r="D164" s="18">
        <v>24.2</v>
      </c>
      <c r="E164" s="15">
        <v>26.1</v>
      </c>
      <c r="F164" s="15">
        <v>0</v>
      </c>
      <c r="G164" s="15">
        <v>480</v>
      </c>
      <c r="H164" s="17">
        <v>5</v>
      </c>
      <c r="I164" s="1">
        <v>11</v>
      </c>
      <c r="J164" s="1">
        <v>11</v>
      </c>
    </row>
    <row r="165" spans="1:10" ht="15.75" customHeight="1" x14ac:dyDescent="0.3">
      <c r="A165" s="15" t="s">
        <v>168</v>
      </c>
      <c r="B165" s="15" t="s">
        <v>200</v>
      </c>
      <c r="C165" s="15">
        <v>84</v>
      </c>
      <c r="D165" s="18">
        <v>0.17</v>
      </c>
      <c r="E165" s="15">
        <v>24</v>
      </c>
      <c r="F165" s="15">
        <v>0</v>
      </c>
      <c r="G165" s="15"/>
      <c r="H165" s="17">
        <v>5</v>
      </c>
      <c r="I165" s="1">
        <v>2</v>
      </c>
      <c r="J165" s="1">
        <v>2</v>
      </c>
    </row>
    <row r="166" spans="1:10" ht="15.75" customHeight="1" x14ac:dyDescent="0.3">
      <c r="A166" s="15" t="s">
        <v>168</v>
      </c>
      <c r="B166" s="15" t="s">
        <v>180</v>
      </c>
      <c r="C166" s="15">
        <v>97</v>
      </c>
      <c r="D166" s="18">
        <v>1.08</v>
      </c>
      <c r="E166" s="15">
        <v>25.4</v>
      </c>
      <c r="F166" s="15">
        <v>0</v>
      </c>
      <c r="G166" s="15"/>
      <c r="H166" s="17">
        <v>5</v>
      </c>
      <c r="I166" s="1">
        <v>6</v>
      </c>
      <c r="J166" s="1">
        <v>8</v>
      </c>
    </row>
    <row r="167" spans="1:10" ht="15.75" customHeight="1" x14ac:dyDescent="0.3">
      <c r="A167" s="15" t="s">
        <v>168</v>
      </c>
      <c r="B167" s="15" t="s">
        <v>180</v>
      </c>
      <c r="C167" s="15">
        <v>97</v>
      </c>
      <c r="D167" s="18">
        <v>1.08</v>
      </c>
      <c r="E167" s="15">
        <v>25.4</v>
      </c>
      <c r="F167" s="15">
        <v>0</v>
      </c>
      <c r="G167" s="15">
        <v>480</v>
      </c>
      <c r="H167" s="17">
        <v>5</v>
      </c>
      <c r="I167" s="1">
        <v>9</v>
      </c>
      <c r="J167" s="1">
        <v>9</v>
      </c>
    </row>
    <row r="168" spans="1:10" ht="15.75" customHeight="1" x14ac:dyDescent="0.3">
      <c r="A168" s="15" t="s">
        <v>168</v>
      </c>
      <c r="B168" s="1" t="s">
        <v>180</v>
      </c>
      <c r="C168" s="1">
        <v>80</v>
      </c>
      <c r="D168" s="46">
        <v>0.04</v>
      </c>
      <c r="E168" s="1">
        <v>25.3</v>
      </c>
      <c r="F168" s="1">
        <v>0</v>
      </c>
      <c r="G168" s="15"/>
      <c r="H168" s="2">
        <v>5</v>
      </c>
      <c r="I168" s="1">
        <v>0</v>
      </c>
      <c r="J168" s="1">
        <v>0</v>
      </c>
    </row>
    <row r="169" spans="1:10" ht="15.75" customHeight="1" x14ac:dyDescent="0.3">
      <c r="A169" s="15" t="s">
        <v>168</v>
      </c>
      <c r="B169" s="1" t="s">
        <v>181</v>
      </c>
      <c r="C169" s="1">
        <v>87</v>
      </c>
      <c r="D169" s="46">
        <v>9.8000000000000007</v>
      </c>
      <c r="E169" s="1">
        <v>34.5</v>
      </c>
      <c r="F169" s="1">
        <v>0</v>
      </c>
      <c r="H169" s="2">
        <v>3</v>
      </c>
      <c r="I169" s="1">
        <v>4</v>
      </c>
      <c r="J169" s="1">
        <v>4</v>
      </c>
    </row>
    <row r="170" spans="1:10" ht="15.75" customHeight="1" x14ac:dyDescent="0.3">
      <c r="A170" s="15" t="s">
        <v>168</v>
      </c>
      <c r="B170" s="1" t="s">
        <v>181</v>
      </c>
      <c r="C170" s="1">
        <v>87</v>
      </c>
      <c r="D170" s="46">
        <v>9.8000000000000007</v>
      </c>
      <c r="E170" s="1">
        <v>34.5</v>
      </c>
      <c r="F170" s="1">
        <v>0</v>
      </c>
      <c r="G170" s="1">
        <v>480</v>
      </c>
      <c r="H170" s="2">
        <v>3</v>
      </c>
      <c r="I170" s="1">
        <v>3</v>
      </c>
      <c r="J170" s="1">
        <v>3</v>
      </c>
    </row>
    <row r="171" spans="1:10" ht="15.75" customHeight="1" x14ac:dyDescent="0.3">
      <c r="A171" s="15" t="s">
        <v>168</v>
      </c>
      <c r="B171" s="1" t="s">
        <v>181</v>
      </c>
      <c r="C171" s="1">
        <v>80</v>
      </c>
      <c r="D171" s="46">
        <v>1.5</v>
      </c>
      <c r="E171" s="1">
        <v>26.9</v>
      </c>
      <c r="F171" s="1">
        <v>0</v>
      </c>
      <c r="H171" s="2">
        <v>3</v>
      </c>
      <c r="I171" s="1">
        <v>3</v>
      </c>
      <c r="J171" s="1">
        <v>4</v>
      </c>
    </row>
    <row r="172" spans="1:10" ht="15.75" customHeight="1" x14ac:dyDescent="0.3">
      <c r="A172" s="15" t="s">
        <v>168</v>
      </c>
      <c r="B172" s="1" t="s">
        <v>198</v>
      </c>
      <c r="C172" s="1">
        <v>81</v>
      </c>
      <c r="D172" s="46">
        <v>36.6</v>
      </c>
      <c r="E172" s="1">
        <v>31.4</v>
      </c>
      <c r="F172" s="1">
        <v>0.8</v>
      </c>
      <c r="G172" s="1">
        <v>480</v>
      </c>
      <c r="H172" s="2">
        <v>3</v>
      </c>
      <c r="I172" s="1">
        <v>7</v>
      </c>
      <c r="J172" s="1">
        <v>7</v>
      </c>
    </row>
    <row r="173" spans="1:10" ht="15.75" customHeight="1" x14ac:dyDescent="0.3">
      <c r="A173" s="15" t="s">
        <v>168</v>
      </c>
      <c r="B173" s="1" t="s">
        <v>198</v>
      </c>
      <c r="C173" s="1">
        <v>79</v>
      </c>
      <c r="D173" s="46">
        <v>13.35</v>
      </c>
      <c r="E173" s="1">
        <v>29.2</v>
      </c>
      <c r="F173" s="1">
        <v>0</v>
      </c>
      <c r="H173" s="2">
        <v>3</v>
      </c>
      <c r="I173" s="1">
        <v>2</v>
      </c>
      <c r="J173" s="1">
        <v>2</v>
      </c>
    </row>
    <row r="174" spans="1:10" ht="15.75" customHeight="1" x14ac:dyDescent="0.3">
      <c r="A174" s="15" t="s">
        <v>168</v>
      </c>
      <c r="B174" s="1" t="s">
        <v>199</v>
      </c>
      <c r="C174" s="1">
        <v>92</v>
      </c>
      <c r="D174" s="46">
        <v>15.6</v>
      </c>
      <c r="E174" s="1">
        <v>23.5</v>
      </c>
      <c r="F174" s="1">
        <v>0.7</v>
      </c>
      <c r="G174" s="1">
        <v>480</v>
      </c>
      <c r="H174" s="2">
        <v>2</v>
      </c>
      <c r="I174" s="1">
        <v>1</v>
      </c>
      <c r="J174" s="1">
        <v>1</v>
      </c>
    </row>
    <row r="175" spans="1:10" ht="15.75" customHeight="1" x14ac:dyDescent="0.3">
      <c r="A175" s="15" t="s">
        <v>168</v>
      </c>
      <c r="B175" s="1" t="s">
        <v>199</v>
      </c>
      <c r="C175" s="1">
        <v>79</v>
      </c>
      <c r="D175" s="46">
        <v>7.6</v>
      </c>
      <c r="E175" s="1">
        <v>25.4</v>
      </c>
      <c r="F175" s="1">
        <v>0</v>
      </c>
      <c r="H175" s="2">
        <v>2</v>
      </c>
      <c r="I175" s="1">
        <v>2</v>
      </c>
      <c r="J175" s="1">
        <v>5</v>
      </c>
    </row>
    <row r="176" spans="1:10" ht="15.75" customHeight="1" x14ac:dyDescent="0.3">
      <c r="A176" s="15" t="s">
        <v>168</v>
      </c>
      <c r="B176" s="1" t="s">
        <v>183</v>
      </c>
      <c r="C176" s="1">
        <v>89</v>
      </c>
      <c r="D176" s="46">
        <v>1.1000000000000001</v>
      </c>
      <c r="E176" s="1">
        <v>22.3</v>
      </c>
      <c r="F176" s="1">
        <v>0</v>
      </c>
      <c r="H176" s="2">
        <v>3</v>
      </c>
      <c r="I176" s="1">
        <v>7</v>
      </c>
      <c r="J176" s="1">
        <v>10</v>
      </c>
    </row>
    <row r="177" spans="1:10" ht="15.75" customHeight="1" x14ac:dyDescent="0.3">
      <c r="A177" s="15" t="s">
        <v>168</v>
      </c>
      <c r="B177" s="1" t="s">
        <v>183</v>
      </c>
      <c r="C177" s="1">
        <v>89</v>
      </c>
      <c r="D177" s="46">
        <v>1</v>
      </c>
      <c r="E177" s="1">
        <v>22.2</v>
      </c>
      <c r="F177" s="1">
        <v>0</v>
      </c>
      <c r="G177" s="1">
        <v>1420</v>
      </c>
      <c r="H177" s="2">
        <v>3</v>
      </c>
      <c r="I177" s="1">
        <v>4</v>
      </c>
      <c r="J177" s="1">
        <v>4</v>
      </c>
    </row>
    <row r="178" spans="1:10" ht="15.75" customHeight="1" x14ac:dyDescent="0.3">
      <c r="A178" s="15" t="s">
        <v>168</v>
      </c>
      <c r="B178" s="1" t="s">
        <v>183</v>
      </c>
      <c r="C178" s="1">
        <v>72</v>
      </c>
      <c r="D178" s="1">
        <v>0.75</v>
      </c>
      <c r="E178" s="1">
        <v>25</v>
      </c>
      <c r="F178" s="1">
        <v>0.9</v>
      </c>
      <c r="H178" s="2">
        <v>3</v>
      </c>
      <c r="I178" s="1">
        <v>2</v>
      </c>
      <c r="J178" s="1">
        <v>3</v>
      </c>
    </row>
    <row r="179" spans="1:10" ht="15.75" customHeight="1" x14ac:dyDescent="0.3">
      <c r="A179" s="15" t="s">
        <v>168</v>
      </c>
      <c r="B179" s="1" t="s">
        <v>185</v>
      </c>
      <c r="C179" s="1">
        <v>60</v>
      </c>
      <c r="D179" s="46">
        <v>44</v>
      </c>
      <c r="E179" s="1">
        <v>32.6</v>
      </c>
      <c r="F179" s="1">
        <v>0</v>
      </c>
      <c r="G179" s="1">
        <v>1420</v>
      </c>
      <c r="H179" s="2">
        <v>1</v>
      </c>
      <c r="I179" s="1">
        <v>2</v>
      </c>
      <c r="J179" s="1">
        <v>4</v>
      </c>
    </row>
    <row r="180" spans="1:10" ht="15.75" customHeight="1" x14ac:dyDescent="0.3">
      <c r="A180" s="15" t="s">
        <v>168</v>
      </c>
      <c r="B180" s="1" t="s">
        <v>185</v>
      </c>
      <c r="C180" s="1">
        <v>79</v>
      </c>
      <c r="D180" s="46">
        <v>39.200000000000003</v>
      </c>
      <c r="E180" s="1">
        <v>31.4</v>
      </c>
      <c r="F180" s="1">
        <v>0</v>
      </c>
      <c r="H180" s="2">
        <v>1</v>
      </c>
      <c r="I180" s="1">
        <v>0</v>
      </c>
      <c r="J180" s="1">
        <v>0</v>
      </c>
    </row>
    <row r="181" spans="1:10" ht="15.75" customHeight="1" x14ac:dyDescent="0.3">
      <c r="A181" s="15" t="s">
        <v>168</v>
      </c>
      <c r="B181" s="1" t="s">
        <v>186</v>
      </c>
      <c r="C181" s="1">
        <v>76</v>
      </c>
      <c r="D181" s="46">
        <v>1.53</v>
      </c>
      <c r="E181" s="1">
        <v>25.4</v>
      </c>
      <c r="F181" s="1">
        <v>0</v>
      </c>
      <c r="G181" s="1">
        <v>1420</v>
      </c>
      <c r="H181" s="2">
        <v>6</v>
      </c>
      <c r="I181" s="1">
        <v>4</v>
      </c>
      <c r="J181" s="1">
        <v>5</v>
      </c>
    </row>
    <row r="182" spans="1:10" ht="15.75" customHeight="1" x14ac:dyDescent="0.3">
      <c r="A182" s="1" t="s">
        <v>172</v>
      </c>
      <c r="B182" s="1" t="s">
        <v>176</v>
      </c>
      <c r="C182" s="1">
        <v>81</v>
      </c>
      <c r="D182" s="46">
        <v>1.6</v>
      </c>
      <c r="E182" s="1">
        <v>26.5</v>
      </c>
      <c r="F182" s="1">
        <v>0</v>
      </c>
      <c r="H182" s="2">
        <v>4</v>
      </c>
      <c r="I182" s="1">
        <v>12</v>
      </c>
      <c r="J182" s="1">
        <v>18</v>
      </c>
    </row>
    <row r="183" spans="1:10" ht="15.75" customHeight="1" x14ac:dyDescent="0.3">
      <c r="A183" s="1" t="s">
        <v>172</v>
      </c>
      <c r="B183" s="1" t="s">
        <v>177</v>
      </c>
      <c r="C183" s="1">
        <v>96</v>
      </c>
      <c r="D183" s="46">
        <v>1.1299999999999999</v>
      </c>
      <c r="E183" s="1">
        <v>26.4</v>
      </c>
      <c r="F183" s="1">
        <v>0</v>
      </c>
      <c r="H183" s="2">
        <v>3</v>
      </c>
      <c r="I183" s="1">
        <v>5</v>
      </c>
      <c r="J183" s="1">
        <v>5</v>
      </c>
    </row>
    <row r="184" spans="1:10" ht="15.75" customHeight="1" x14ac:dyDescent="0.3">
      <c r="A184" s="1" t="s">
        <v>172</v>
      </c>
      <c r="B184" s="1" t="s">
        <v>200</v>
      </c>
      <c r="C184" s="1">
        <v>99</v>
      </c>
      <c r="D184" s="46">
        <v>0.28000000000000003</v>
      </c>
      <c r="E184" s="1">
        <v>23.5</v>
      </c>
      <c r="F184" s="1">
        <v>0</v>
      </c>
      <c r="G184" s="1">
        <v>650</v>
      </c>
      <c r="H184" s="2">
        <v>5</v>
      </c>
      <c r="I184" s="1">
        <v>7</v>
      </c>
      <c r="J184" s="1">
        <v>10</v>
      </c>
    </row>
    <row r="185" spans="1:10" ht="15.75" customHeight="1" x14ac:dyDescent="0.3">
      <c r="A185" s="1" t="s">
        <v>172</v>
      </c>
      <c r="B185" s="1" t="s">
        <v>180</v>
      </c>
      <c r="C185" s="1">
        <v>96</v>
      </c>
      <c r="D185" s="46">
        <v>0.64</v>
      </c>
      <c r="E185" s="1">
        <v>24.9</v>
      </c>
      <c r="F185" s="1">
        <v>0</v>
      </c>
      <c r="G185" s="1">
        <v>650</v>
      </c>
      <c r="H185" s="2">
        <v>5</v>
      </c>
      <c r="I185" s="1">
        <v>9</v>
      </c>
      <c r="J185" s="1">
        <v>9</v>
      </c>
    </row>
    <row r="186" spans="1:10" ht="15.75" customHeight="1" x14ac:dyDescent="0.3">
      <c r="A186" s="1" t="s">
        <v>172</v>
      </c>
      <c r="B186" s="1" t="s">
        <v>181</v>
      </c>
      <c r="C186" s="1">
        <v>98</v>
      </c>
      <c r="D186" s="46">
        <v>2.2799999999999998</v>
      </c>
      <c r="E186" s="1">
        <v>23.7</v>
      </c>
      <c r="F186" s="1">
        <v>0</v>
      </c>
      <c r="G186" s="1">
        <v>650</v>
      </c>
      <c r="H186" s="2">
        <v>3</v>
      </c>
      <c r="I186" s="1">
        <v>4</v>
      </c>
      <c r="J186" s="1">
        <v>4</v>
      </c>
    </row>
    <row r="187" spans="1:10" ht="15.75" customHeight="1" x14ac:dyDescent="0.3">
      <c r="A187" s="1" t="s">
        <v>172</v>
      </c>
      <c r="B187" s="1" t="s">
        <v>198</v>
      </c>
      <c r="C187" s="1">
        <v>99</v>
      </c>
      <c r="D187" s="46">
        <v>7.2350000000000003</v>
      </c>
      <c r="E187" s="1">
        <v>24.6</v>
      </c>
      <c r="F187" s="1">
        <v>1.4</v>
      </c>
      <c r="G187" s="1">
        <v>650</v>
      </c>
      <c r="H187" s="2">
        <v>3</v>
      </c>
      <c r="I187" s="1">
        <v>10</v>
      </c>
      <c r="J187" s="1">
        <v>16</v>
      </c>
    </row>
    <row r="188" spans="1:10" ht="15.75" customHeight="1" x14ac:dyDescent="0.3">
      <c r="A188" s="1" t="s">
        <v>172</v>
      </c>
      <c r="B188" s="1" t="s">
        <v>199</v>
      </c>
      <c r="C188" s="1">
        <v>78</v>
      </c>
      <c r="D188" s="46">
        <v>17.850000000000001</v>
      </c>
      <c r="E188" s="1">
        <v>26.8</v>
      </c>
      <c r="F188" s="1">
        <v>0.7</v>
      </c>
      <c r="G188" s="1">
        <v>650</v>
      </c>
      <c r="H188" s="2">
        <v>2</v>
      </c>
      <c r="I188" s="1">
        <v>3</v>
      </c>
      <c r="J188" s="1">
        <v>3</v>
      </c>
    </row>
    <row r="189" spans="1:10" ht="15.75" customHeight="1" x14ac:dyDescent="0.3">
      <c r="A189" s="1" t="s">
        <v>172</v>
      </c>
      <c r="B189" s="1" t="s">
        <v>183</v>
      </c>
      <c r="C189" s="1">
        <v>92</v>
      </c>
      <c r="D189" s="46">
        <v>44.68</v>
      </c>
      <c r="E189" s="1">
        <v>23.2</v>
      </c>
      <c r="F189" s="1">
        <v>0.6</v>
      </c>
      <c r="H189" s="2">
        <v>3</v>
      </c>
      <c r="I189" s="1">
        <v>8</v>
      </c>
      <c r="J189" s="1">
        <v>9</v>
      </c>
    </row>
    <row r="190" spans="1:10" ht="15.75" customHeight="1" x14ac:dyDescent="0.3">
      <c r="A190" s="1" t="s">
        <v>172</v>
      </c>
      <c r="B190" s="1" t="s">
        <v>183</v>
      </c>
      <c r="C190" s="1">
        <v>84</v>
      </c>
      <c r="D190" s="46">
        <v>0.5</v>
      </c>
      <c r="E190" s="1">
        <v>25.9</v>
      </c>
      <c r="F190" s="1">
        <v>0</v>
      </c>
      <c r="H190" s="2">
        <v>3</v>
      </c>
      <c r="I190" s="1">
        <v>4</v>
      </c>
      <c r="J190" s="1">
        <v>4</v>
      </c>
    </row>
    <row r="191" spans="1:10" ht="15.75" customHeight="1" x14ac:dyDescent="0.3">
      <c r="A191" s="1" t="s">
        <v>172</v>
      </c>
      <c r="B191" s="1" t="s">
        <v>186</v>
      </c>
      <c r="C191" s="1">
        <v>83</v>
      </c>
      <c r="D191" s="46">
        <v>1.1299999999999999</v>
      </c>
      <c r="E191" s="1">
        <v>25.5</v>
      </c>
      <c r="F191" s="1">
        <v>0</v>
      </c>
      <c r="H191" s="2">
        <v>6</v>
      </c>
      <c r="I191" s="1">
        <v>9</v>
      </c>
      <c r="J191" s="1">
        <v>19</v>
      </c>
    </row>
    <row r="192" spans="1:10" ht="15.75" customHeight="1" x14ac:dyDescent="0.3">
      <c r="D192" s="46"/>
    </row>
    <row r="193" spans="4:4" ht="15.75" customHeight="1" x14ac:dyDescent="0.3">
      <c r="D193" s="46"/>
    </row>
    <row r="194" spans="4:4" ht="15.75" customHeight="1" x14ac:dyDescent="0.3">
      <c r="D194" s="46"/>
    </row>
    <row r="195" spans="4:4" ht="15.75" customHeight="1" x14ac:dyDescent="0.3">
      <c r="D195" s="46"/>
    </row>
    <row r="196" spans="4:4" ht="15.75" customHeight="1" x14ac:dyDescent="0.3">
      <c r="D196" s="46"/>
    </row>
    <row r="197" spans="4:4" ht="15.75" customHeight="1" x14ac:dyDescent="0.3">
      <c r="D197" s="46"/>
    </row>
    <row r="198" spans="4:4" ht="15.75" customHeight="1" x14ac:dyDescent="0.3">
      <c r="D198" s="46"/>
    </row>
    <row r="199" spans="4:4" ht="15.75" customHeight="1" x14ac:dyDescent="0.3">
      <c r="D199" s="46"/>
    </row>
    <row r="200" spans="4:4" ht="15.75" customHeight="1" x14ac:dyDescent="0.3">
      <c r="D200" s="46"/>
    </row>
    <row r="201" spans="4:4" ht="15.75" customHeight="1" x14ac:dyDescent="0.3">
      <c r="D201" s="46"/>
    </row>
    <row r="202" spans="4:4" ht="15.75" customHeight="1" x14ac:dyDescent="0.3">
      <c r="D202" s="46"/>
    </row>
    <row r="203" spans="4:4" ht="15.75" customHeight="1" x14ac:dyDescent="0.3">
      <c r="D203" s="46"/>
    </row>
    <row r="204" spans="4:4" ht="15.75" customHeight="1" x14ac:dyDescent="0.3">
      <c r="D204" s="46"/>
    </row>
    <row r="205" spans="4:4" ht="15.75" customHeight="1" x14ac:dyDescent="0.3">
      <c r="D205" s="46"/>
    </row>
    <row r="206" spans="4:4" ht="15.75" customHeight="1" x14ac:dyDescent="0.3">
      <c r="D206" s="46"/>
    </row>
    <row r="207" spans="4:4" ht="15.75" customHeight="1" x14ac:dyDescent="0.3">
      <c r="D207" s="46"/>
    </row>
    <row r="208" spans="4:4" ht="15.75" customHeight="1" x14ac:dyDescent="0.3">
      <c r="D208" s="46"/>
    </row>
    <row r="209" spans="4:4" ht="15.75" customHeight="1" x14ac:dyDescent="0.3">
      <c r="D209" s="46"/>
    </row>
    <row r="210" spans="4:4" ht="15.75" customHeight="1" x14ac:dyDescent="0.3">
      <c r="D210" s="46"/>
    </row>
    <row r="211" spans="4:4" ht="15.75" customHeight="1" x14ac:dyDescent="0.3">
      <c r="D211" s="46"/>
    </row>
    <row r="212" spans="4:4" ht="15.75" customHeight="1" x14ac:dyDescent="0.3">
      <c r="D212" s="46"/>
    </row>
    <row r="213" spans="4:4" ht="15.75" customHeight="1" x14ac:dyDescent="0.3">
      <c r="D213" s="46"/>
    </row>
    <row r="214" spans="4:4" ht="15.75" customHeight="1" x14ac:dyDescent="0.3">
      <c r="D214" s="46"/>
    </row>
    <row r="215" spans="4:4" ht="15.75" customHeight="1" x14ac:dyDescent="0.3">
      <c r="D215" s="46"/>
    </row>
    <row r="216" spans="4:4" ht="15.75" customHeight="1" x14ac:dyDescent="0.3">
      <c r="D216" s="46"/>
    </row>
    <row r="217" spans="4:4" ht="15.75" customHeight="1" x14ac:dyDescent="0.3">
      <c r="D217" s="46"/>
    </row>
    <row r="218" spans="4:4" ht="15.75" customHeight="1" x14ac:dyDescent="0.3">
      <c r="D218" s="46"/>
    </row>
    <row r="219" spans="4:4" ht="15.75" customHeight="1" x14ac:dyDescent="0.3">
      <c r="D219" s="46"/>
    </row>
    <row r="220" spans="4:4" ht="15.75" customHeight="1" x14ac:dyDescent="0.3">
      <c r="D220" s="46"/>
    </row>
    <row r="221" spans="4:4" ht="15.75" customHeight="1" x14ac:dyDescent="0.3">
      <c r="D221" s="46"/>
    </row>
    <row r="222" spans="4:4" ht="15.75" customHeight="1" x14ac:dyDescent="0.3">
      <c r="D222" s="46"/>
    </row>
    <row r="223" spans="4:4" ht="15.75" customHeight="1" x14ac:dyDescent="0.3">
      <c r="D223" s="46"/>
    </row>
    <row r="224" spans="4:4" ht="15.75" customHeight="1" x14ac:dyDescent="0.3">
      <c r="D224" s="46"/>
    </row>
    <row r="225" spans="4:4" ht="15.75" customHeight="1" x14ac:dyDescent="0.3">
      <c r="D225" s="46"/>
    </row>
    <row r="226" spans="4:4" ht="15.75" customHeight="1" x14ac:dyDescent="0.3">
      <c r="D226" s="46"/>
    </row>
    <row r="227" spans="4:4" ht="15.75" customHeight="1" x14ac:dyDescent="0.3">
      <c r="D227" s="46"/>
    </row>
    <row r="228" spans="4:4" ht="15.75" customHeight="1" x14ac:dyDescent="0.3">
      <c r="D228" s="46"/>
    </row>
    <row r="229" spans="4:4" ht="15.75" customHeight="1" x14ac:dyDescent="0.3">
      <c r="D229" s="46"/>
    </row>
    <row r="230" spans="4:4" ht="15.75" customHeight="1" x14ac:dyDescent="0.3">
      <c r="D230" s="46"/>
    </row>
    <row r="231" spans="4:4" ht="15.75" customHeight="1" x14ac:dyDescent="0.3">
      <c r="D231" s="46"/>
    </row>
    <row r="232" spans="4:4" ht="15.75" customHeight="1" x14ac:dyDescent="0.3">
      <c r="D232" s="46"/>
    </row>
    <row r="233" spans="4:4" ht="15.75" customHeight="1" x14ac:dyDescent="0.3">
      <c r="D233" s="46"/>
    </row>
    <row r="234" spans="4:4" ht="15.75" customHeight="1" x14ac:dyDescent="0.3">
      <c r="D234" s="46"/>
    </row>
    <row r="235" spans="4:4" ht="15.75" customHeight="1" x14ac:dyDescent="0.3">
      <c r="D235" s="46"/>
    </row>
    <row r="236" spans="4:4" ht="15.75" customHeight="1" x14ac:dyDescent="0.3">
      <c r="D236" s="46"/>
    </row>
    <row r="237" spans="4:4" ht="15.75" customHeight="1" x14ac:dyDescent="0.3">
      <c r="D237" s="46"/>
    </row>
    <row r="238" spans="4:4" ht="15.75" customHeight="1" x14ac:dyDescent="0.3">
      <c r="D238" s="46"/>
    </row>
    <row r="239" spans="4:4" ht="15.75" customHeight="1" x14ac:dyDescent="0.3">
      <c r="D239" s="46"/>
    </row>
    <row r="240" spans="4:4" ht="15.75" customHeight="1" x14ac:dyDescent="0.3">
      <c r="D240" s="46"/>
    </row>
    <row r="241" spans="4:4" ht="15.75" customHeight="1" x14ac:dyDescent="0.3">
      <c r="D241" s="46"/>
    </row>
    <row r="242" spans="4:4" ht="15.75" customHeight="1" x14ac:dyDescent="0.3">
      <c r="D242" s="46"/>
    </row>
    <row r="243" spans="4:4" ht="15.75" customHeight="1" x14ac:dyDescent="0.3">
      <c r="D243" s="46"/>
    </row>
    <row r="244" spans="4:4" ht="15.75" customHeight="1" x14ac:dyDescent="0.3">
      <c r="D244" s="46"/>
    </row>
    <row r="245" spans="4:4" ht="15.75" customHeight="1" x14ac:dyDescent="0.3">
      <c r="D245" s="46"/>
    </row>
    <row r="246" spans="4:4" ht="15.75" customHeight="1" x14ac:dyDescent="0.3">
      <c r="D246" s="46"/>
    </row>
    <row r="247" spans="4:4" ht="15.75" customHeight="1" x14ac:dyDescent="0.3">
      <c r="D247" s="46"/>
    </row>
    <row r="248" spans="4:4" ht="15.75" customHeight="1" x14ac:dyDescent="0.3">
      <c r="D248" s="46"/>
    </row>
    <row r="249" spans="4:4" ht="15.75" customHeight="1" x14ac:dyDescent="0.3">
      <c r="D249" s="46"/>
    </row>
    <row r="250" spans="4:4" ht="15.75" customHeight="1" x14ac:dyDescent="0.3">
      <c r="D250" s="46"/>
    </row>
    <row r="251" spans="4:4" ht="15.75" customHeight="1" x14ac:dyDescent="0.3">
      <c r="D251" s="46"/>
    </row>
    <row r="252" spans="4:4" ht="15.75" customHeight="1" x14ac:dyDescent="0.3">
      <c r="D252" s="46"/>
    </row>
    <row r="253" spans="4:4" ht="15.75" customHeight="1" x14ac:dyDescent="0.3">
      <c r="D253" s="46"/>
    </row>
    <row r="254" spans="4:4" ht="15.75" customHeight="1" x14ac:dyDescent="0.3">
      <c r="D254" s="46"/>
    </row>
    <row r="255" spans="4:4" ht="15.75" customHeight="1" x14ac:dyDescent="0.3">
      <c r="D255" s="46"/>
    </row>
    <row r="256" spans="4:4" ht="15.75" customHeight="1" x14ac:dyDescent="0.3">
      <c r="D256" s="46"/>
    </row>
    <row r="257" spans="4:4" ht="15.75" customHeight="1" x14ac:dyDescent="0.3">
      <c r="D257" s="46"/>
    </row>
    <row r="258" spans="4:4" ht="15.75" customHeight="1" x14ac:dyDescent="0.3">
      <c r="D258" s="46"/>
    </row>
    <row r="259" spans="4:4" ht="15.75" customHeight="1" x14ac:dyDescent="0.3">
      <c r="D259" s="46"/>
    </row>
    <row r="260" spans="4:4" ht="15.75" customHeight="1" x14ac:dyDescent="0.3">
      <c r="D260" s="46"/>
    </row>
    <row r="261" spans="4:4" ht="15.75" customHeight="1" x14ac:dyDescent="0.3">
      <c r="D261" s="46"/>
    </row>
    <row r="262" spans="4:4" ht="15.75" customHeight="1" x14ac:dyDescent="0.3">
      <c r="D262" s="46"/>
    </row>
    <row r="263" spans="4:4" ht="15.75" customHeight="1" x14ac:dyDescent="0.3">
      <c r="D263" s="46"/>
    </row>
    <row r="264" spans="4:4" ht="15.75" customHeight="1" x14ac:dyDescent="0.3"/>
    <row r="265" spans="4:4" ht="15.75" customHeight="1" x14ac:dyDescent="0.3"/>
    <row r="266" spans="4:4" ht="15.75" customHeight="1" x14ac:dyDescent="0.3"/>
    <row r="267" spans="4:4" ht="15.75" customHeight="1" x14ac:dyDescent="0.3"/>
    <row r="268" spans="4:4" ht="15.75" customHeight="1" x14ac:dyDescent="0.3"/>
    <row r="269" spans="4:4" ht="15.75" customHeight="1" x14ac:dyDescent="0.3"/>
    <row r="270" spans="4:4" ht="15.75" customHeight="1" x14ac:dyDescent="0.3"/>
    <row r="271" spans="4:4" ht="15.75" customHeight="1" x14ac:dyDescent="0.3"/>
    <row r="272" spans="4:4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  <row r="1009" ht="15.75" customHeight="1" x14ac:dyDescent="0.3"/>
    <row r="1010" ht="15.75" customHeight="1" x14ac:dyDescent="0.3"/>
    <row r="1011" ht="15.75" customHeight="1" x14ac:dyDescent="0.3"/>
    <row r="1012" ht="15.75" customHeight="1" x14ac:dyDescent="0.3"/>
    <row r="1013" ht="15.75" customHeight="1" x14ac:dyDescent="0.3"/>
    <row r="1014" ht="15.75" customHeight="1" x14ac:dyDescent="0.3"/>
    <row r="1015" ht="15.75" customHeight="1" x14ac:dyDescent="0.3"/>
    <row r="1016" ht="15.75" customHeight="1" x14ac:dyDescent="0.3"/>
    <row r="1017" ht="15.75" customHeight="1" x14ac:dyDescent="0.3"/>
    <row r="1018" ht="15.75" customHeight="1" x14ac:dyDescent="0.3"/>
    <row r="1019" ht="15.75" customHeight="1" x14ac:dyDescent="0.3"/>
    <row r="1020" ht="15.75" customHeight="1" x14ac:dyDescent="0.3"/>
    <row r="1021" ht="15.75" customHeight="1" x14ac:dyDescent="0.3"/>
    <row r="1022" ht="15.75" customHeight="1" x14ac:dyDescent="0.3"/>
    <row r="1023" ht="15.75" customHeight="1" x14ac:dyDescent="0.3"/>
    <row r="1024" ht="15.75" customHeight="1" x14ac:dyDescent="0.3"/>
    <row r="1025" ht="15.75" customHeight="1" x14ac:dyDescent="0.3"/>
    <row r="1026" ht="15.75" customHeight="1" x14ac:dyDescent="0.3"/>
    <row r="1027" ht="15.75" customHeight="1" x14ac:dyDescent="0.3"/>
    <row r="1028" ht="15.75" customHeight="1" x14ac:dyDescent="0.3"/>
    <row r="1029" ht="15.75" customHeight="1" x14ac:dyDescent="0.3"/>
    <row r="1030" ht="15.75" customHeight="1" x14ac:dyDescent="0.3"/>
    <row r="1031" ht="15.75" customHeight="1" x14ac:dyDescent="0.3"/>
    <row r="1032" ht="15.75" customHeight="1" x14ac:dyDescent="0.3"/>
    <row r="1033" ht="15.75" customHeight="1" x14ac:dyDescent="0.3"/>
    <row r="1034" ht="15.75" customHeight="1" x14ac:dyDescent="0.3"/>
    <row r="1035" ht="15.75" customHeight="1" x14ac:dyDescent="0.3"/>
    <row r="1036" ht="15.75" customHeight="1" x14ac:dyDescent="0.3"/>
    <row r="1037" ht="15.75" customHeight="1" x14ac:dyDescent="0.3"/>
    <row r="1038" ht="15.75" customHeight="1" x14ac:dyDescent="0.3"/>
    <row r="1039" ht="15.75" customHeight="1" x14ac:dyDescent="0.3"/>
    <row r="1040" ht="15.75" customHeight="1" x14ac:dyDescent="0.3"/>
    <row r="1041" ht="15.75" customHeight="1" x14ac:dyDescent="0.3"/>
    <row r="1042" ht="15.75" customHeight="1" x14ac:dyDescent="0.3"/>
    <row r="1043" ht="15.75" customHeight="1" x14ac:dyDescent="0.3"/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1015"/>
  <sheetViews>
    <sheetView topLeftCell="A2" zoomScale="80" workbookViewId="0">
      <selection activeCell="J2" sqref="J2"/>
    </sheetView>
  </sheetViews>
  <sheetFormatPr defaultColWidth="12.77734375" defaultRowHeight="14.4" x14ac:dyDescent="0.3"/>
  <cols>
    <col min="1" max="1" width="7.21875" style="1" customWidth="1"/>
    <col min="2" max="2" width="14.77734375" style="1" customWidth="1"/>
    <col min="3" max="3" width="6.44140625" style="1" customWidth="1"/>
    <col min="4" max="4" width="8" style="1" customWidth="1"/>
    <col min="5" max="5" width="6.21875" style="1" customWidth="1"/>
    <col min="6" max="6" width="6" style="1" customWidth="1"/>
    <col min="7" max="7" width="7.5546875" style="1" customWidth="1"/>
    <col min="8" max="8" width="11.44140625" style="2" customWidth="1"/>
    <col min="9" max="16384" width="12.77734375" style="1"/>
  </cols>
  <sheetData>
    <row r="1" spans="1:10" ht="15" hidden="1" customHeight="1" x14ac:dyDescent="0.3">
      <c r="H1" s="3"/>
    </row>
    <row r="2" spans="1:10" ht="234.6" x14ac:dyDescent="0.3">
      <c r="A2" s="6" t="s">
        <v>7</v>
      </c>
      <c r="B2" s="6" t="s">
        <v>8</v>
      </c>
      <c r="C2" s="7" t="s">
        <v>14</v>
      </c>
      <c r="D2" s="9" t="s">
        <v>15</v>
      </c>
      <c r="E2" s="7" t="s">
        <v>16</v>
      </c>
      <c r="F2" s="7" t="s">
        <v>17</v>
      </c>
      <c r="G2" s="7" t="s">
        <v>19</v>
      </c>
      <c r="H2" s="8" t="s">
        <v>21</v>
      </c>
      <c r="I2" s="1" t="s">
        <v>174</v>
      </c>
      <c r="J2" s="1" t="s">
        <v>175</v>
      </c>
    </row>
    <row r="3" spans="1:10" ht="15.75" customHeight="1" x14ac:dyDescent="0.3">
      <c r="A3" s="15" t="s">
        <v>119</v>
      </c>
      <c r="B3" s="16" t="s">
        <v>177</v>
      </c>
      <c r="C3" s="15">
        <v>78</v>
      </c>
      <c r="D3" s="18">
        <v>1.915</v>
      </c>
      <c r="E3" s="15">
        <v>23.8</v>
      </c>
      <c r="F3" s="15">
        <v>0.8</v>
      </c>
      <c r="G3" s="18"/>
      <c r="H3" s="17">
        <v>3</v>
      </c>
      <c r="I3" s="1">
        <v>7</v>
      </c>
      <c r="J3" s="1">
        <v>14</v>
      </c>
    </row>
    <row r="4" spans="1:10" ht="15.75" customHeight="1" x14ac:dyDescent="0.3">
      <c r="A4" s="15" t="s">
        <v>119</v>
      </c>
      <c r="B4" s="16" t="s">
        <v>200</v>
      </c>
      <c r="C4" s="20">
        <v>80</v>
      </c>
      <c r="D4" s="18">
        <v>0.4</v>
      </c>
      <c r="E4" s="15">
        <v>32</v>
      </c>
      <c r="F4" s="15">
        <v>0</v>
      </c>
      <c r="G4" s="18"/>
      <c r="H4" s="17">
        <v>5</v>
      </c>
      <c r="I4" s="1">
        <v>3</v>
      </c>
      <c r="J4" s="1">
        <v>3</v>
      </c>
    </row>
    <row r="5" spans="1:10" ht="15.75" customHeight="1" x14ac:dyDescent="0.3">
      <c r="A5" s="15" t="s">
        <v>119</v>
      </c>
      <c r="B5" s="16" t="s">
        <v>200</v>
      </c>
      <c r="C5" s="20">
        <v>80</v>
      </c>
      <c r="D5" s="18">
        <v>0.52</v>
      </c>
      <c r="E5" s="15">
        <v>33</v>
      </c>
      <c r="F5" s="15">
        <v>0</v>
      </c>
      <c r="G5" s="18"/>
      <c r="H5" s="17">
        <v>5</v>
      </c>
      <c r="I5" s="1">
        <v>1</v>
      </c>
      <c r="J5" s="1">
        <v>1</v>
      </c>
    </row>
    <row r="6" spans="1:10" ht="15.75" customHeight="1" x14ac:dyDescent="0.3">
      <c r="A6" s="15" t="s">
        <v>119</v>
      </c>
      <c r="B6" s="16" t="s">
        <v>200</v>
      </c>
      <c r="C6" s="20">
        <v>80</v>
      </c>
      <c r="D6" s="18">
        <v>0.4</v>
      </c>
      <c r="E6" s="15">
        <v>36</v>
      </c>
      <c r="F6" s="15">
        <v>0</v>
      </c>
      <c r="G6" s="18"/>
      <c r="H6" s="17">
        <v>5</v>
      </c>
      <c r="I6" s="1">
        <v>1</v>
      </c>
      <c r="J6" s="1">
        <v>1</v>
      </c>
    </row>
    <row r="7" spans="1:10" ht="15.75" customHeight="1" x14ac:dyDescent="0.3">
      <c r="A7" s="15" t="s">
        <v>119</v>
      </c>
      <c r="B7" s="16" t="s">
        <v>200</v>
      </c>
      <c r="C7" s="20">
        <v>80</v>
      </c>
      <c r="D7" s="18">
        <v>0.4</v>
      </c>
      <c r="E7" s="15">
        <v>32</v>
      </c>
      <c r="F7" s="15">
        <v>0</v>
      </c>
      <c r="G7" s="18"/>
      <c r="H7" s="17">
        <v>5</v>
      </c>
      <c r="I7" s="1">
        <v>2</v>
      </c>
      <c r="J7" s="1">
        <v>2</v>
      </c>
    </row>
    <row r="8" spans="1:10" ht="15.75" customHeight="1" x14ac:dyDescent="0.3">
      <c r="A8" s="15" t="s">
        <v>119</v>
      </c>
      <c r="B8" s="16" t="s">
        <v>200</v>
      </c>
      <c r="C8" s="20">
        <v>80</v>
      </c>
      <c r="D8" s="18">
        <v>0.4</v>
      </c>
      <c r="E8" s="15">
        <v>33</v>
      </c>
      <c r="F8" s="15">
        <v>0</v>
      </c>
      <c r="G8" s="18"/>
      <c r="H8" s="17">
        <v>5</v>
      </c>
      <c r="I8" s="1">
        <v>1</v>
      </c>
      <c r="J8" s="1">
        <v>1</v>
      </c>
    </row>
    <row r="9" spans="1:10" ht="15.75" customHeight="1" x14ac:dyDescent="0.3">
      <c r="A9" s="15" t="s">
        <v>119</v>
      </c>
      <c r="B9" s="16" t="s">
        <v>200</v>
      </c>
      <c r="C9" s="20">
        <v>80</v>
      </c>
      <c r="D9" s="18">
        <v>0.51</v>
      </c>
      <c r="E9" s="15">
        <v>32</v>
      </c>
      <c r="F9" s="15">
        <v>0</v>
      </c>
      <c r="G9" s="18"/>
      <c r="H9" s="17">
        <v>5</v>
      </c>
      <c r="I9" s="1">
        <v>3</v>
      </c>
      <c r="J9" s="1">
        <v>3</v>
      </c>
    </row>
    <row r="10" spans="1:10" ht="15.75" customHeight="1" x14ac:dyDescent="0.3">
      <c r="A10" s="15" t="s">
        <v>119</v>
      </c>
      <c r="B10" s="16" t="s">
        <v>200</v>
      </c>
      <c r="C10" s="20">
        <v>80</v>
      </c>
      <c r="D10" s="18">
        <v>0.5</v>
      </c>
      <c r="E10" s="15">
        <v>23</v>
      </c>
      <c r="F10" s="15">
        <v>0</v>
      </c>
      <c r="G10" s="18"/>
      <c r="H10" s="17">
        <v>5</v>
      </c>
      <c r="I10" s="1">
        <v>1</v>
      </c>
      <c r="J10" s="1">
        <v>1</v>
      </c>
    </row>
    <row r="11" spans="1:10" ht="15.75" customHeight="1" x14ac:dyDescent="0.3">
      <c r="A11" s="15" t="s">
        <v>119</v>
      </c>
      <c r="B11" s="16" t="s">
        <v>200</v>
      </c>
      <c r="C11" s="15">
        <v>81</v>
      </c>
      <c r="D11" s="18">
        <v>2.0499999999999998</v>
      </c>
      <c r="E11" s="15">
        <v>24.9</v>
      </c>
      <c r="F11" s="15">
        <v>0</v>
      </c>
      <c r="G11" s="18"/>
      <c r="H11" s="17">
        <v>5</v>
      </c>
      <c r="I11" s="1">
        <v>3</v>
      </c>
      <c r="J11" s="1">
        <v>3</v>
      </c>
    </row>
    <row r="12" spans="1:10" ht="15.75" customHeight="1" x14ac:dyDescent="0.3">
      <c r="A12" s="15" t="s">
        <v>119</v>
      </c>
      <c r="B12" s="16" t="s">
        <v>180</v>
      </c>
      <c r="C12" s="15">
        <v>81</v>
      </c>
      <c r="D12" s="18">
        <v>1.2809999999999999</v>
      </c>
      <c r="E12" s="15">
        <v>24.9</v>
      </c>
      <c r="F12" s="15">
        <v>0.8</v>
      </c>
      <c r="G12" s="18"/>
      <c r="H12" s="17">
        <v>5</v>
      </c>
      <c r="I12" s="1">
        <v>3</v>
      </c>
      <c r="J12" s="1">
        <v>3</v>
      </c>
    </row>
    <row r="13" spans="1:10" ht="15.75" customHeight="1" x14ac:dyDescent="0.3">
      <c r="A13" s="15" t="s">
        <v>119</v>
      </c>
      <c r="B13" s="16" t="s">
        <v>180</v>
      </c>
      <c r="C13" s="18">
        <v>68.67</v>
      </c>
      <c r="D13" s="18">
        <v>94.13</v>
      </c>
      <c r="E13" s="15">
        <v>25</v>
      </c>
      <c r="F13" s="15">
        <v>1.2</v>
      </c>
      <c r="G13" s="18"/>
      <c r="H13" s="17">
        <v>5</v>
      </c>
      <c r="I13" s="1">
        <v>1</v>
      </c>
      <c r="J13" s="1">
        <v>1</v>
      </c>
    </row>
    <row r="14" spans="1:10" ht="15.75" customHeight="1" x14ac:dyDescent="0.3">
      <c r="A14" s="15" t="s">
        <v>119</v>
      </c>
      <c r="B14" s="16" t="s">
        <v>181</v>
      </c>
      <c r="C14" s="15">
        <v>80</v>
      </c>
      <c r="D14" s="18">
        <v>9.35</v>
      </c>
      <c r="E14" s="15">
        <v>25.5</v>
      </c>
      <c r="F14" s="15">
        <v>2.6</v>
      </c>
      <c r="G14" s="18"/>
      <c r="H14" s="17">
        <v>3</v>
      </c>
      <c r="I14" s="1">
        <v>3</v>
      </c>
      <c r="J14" s="1">
        <v>3</v>
      </c>
    </row>
    <row r="15" spans="1:10" ht="15.75" customHeight="1" x14ac:dyDescent="0.3">
      <c r="A15" s="15" t="s">
        <v>119</v>
      </c>
      <c r="B15" s="16" t="s">
        <v>181</v>
      </c>
      <c r="C15" s="15">
        <v>68.58</v>
      </c>
      <c r="D15" s="18">
        <v>6.6</v>
      </c>
      <c r="E15" s="15">
        <v>25.7</v>
      </c>
      <c r="F15" s="15">
        <v>2.1</v>
      </c>
      <c r="G15" s="18"/>
      <c r="H15" s="17">
        <v>3</v>
      </c>
      <c r="I15" s="1">
        <v>3</v>
      </c>
      <c r="J15" s="1">
        <v>3</v>
      </c>
    </row>
    <row r="16" spans="1:10" ht="15.75" customHeight="1" x14ac:dyDescent="0.3">
      <c r="A16" s="15" t="s">
        <v>119</v>
      </c>
      <c r="B16" s="16" t="s">
        <v>181</v>
      </c>
      <c r="C16" s="20">
        <v>70</v>
      </c>
      <c r="D16" s="18">
        <v>4.2</v>
      </c>
      <c r="E16" s="15">
        <v>23</v>
      </c>
      <c r="F16" s="15">
        <v>0</v>
      </c>
      <c r="G16" s="18"/>
      <c r="H16" s="17">
        <v>3</v>
      </c>
      <c r="I16" s="1">
        <v>2</v>
      </c>
      <c r="J16" s="1">
        <v>2</v>
      </c>
    </row>
    <row r="17" spans="1:10" ht="15.75" customHeight="1" x14ac:dyDescent="0.3">
      <c r="A17" s="15" t="s">
        <v>119</v>
      </c>
      <c r="B17" s="16" t="s">
        <v>198</v>
      </c>
      <c r="C17" s="20">
        <v>70</v>
      </c>
      <c r="D17" s="18">
        <v>4.2</v>
      </c>
      <c r="E17" s="15">
        <v>21</v>
      </c>
      <c r="F17" s="15">
        <v>0</v>
      </c>
      <c r="G17" s="18"/>
      <c r="H17" s="17">
        <v>3</v>
      </c>
      <c r="I17" s="1">
        <v>4</v>
      </c>
      <c r="J17" s="1">
        <v>4</v>
      </c>
    </row>
    <row r="18" spans="1:10" ht="15.75" customHeight="1" x14ac:dyDescent="0.3">
      <c r="A18" s="15" t="s">
        <v>119</v>
      </c>
      <c r="B18" s="16" t="s">
        <v>198</v>
      </c>
      <c r="C18" s="20">
        <v>70</v>
      </c>
      <c r="D18" s="18">
        <v>4.2</v>
      </c>
      <c r="E18" s="15">
        <v>20</v>
      </c>
      <c r="F18" s="15">
        <v>0</v>
      </c>
      <c r="G18" s="18"/>
      <c r="H18" s="17">
        <v>3</v>
      </c>
      <c r="I18" s="1">
        <v>1</v>
      </c>
      <c r="J18" s="1">
        <v>1</v>
      </c>
    </row>
    <row r="19" spans="1:10" ht="15.75" customHeight="1" x14ac:dyDescent="0.3">
      <c r="A19" s="15" t="s">
        <v>119</v>
      </c>
      <c r="B19" s="16" t="s">
        <v>198</v>
      </c>
      <c r="C19" s="20">
        <v>70</v>
      </c>
      <c r="D19" s="18">
        <v>4.2</v>
      </c>
      <c r="E19" s="15">
        <v>21</v>
      </c>
      <c r="F19" s="15">
        <v>0</v>
      </c>
      <c r="G19" s="18"/>
      <c r="H19" s="17">
        <v>3</v>
      </c>
      <c r="I19" s="1">
        <v>1</v>
      </c>
      <c r="J19" s="1">
        <v>1</v>
      </c>
    </row>
    <row r="20" spans="1:10" ht="15.75" customHeight="1" x14ac:dyDescent="0.3">
      <c r="A20" s="15" t="s">
        <v>119</v>
      </c>
      <c r="B20" s="16" t="s">
        <v>198</v>
      </c>
      <c r="C20" s="20">
        <v>70</v>
      </c>
      <c r="D20" s="18">
        <v>4.2</v>
      </c>
      <c r="E20" s="15">
        <v>22</v>
      </c>
      <c r="F20" s="15">
        <v>0</v>
      </c>
      <c r="G20" s="18"/>
      <c r="H20" s="17">
        <v>3</v>
      </c>
      <c r="I20" s="1">
        <v>5</v>
      </c>
      <c r="J20" s="1">
        <v>5</v>
      </c>
    </row>
    <row r="21" spans="1:10" ht="15.75" customHeight="1" x14ac:dyDescent="0.3">
      <c r="A21" s="15" t="s">
        <v>119</v>
      </c>
      <c r="B21" s="16" t="s">
        <v>198</v>
      </c>
      <c r="C21" s="20">
        <v>70</v>
      </c>
      <c r="D21" s="18">
        <v>4.2</v>
      </c>
      <c r="E21" s="15">
        <v>23</v>
      </c>
      <c r="F21" s="15">
        <v>0</v>
      </c>
      <c r="G21" s="18"/>
      <c r="H21" s="17">
        <v>3</v>
      </c>
      <c r="I21" s="1">
        <v>2</v>
      </c>
      <c r="J21" s="1">
        <v>2</v>
      </c>
    </row>
    <row r="22" spans="1:10" ht="15.75" customHeight="1" x14ac:dyDescent="0.3">
      <c r="A22" s="15" t="s">
        <v>119</v>
      </c>
      <c r="B22" s="16" t="s">
        <v>198</v>
      </c>
      <c r="C22" s="20">
        <v>70</v>
      </c>
      <c r="D22" s="18">
        <v>4.2</v>
      </c>
      <c r="E22" s="15">
        <v>22</v>
      </c>
      <c r="F22" s="15">
        <v>0</v>
      </c>
      <c r="G22" s="18"/>
      <c r="H22" s="17">
        <v>3</v>
      </c>
      <c r="I22" s="1">
        <v>1</v>
      </c>
      <c r="J22" s="1">
        <v>1</v>
      </c>
    </row>
    <row r="23" spans="1:10" ht="15.75" customHeight="1" x14ac:dyDescent="0.3">
      <c r="A23" s="15" t="s">
        <v>119</v>
      </c>
      <c r="B23" s="16" t="s">
        <v>198</v>
      </c>
      <c r="C23" s="20">
        <v>70</v>
      </c>
      <c r="D23" s="18">
        <v>4.2</v>
      </c>
      <c r="E23" s="15">
        <v>25</v>
      </c>
      <c r="F23" s="15">
        <v>0</v>
      </c>
      <c r="G23" s="18"/>
      <c r="H23" s="17">
        <v>3</v>
      </c>
      <c r="I23" s="1">
        <v>1</v>
      </c>
      <c r="J23" s="1">
        <v>1</v>
      </c>
    </row>
    <row r="24" spans="1:10" ht="15.75" customHeight="1" x14ac:dyDescent="0.3">
      <c r="A24" s="15" t="s">
        <v>119</v>
      </c>
      <c r="B24" s="16" t="s">
        <v>198</v>
      </c>
      <c r="C24" s="20">
        <v>70</v>
      </c>
      <c r="D24" s="18">
        <v>4.2</v>
      </c>
      <c r="E24" s="15">
        <v>23</v>
      </c>
      <c r="F24" s="15">
        <v>0</v>
      </c>
      <c r="G24" s="18"/>
      <c r="H24" s="17">
        <v>3</v>
      </c>
      <c r="I24" s="1">
        <v>1</v>
      </c>
      <c r="J24" s="1">
        <v>1</v>
      </c>
    </row>
    <row r="25" spans="1:10" ht="15.75" customHeight="1" x14ac:dyDescent="0.3">
      <c r="A25" s="15" t="s">
        <v>119</v>
      </c>
      <c r="B25" s="16" t="s">
        <v>198</v>
      </c>
      <c r="C25" s="20">
        <v>70</v>
      </c>
      <c r="D25" s="18">
        <v>4.2</v>
      </c>
      <c r="E25" s="15">
        <v>29</v>
      </c>
      <c r="F25" s="15">
        <v>0</v>
      </c>
      <c r="G25" s="18"/>
      <c r="H25" s="17">
        <v>3</v>
      </c>
      <c r="I25" s="1">
        <v>1</v>
      </c>
      <c r="J25" s="1">
        <v>1</v>
      </c>
    </row>
    <row r="26" spans="1:10" ht="15.75" customHeight="1" x14ac:dyDescent="0.3">
      <c r="A26" s="15" t="s">
        <v>119</v>
      </c>
      <c r="B26" s="16" t="s">
        <v>198</v>
      </c>
      <c r="C26" s="20">
        <v>70</v>
      </c>
      <c r="D26" s="18">
        <v>4.2</v>
      </c>
      <c r="E26" s="15">
        <v>23</v>
      </c>
      <c r="F26" s="15">
        <v>0</v>
      </c>
      <c r="G26" s="18"/>
      <c r="H26" s="17">
        <v>3</v>
      </c>
      <c r="I26" s="1">
        <v>1</v>
      </c>
      <c r="J26" s="1">
        <v>1</v>
      </c>
    </row>
    <row r="27" spans="1:10" ht="15.75" customHeight="1" x14ac:dyDescent="0.3">
      <c r="A27" s="15" t="s">
        <v>119</v>
      </c>
      <c r="B27" s="16" t="s">
        <v>198</v>
      </c>
      <c r="C27" s="20">
        <v>70</v>
      </c>
      <c r="D27" s="18">
        <v>4.2</v>
      </c>
      <c r="E27" s="15">
        <v>23</v>
      </c>
      <c r="F27" s="15">
        <v>0</v>
      </c>
      <c r="G27" s="18"/>
      <c r="H27" s="17">
        <v>3</v>
      </c>
      <c r="I27" s="1">
        <v>1</v>
      </c>
      <c r="J27" s="1">
        <v>1</v>
      </c>
    </row>
    <row r="28" spans="1:10" ht="15.75" customHeight="1" x14ac:dyDescent="0.3">
      <c r="A28" s="15" t="s">
        <v>119</v>
      </c>
      <c r="B28" s="16" t="s">
        <v>198</v>
      </c>
      <c r="C28" s="15">
        <v>69.17</v>
      </c>
      <c r="D28" s="18">
        <v>4.55</v>
      </c>
      <c r="E28" s="15">
        <v>27.5</v>
      </c>
      <c r="F28" s="15">
        <v>0.56999999999999995</v>
      </c>
      <c r="G28" s="18"/>
      <c r="H28" s="21">
        <v>3</v>
      </c>
      <c r="I28" s="1">
        <v>3</v>
      </c>
      <c r="J28" s="1">
        <v>3</v>
      </c>
    </row>
    <row r="29" spans="1:10" ht="15.75" customHeight="1" x14ac:dyDescent="0.3">
      <c r="A29" s="15" t="s">
        <v>119</v>
      </c>
      <c r="B29" s="16" t="s">
        <v>198</v>
      </c>
      <c r="C29" s="20">
        <v>69</v>
      </c>
      <c r="D29" s="18">
        <v>4.55</v>
      </c>
      <c r="E29" s="15">
        <v>21</v>
      </c>
      <c r="F29" s="15">
        <v>0</v>
      </c>
      <c r="G29" s="18"/>
      <c r="H29" s="21">
        <v>3</v>
      </c>
      <c r="I29" s="1">
        <v>1</v>
      </c>
      <c r="J29" s="1">
        <v>1</v>
      </c>
    </row>
    <row r="30" spans="1:10" ht="15.75" customHeight="1" x14ac:dyDescent="0.3">
      <c r="A30" s="15" t="s">
        <v>134</v>
      </c>
      <c r="B30" s="16" t="s">
        <v>176</v>
      </c>
      <c r="C30" s="15">
        <v>79</v>
      </c>
      <c r="D30" s="18">
        <v>0.309</v>
      </c>
      <c r="E30" s="15">
        <v>23.3</v>
      </c>
      <c r="F30" s="15">
        <v>0.5</v>
      </c>
      <c r="G30" s="47">
        <v>480</v>
      </c>
      <c r="H30" s="17">
        <v>4</v>
      </c>
      <c r="I30" s="1">
        <v>10</v>
      </c>
      <c r="J30" s="1">
        <v>10</v>
      </c>
    </row>
    <row r="31" spans="1:10" ht="15.75" customHeight="1" x14ac:dyDescent="0.3">
      <c r="A31" s="15" t="s">
        <v>134</v>
      </c>
      <c r="B31" s="16" t="s">
        <v>176</v>
      </c>
      <c r="C31" s="15">
        <v>80</v>
      </c>
      <c r="D31" s="18">
        <v>0.32</v>
      </c>
      <c r="E31" s="15">
        <v>24</v>
      </c>
      <c r="F31" s="15">
        <v>0</v>
      </c>
      <c r="G31" s="47"/>
      <c r="H31" s="17">
        <v>4</v>
      </c>
      <c r="I31" s="1">
        <v>7</v>
      </c>
      <c r="J31" s="1">
        <v>7</v>
      </c>
    </row>
    <row r="32" spans="1:10" ht="15.75" customHeight="1" x14ac:dyDescent="0.3">
      <c r="A32" s="15" t="s">
        <v>134</v>
      </c>
      <c r="B32" s="16" t="s">
        <v>177</v>
      </c>
      <c r="C32" s="15">
        <v>80</v>
      </c>
      <c r="D32" s="18">
        <v>1.85</v>
      </c>
      <c r="E32" s="15">
        <v>25.3</v>
      </c>
      <c r="F32" s="15">
        <v>0.8</v>
      </c>
      <c r="G32" s="47">
        <v>480</v>
      </c>
      <c r="H32" s="17">
        <v>3</v>
      </c>
      <c r="I32" s="1">
        <v>14</v>
      </c>
      <c r="J32" s="1">
        <v>17</v>
      </c>
    </row>
    <row r="33" spans="1:10" ht="15.75" customHeight="1" x14ac:dyDescent="0.3">
      <c r="A33" s="15" t="s">
        <v>134</v>
      </c>
      <c r="B33" s="23" t="s">
        <v>177</v>
      </c>
      <c r="C33" s="15">
        <v>58</v>
      </c>
      <c r="D33" s="18">
        <v>0.27</v>
      </c>
      <c r="E33" s="15">
        <v>26.8</v>
      </c>
      <c r="F33" s="15">
        <v>0.5</v>
      </c>
      <c r="G33" s="47"/>
      <c r="H33" s="17">
        <v>3</v>
      </c>
      <c r="I33" s="1">
        <v>5</v>
      </c>
      <c r="J33" s="1">
        <v>5</v>
      </c>
    </row>
    <row r="34" spans="1:10" ht="15.75" customHeight="1" x14ac:dyDescent="0.3">
      <c r="A34" s="15" t="s">
        <v>134</v>
      </c>
      <c r="B34" s="23" t="s">
        <v>200</v>
      </c>
      <c r="C34" s="20">
        <v>77</v>
      </c>
      <c r="D34" s="18">
        <v>0.28999999999999998</v>
      </c>
      <c r="E34" s="15">
        <v>22</v>
      </c>
      <c r="F34" s="15">
        <v>0</v>
      </c>
      <c r="G34" s="18"/>
      <c r="H34" s="17">
        <v>5</v>
      </c>
      <c r="I34" s="1">
        <v>2</v>
      </c>
      <c r="J34" s="1">
        <v>2</v>
      </c>
    </row>
    <row r="35" spans="1:10" ht="15.75" customHeight="1" x14ac:dyDescent="0.3">
      <c r="A35" s="15" t="s">
        <v>134</v>
      </c>
      <c r="B35" s="23" t="s">
        <v>200</v>
      </c>
      <c r="C35" s="15">
        <v>77</v>
      </c>
      <c r="D35" s="18">
        <v>0.28999999999999998</v>
      </c>
      <c r="E35" s="15">
        <v>25.9</v>
      </c>
      <c r="F35" s="15">
        <v>0</v>
      </c>
      <c r="G35" s="47">
        <v>480</v>
      </c>
      <c r="H35" s="17">
        <v>5</v>
      </c>
      <c r="I35" s="1">
        <v>12</v>
      </c>
      <c r="J35" s="1">
        <v>12</v>
      </c>
    </row>
    <row r="36" spans="1:10" ht="15.75" customHeight="1" x14ac:dyDescent="0.3">
      <c r="A36" s="15" t="s">
        <v>134</v>
      </c>
      <c r="B36" s="23" t="s">
        <v>200</v>
      </c>
      <c r="C36" s="15">
        <v>55</v>
      </c>
      <c r="D36" s="18">
        <v>4.9000000000000002E-2</v>
      </c>
      <c r="E36" s="15">
        <v>27.2</v>
      </c>
      <c r="F36" s="15">
        <v>0</v>
      </c>
      <c r="G36" s="47"/>
      <c r="H36" s="17">
        <v>5</v>
      </c>
      <c r="I36" s="1">
        <v>3</v>
      </c>
      <c r="J36" s="1">
        <v>3</v>
      </c>
    </row>
    <row r="37" spans="1:10" ht="15.75" customHeight="1" x14ac:dyDescent="0.3">
      <c r="A37" s="15" t="s">
        <v>134</v>
      </c>
      <c r="B37" s="23" t="s">
        <v>180</v>
      </c>
      <c r="C37" s="15">
        <v>76</v>
      </c>
      <c r="D37" s="18">
        <v>0.30399999999999999</v>
      </c>
      <c r="E37" s="15">
        <v>24.9</v>
      </c>
      <c r="F37" s="15">
        <v>2</v>
      </c>
      <c r="G37" s="47">
        <v>480</v>
      </c>
      <c r="H37" s="17">
        <v>5</v>
      </c>
      <c r="I37" s="1">
        <v>0</v>
      </c>
      <c r="J37" s="1">
        <v>0</v>
      </c>
    </row>
    <row r="38" spans="1:10" ht="15.75" customHeight="1" x14ac:dyDescent="0.3">
      <c r="A38" s="15" t="s">
        <v>134</v>
      </c>
      <c r="B38" s="23" t="s">
        <v>180</v>
      </c>
      <c r="C38" s="15">
        <v>47</v>
      </c>
      <c r="D38" s="18">
        <v>0.13600000000000001</v>
      </c>
      <c r="E38" s="15">
        <v>29.3</v>
      </c>
      <c r="F38" s="15">
        <v>0.7</v>
      </c>
      <c r="G38" s="47"/>
      <c r="H38" s="17">
        <v>5</v>
      </c>
      <c r="I38" s="1">
        <v>2</v>
      </c>
      <c r="J38" s="1">
        <v>3</v>
      </c>
    </row>
    <row r="39" spans="1:10" ht="15.75" customHeight="1" x14ac:dyDescent="0.3">
      <c r="A39" s="15" t="s">
        <v>134</v>
      </c>
      <c r="B39" s="23" t="s">
        <v>181</v>
      </c>
      <c r="C39" s="20">
        <v>63</v>
      </c>
      <c r="D39" s="18">
        <v>0.08</v>
      </c>
      <c r="E39" s="15">
        <v>21</v>
      </c>
      <c r="F39" s="15">
        <v>0</v>
      </c>
      <c r="G39" s="18"/>
      <c r="H39" s="17">
        <v>3</v>
      </c>
      <c r="I39" s="1">
        <v>1</v>
      </c>
      <c r="J39" s="1">
        <v>1</v>
      </c>
    </row>
    <row r="40" spans="1:10" ht="15.75" customHeight="1" x14ac:dyDescent="0.3">
      <c r="A40" s="15" t="s">
        <v>138</v>
      </c>
      <c r="B40" s="23" t="s">
        <v>181</v>
      </c>
      <c r="C40" s="15">
        <v>63</v>
      </c>
      <c r="D40" s="18">
        <v>6.6900000000000001E-2</v>
      </c>
      <c r="E40" s="15">
        <v>33.700000000000003</v>
      </c>
      <c r="F40" s="15">
        <v>2.4</v>
      </c>
      <c r="G40" s="47">
        <v>480</v>
      </c>
      <c r="H40" s="17">
        <v>3</v>
      </c>
      <c r="I40" s="1">
        <v>4</v>
      </c>
      <c r="J40" s="1">
        <v>4</v>
      </c>
    </row>
    <row r="41" spans="1:10" ht="15.75" customHeight="1" x14ac:dyDescent="0.3">
      <c r="A41" s="15" t="s">
        <v>134</v>
      </c>
      <c r="B41" s="23" t="s">
        <v>181</v>
      </c>
      <c r="C41" s="15">
        <v>44</v>
      </c>
      <c r="D41" s="18">
        <v>21.4</v>
      </c>
      <c r="E41" s="15">
        <v>34.4</v>
      </c>
      <c r="F41" s="15">
        <v>2</v>
      </c>
      <c r="G41" s="47"/>
      <c r="H41" s="17">
        <v>3</v>
      </c>
      <c r="I41" s="1">
        <v>4</v>
      </c>
      <c r="J41" s="1">
        <v>4</v>
      </c>
    </row>
    <row r="42" spans="1:10" ht="15.75" customHeight="1" x14ac:dyDescent="0.3">
      <c r="A42" s="15" t="s">
        <v>134</v>
      </c>
      <c r="B42" s="23" t="s">
        <v>198</v>
      </c>
      <c r="C42" s="15">
        <v>57</v>
      </c>
      <c r="D42" s="18">
        <v>32.799999999999997</v>
      </c>
      <c r="E42" s="15">
        <v>30.4</v>
      </c>
      <c r="F42" s="15">
        <v>3.9</v>
      </c>
      <c r="G42" s="47">
        <v>480</v>
      </c>
      <c r="H42" s="17">
        <v>3</v>
      </c>
      <c r="I42" s="1">
        <v>1</v>
      </c>
      <c r="J42" s="1">
        <v>1</v>
      </c>
    </row>
    <row r="43" spans="1:10" ht="15.75" customHeight="1" x14ac:dyDescent="0.3">
      <c r="A43" s="15" t="s">
        <v>134</v>
      </c>
      <c r="B43" s="15" t="s">
        <v>198</v>
      </c>
      <c r="C43" s="15">
        <v>28</v>
      </c>
      <c r="D43" s="18">
        <v>31.5</v>
      </c>
      <c r="E43" s="15">
        <v>43.8</v>
      </c>
      <c r="F43" s="15">
        <v>1.1000000000000001</v>
      </c>
      <c r="G43" s="47"/>
      <c r="H43" s="17">
        <v>3</v>
      </c>
      <c r="I43" s="1">
        <v>2</v>
      </c>
      <c r="J43" s="1">
        <v>2</v>
      </c>
    </row>
    <row r="44" spans="1:10" ht="15.75" customHeight="1" x14ac:dyDescent="0.3">
      <c r="A44" s="15" t="s">
        <v>141</v>
      </c>
      <c r="B44" s="26" t="s">
        <v>176</v>
      </c>
      <c r="C44" s="30">
        <v>95</v>
      </c>
      <c r="D44" s="29">
        <v>0.59</v>
      </c>
      <c r="E44" s="30">
        <v>23.4</v>
      </c>
      <c r="F44" s="30">
        <v>0</v>
      </c>
      <c r="G44" s="31">
        <v>480</v>
      </c>
      <c r="H44" s="21">
        <v>4</v>
      </c>
      <c r="I44" s="1">
        <v>9</v>
      </c>
      <c r="J44" s="1">
        <v>18</v>
      </c>
    </row>
    <row r="45" spans="1:10" ht="15.75" customHeight="1" x14ac:dyDescent="0.3">
      <c r="A45" s="15" t="s">
        <v>141</v>
      </c>
      <c r="B45" s="26" t="s">
        <v>177</v>
      </c>
      <c r="C45" s="30">
        <v>99</v>
      </c>
      <c r="D45" s="29">
        <v>34.6</v>
      </c>
      <c r="E45" s="30">
        <v>25.4</v>
      </c>
      <c r="F45" s="30">
        <v>2.2999999999999998</v>
      </c>
      <c r="G45" s="29"/>
      <c r="H45" s="21">
        <v>3</v>
      </c>
      <c r="I45" s="1">
        <v>11</v>
      </c>
      <c r="J45" s="1">
        <v>11</v>
      </c>
    </row>
    <row r="46" spans="1:10" ht="15.75" customHeight="1" x14ac:dyDescent="0.3">
      <c r="A46" s="15" t="s">
        <v>141</v>
      </c>
      <c r="B46" s="26" t="s">
        <v>200</v>
      </c>
      <c r="C46" s="33">
        <v>99</v>
      </c>
      <c r="D46" s="29">
        <v>0.42</v>
      </c>
      <c r="E46" s="30">
        <v>22</v>
      </c>
      <c r="F46" s="30">
        <v>0</v>
      </c>
      <c r="G46" s="29"/>
      <c r="H46" s="21">
        <v>5</v>
      </c>
      <c r="I46" s="1">
        <v>7</v>
      </c>
      <c r="J46" s="1">
        <v>10</v>
      </c>
    </row>
    <row r="47" spans="1:10" ht="15.75" customHeight="1" x14ac:dyDescent="0.3">
      <c r="A47" s="15" t="s">
        <v>141</v>
      </c>
      <c r="B47" s="26" t="s">
        <v>200</v>
      </c>
      <c r="C47" s="30">
        <v>99</v>
      </c>
      <c r="D47" s="34">
        <v>0.47249999999999998</v>
      </c>
      <c r="E47" s="30">
        <v>25.7</v>
      </c>
      <c r="F47" s="26">
        <v>0</v>
      </c>
      <c r="G47" s="30">
        <v>480</v>
      </c>
      <c r="H47" s="21">
        <v>5</v>
      </c>
      <c r="I47" s="1">
        <v>8</v>
      </c>
      <c r="J47" s="1">
        <v>9</v>
      </c>
    </row>
    <row r="48" spans="1:10" ht="15.75" customHeight="1" x14ac:dyDescent="0.3">
      <c r="A48" s="15" t="s">
        <v>141</v>
      </c>
      <c r="B48" s="26" t="s">
        <v>200</v>
      </c>
      <c r="C48" s="30">
        <v>99</v>
      </c>
      <c r="D48" s="29">
        <v>32.6</v>
      </c>
      <c r="E48" s="30">
        <v>23.7</v>
      </c>
      <c r="F48" s="26">
        <v>0</v>
      </c>
      <c r="G48" s="26"/>
      <c r="H48" s="21">
        <v>5</v>
      </c>
      <c r="I48" s="1">
        <v>3</v>
      </c>
      <c r="J48" s="1">
        <v>3</v>
      </c>
    </row>
    <row r="49" spans="1:10" ht="15.75" customHeight="1" x14ac:dyDescent="0.3">
      <c r="A49" s="15" t="s">
        <v>141</v>
      </c>
      <c r="B49" s="26" t="s">
        <v>180</v>
      </c>
      <c r="C49" s="30">
        <v>97</v>
      </c>
      <c r="D49" s="35">
        <v>0.53600000000000003</v>
      </c>
      <c r="E49" s="30">
        <v>24.9</v>
      </c>
      <c r="F49" s="30">
        <v>0</v>
      </c>
      <c r="G49" s="30">
        <v>480</v>
      </c>
      <c r="H49" s="21">
        <v>5</v>
      </c>
      <c r="I49" s="1">
        <v>5</v>
      </c>
      <c r="J49" s="1">
        <v>9</v>
      </c>
    </row>
    <row r="50" spans="1:10" ht="15.75" customHeight="1" x14ac:dyDescent="0.3">
      <c r="A50" s="15" t="s">
        <v>141</v>
      </c>
      <c r="B50" s="26" t="s">
        <v>180</v>
      </c>
      <c r="C50" s="30">
        <v>99</v>
      </c>
      <c r="D50" s="29">
        <v>47.9</v>
      </c>
      <c r="E50" s="30">
        <v>24.1</v>
      </c>
      <c r="F50" s="30">
        <v>0.5</v>
      </c>
      <c r="G50" s="30"/>
      <c r="H50" s="21">
        <v>5</v>
      </c>
      <c r="I50" s="1">
        <v>1</v>
      </c>
      <c r="J50" s="1">
        <v>1</v>
      </c>
    </row>
    <row r="51" spans="1:10" ht="15.75" customHeight="1" x14ac:dyDescent="0.3">
      <c r="A51" s="15" t="s">
        <v>141</v>
      </c>
      <c r="B51" s="26" t="s">
        <v>181</v>
      </c>
      <c r="C51" s="30">
        <v>99</v>
      </c>
      <c r="D51" s="29">
        <v>53.2</v>
      </c>
      <c r="E51" s="30">
        <v>27.5</v>
      </c>
      <c r="F51" s="30">
        <v>0</v>
      </c>
      <c r="G51" s="30">
        <v>480</v>
      </c>
      <c r="H51" s="21">
        <v>3</v>
      </c>
      <c r="I51" s="1">
        <v>4</v>
      </c>
      <c r="J51" s="1">
        <v>7</v>
      </c>
    </row>
    <row r="52" spans="1:10" ht="15.75" customHeight="1" x14ac:dyDescent="0.3">
      <c r="A52" s="15" t="s">
        <v>141</v>
      </c>
      <c r="B52" s="26" t="s">
        <v>181</v>
      </c>
      <c r="C52" s="30">
        <v>99</v>
      </c>
      <c r="D52" s="29">
        <v>8.23</v>
      </c>
      <c r="E52" s="30">
        <v>23.7</v>
      </c>
      <c r="F52" s="30">
        <v>0</v>
      </c>
      <c r="G52" s="30"/>
      <c r="H52" s="21">
        <v>3</v>
      </c>
      <c r="I52" s="1">
        <v>2</v>
      </c>
      <c r="J52" s="1">
        <v>4</v>
      </c>
    </row>
    <row r="53" spans="1:10" ht="15.75" customHeight="1" x14ac:dyDescent="0.3">
      <c r="A53" s="15" t="s">
        <v>141</v>
      </c>
      <c r="B53" s="26" t="s">
        <v>198</v>
      </c>
      <c r="C53" s="30">
        <v>77</v>
      </c>
      <c r="D53" s="29">
        <v>8.5399999999999991</v>
      </c>
      <c r="E53" s="30">
        <v>28</v>
      </c>
      <c r="F53" s="30">
        <v>1.75</v>
      </c>
      <c r="G53" s="30">
        <v>480</v>
      </c>
      <c r="H53" s="21">
        <v>3</v>
      </c>
      <c r="I53" s="1">
        <v>6</v>
      </c>
      <c r="J53" s="1">
        <v>12</v>
      </c>
    </row>
    <row r="54" spans="1:10" ht="15.75" customHeight="1" x14ac:dyDescent="0.3">
      <c r="A54" s="15" t="s">
        <v>141</v>
      </c>
      <c r="B54" s="26" t="s">
        <v>198</v>
      </c>
      <c r="C54" s="30">
        <v>99</v>
      </c>
      <c r="D54" s="29">
        <v>7.51</v>
      </c>
      <c r="E54" s="30">
        <v>23.7</v>
      </c>
      <c r="F54" s="30">
        <v>0</v>
      </c>
      <c r="G54" s="30"/>
      <c r="H54" s="21">
        <v>3</v>
      </c>
      <c r="I54" s="1">
        <v>4</v>
      </c>
      <c r="J54" s="1">
        <v>15</v>
      </c>
    </row>
    <row r="55" spans="1:10" ht="15.75" customHeight="1" x14ac:dyDescent="0.3">
      <c r="A55" s="15" t="s">
        <v>141</v>
      </c>
      <c r="B55" s="27" t="s">
        <v>183</v>
      </c>
      <c r="C55" s="30">
        <v>79</v>
      </c>
      <c r="D55" s="29">
        <v>73.7</v>
      </c>
      <c r="E55" s="30">
        <v>29.1</v>
      </c>
      <c r="F55" s="30">
        <v>1</v>
      </c>
      <c r="G55" s="26"/>
      <c r="H55" s="21">
        <v>3</v>
      </c>
      <c r="I55" s="1">
        <v>0</v>
      </c>
      <c r="J55" s="1">
        <v>0</v>
      </c>
    </row>
    <row r="56" spans="1:10" ht="15.75" customHeight="1" x14ac:dyDescent="0.3">
      <c r="A56" s="15" t="s">
        <v>141</v>
      </c>
      <c r="B56" s="27" t="s">
        <v>186</v>
      </c>
      <c r="C56" s="30">
        <v>75</v>
      </c>
      <c r="D56" s="35">
        <v>0.71899999999999997</v>
      </c>
      <c r="E56" s="30">
        <v>25.8</v>
      </c>
      <c r="F56" s="30">
        <v>0</v>
      </c>
      <c r="G56" s="26"/>
      <c r="H56" s="21">
        <v>6</v>
      </c>
      <c r="I56" s="1">
        <v>0</v>
      </c>
      <c r="J56" s="1">
        <v>0</v>
      </c>
    </row>
    <row r="57" spans="1:10" ht="15.75" customHeight="1" x14ac:dyDescent="0.3">
      <c r="A57" s="15" t="s">
        <v>146</v>
      </c>
      <c r="B57" s="23" t="s">
        <v>176</v>
      </c>
      <c r="C57" s="15">
        <v>99</v>
      </c>
      <c r="D57" s="36">
        <v>0.27700000000000002</v>
      </c>
      <c r="E57" s="15">
        <v>26.4</v>
      </c>
      <c r="F57" s="15">
        <v>0</v>
      </c>
      <c r="G57" s="15"/>
      <c r="H57" s="17">
        <v>4</v>
      </c>
      <c r="I57" s="1">
        <v>6</v>
      </c>
      <c r="J57" s="1">
        <v>22</v>
      </c>
    </row>
    <row r="58" spans="1:10" ht="15.75" customHeight="1" x14ac:dyDescent="0.3">
      <c r="A58" s="15" t="s">
        <v>146</v>
      </c>
      <c r="B58" s="23" t="s">
        <v>177</v>
      </c>
      <c r="C58" s="15">
        <v>92</v>
      </c>
      <c r="D58" s="18">
        <v>0.78</v>
      </c>
      <c r="E58" s="15">
        <v>24.6</v>
      </c>
      <c r="F58" s="15">
        <v>0</v>
      </c>
      <c r="G58" s="15"/>
      <c r="H58" s="17">
        <v>3</v>
      </c>
      <c r="I58" s="1">
        <v>9</v>
      </c>
      <c r="J58" s="1">
        <v>14</v>
      </c>
    </row>
    <row r="59" spans="1:10" ht="15.75" customHeight="1" x14ac:dyDescent="0.3">
      <c r="A59" s="15" t="s">
        <v>146</v>
      </c>
      <c r="B59" s="23" t="s">
        <v>200</v>
      </c>
      <c r="C59" s="15">
        <v>94</v>
      </c>
      <c r="D59" s="36">
        <v>0.50800000000000001</v>
      </c>
      <c r="E59" s="15">
        <v>24.8</v>
      </c>
      <c r="F59" s="15">
        <v>0</v>
      </c>
      <c r="G59" s="15"/>
      <c r="H59" s="17">
        <v>5</v>
      </c>
      <c r="I59" s="1">
        <v>8</v>
      </c>
      <c r="J59" s="1">
        <v>8</v>
      </c>
    </row>
    <row r="60" spans="1:10" ht="15.75" customHeight="1" x14ac:dyDescent="0.3">
      <c r="A60" s="15" t="s">
        <v>146</v>
      </c>
      <c r="B60" s="23" t="s">
        <v>200</v>
      </c>
      <c r="C60" s="15">
        <v>94</v>
      </c>
      <c r="D60" s="36">
        <v>0.5</v>
      </c>
      <c r="E60" s="15">
        <v>24.8</v>
      </c>
      <c r="F60" s="15">
        <v>0</v>
      </c>
      <c r="G60" s="15">
        <v>870</v>
      </c>
      <c r="H60" s="17">
        <v>5</v>
      </c>
      <c r="I60" s="1">
        <v>2</v>
      </c>
      <c r="J60" s="1">
        <v>6</v>
      </c>
    </row>
    <row r="61" spans="1:10" ht="15.75" customHeight="1" x14ac:dyDescent="0.3">
      <c r="A61" s="15" t="s">
        <v>146</v>
      </c>
      <c r="B61" s="23" t="s">
        <v>200</v>
      </c>
      <c r="C61" s="20">
        <v>94</v>
      </c>
      <c r="D61" s="36">
        <v>0.5</v>
      </c>
      <c r="E61" s="15">
        <v>23</v>
      </c>
      <c r="F61" s="15">
        <v>0</v>
      </c>
      <c r="G61" s="15"/>
      <c r="H61" s="17">
        <v>5</v>
      </c>
      <c r="I61" s="1">
        <v>5</v>
      </c>
      <c r="J61" s="1">
        <v>5</v>
      </c>
    </row>
    <row r="62" spans="1:10" ht="15.75" customHeight="1" x14ac:dyDescent="0.3">
      <c r="A62" s="15" t="s">
        <v>146</v>
      </c>
      <c r="B62" s="23" t="s">
        <v>200</v>
      </c>
      <c r="C62" s="20">
        <v>94</v>
      </c>
      <c r="D62" s="36">
        <v>0.5</v>
      </c>
      <c r="E62" s="15">
        <v>22</v>
      </c>
      <c r="F62" s="15">
        <v>0</v>
      </c>
      <c r="G62" s="15"/>
      <c r="H62" s="17">
        <v>5</v>
      </c>
      <c r="I62" s="1">
        <v>1</v>
      </c>
      <c r="J62" s="1">
        <v>1</v>
      </c>
    </row>
    <row r="63" spans="1:10" ht="15.75" customHeight="1" x14ac:dyDescent="0.3">
      <c r="A63" s="15" t="s">
        <v>146</v>
      </c>
      <c r="B63" s="23" t="s">
        <v>181</v>
      </c>
      <c r="C63" s="15">
        <v>99</v>
      </c>
      <c r="D63" s="18">
        <v>7.59</v>
      </c>
      <c r="E63" s="15">
        <v>23.9</v>
      </c>
      <c r="F63" s="15">
        <v>0</v>
      </c>
      <c r="G63" s="15">
        <v>870</v>
      </c>
      <c r="H63" s="17">
        <v>3</v>
      </c>
      <c r="I63" s="1">
        <v>5</v>
      </c>
      <c r="J63" s="1">
        <v>6</v>
      </c>
    </row>
    <row r="64" spans="1:10" ht="15.75" customHeight="1" x14ac:dyDescent="0.3">
      <c r="A64" s="15" t="s">
        <v>146</v>
      </c>
      <c r="B64" s="23" t="s">
        <v>198</v>
      </c>
      <c r="C64" s="15">
        <v>99</v>
      </c>
      <c r="D64" s="18">
        <v>13.05</v>
      </c>
      <c r="E64" s="15">
        <v>25.9</v>
      </c>
      <c r="F64" s="15">
        <v>0.45</v>
      </c>
      <c r="G64" s="15">
        <v>870</v>
      </c>
      <c r="H64" s="17">
        <v>3</v>
      </c>
      <c r="I64" s="1">
        <v>4</v>
      </c>
      <c r="J64" s="1">
        <v>4</v>
      </c>
    </row>
    <row r="65" spans="1:10" ht="15.75" customHeight="1" x14ac:dyDescent="0.3">
      <c r="A65" s="15" t="s">
        <v>146</v>
      </c>
      <c r="B65" s="23" t="s">
        <v>183</v>
      </c>
      <c r="C65" s="15">
        <v>79</v>
      </c>
      <c r="D65" s="18">
        <v>15.5</v>
      </c>
      <c r="E65" s="15">
        <v>28.3</v>
      </c>
      <c r="F65" s="15">
        <v>0</v>
      </c>
      <c r="G65" s="15">
        <v>1360</v>
      </c>
      <c r="H65" s="17">
        <v>3</v>
      </c>
      <c r="I65" s="1">
        <v>3</v>
      </c>
      <c r="J65" s="1">
        <v>3</v>
      </c>
    </row>
    <row r="66" spans="1:10" ht="15.75" customHeight="1" x14ac:dyDescent="0.3">
      <c r="A66" s="15" t="s">
        <v>146</v>
      </c>
      <c r="B66" s="23" t="s">
        <v>183</v>
      </c>
      <c r="C66" s="15">
        <v>79</v>
      </c>
      <c r="D66" s="18">
        <v>4.87</v>
      </c>
      <c r="E66" s="15">
        <v>25.2</v>
      </c>
      <c r="F66" s="15">
        <v>0</v>
      </c>
      <c r="G66" s="15"/>
      <c r="H66" s="17">
        <v>3</v>
      </c>
      <c r="I66" s="1">
        <v>0</v>
      </c>
      <c r="J66" s="1">
        <v>0</v>
      </c>
    </row>
    <row r="67" spans="1:10" ht="15.75" customHeight="1" x14ac:dyDescent="0.3">
      <c r="A67" s="15" t="s">
        <v>146</v>
      </c>
      <c r="B67" s="23" t="s">
        <v>186</v>
      </c>
      <c r="C67" s="15">
        <v>79</v>
      </c>
      <c r="D67" s="18">
        <v>0.56999999999999995</v>
      </c>
      <c r="E67" s="15">
        <v>24.8</v>
      </c>
      <c r="F67" s="15">
        <v>0</v>
      </c>
      <c r="G67" s="15">
        <v>1360</v>
      </c>
      <c r="H67" s="17">
        <v>6</v>
      </c>
      <c r="I67" s="1">
        <v>3</v>
      </c>
      <c r="J67" s="1">
        <v>4</v>
      </c>
    </row>
    <row r="68" spans="1:10" ht="15.75" customHeight="1" x14ac:dyDescent="0.3">
      <c r="A68" s="15" t="s">
        <v>146</v>
      </c>
      <c r="B68" s="23" t="s">
        <v>186</v>
      </c>
      <c r="C68" s="15">
        <v>96</v>
      </c>
      <c r="D68" s="18">
        <v>15.05</v>
      </c>
      <c r="E68" s="15">
        <v>30.2</v>
      </c>
      <c r="F68" s="15">
        <v>0</v>
      </c>
      <c r="G68" s="15"/>
      <c r="H68" s="17">
        <v>6</v>
      </c>
      <c r="I68" s="1">
        <v>2</v>
      </c>
      <c r="J68" s="1">
        <v>6</v>
      </c>
    </row>
    <row r="69" spans="1:10" ht="15.75" customHeight="1" x14ac:dyDescent="0.3">
      <c r="A69" s="15" t="s">
        <v>146</v>
      </c>
      <c r="B69" s="15" t="s">
        <v>186</v>
      </c>
      <c r="C69" s="15">
        <v>57</v>
      </c>
      <c r="D69" s="18">
        <v>153.19999999999999</v>
      </c>
      <c r="E69" s="15">
        <v>30.2</v>
      </c>
      <c r="F69" s="15">
        <v>0.4</v>
      </c>
      <c r="G69" s="15"/>
      <c r="H69" s="17">
        <v>6</v>
      </c>
      <c r="I69" s="1">
        <v>2</v>
      </c>
      <c r="J69" s="1">
        <v>3</v>
      </c>
    </row>
    <row r="70" spans="1:10" ht="15.75" customHeight="1" x14ac:dyDescent="0.3">
      <c r="A70" s="15" t="s">
        <v>153</v>
      </c>
      <c r="B70" s="23" t="s">
        <v>176</v>
      </c>
      <c r="C70" s="15">
        <v>98</v>
      </c>
      <c r="D70" s="18">
        <v>7.54</v>
      </c>
      <c r="E70" s="15">
        <v>25.8</v>
      </c>
      <c r="F70" s="15">
        <v>0</v>
      </c>
      <c r="G70" s="15"/>
      <c r="H70" s="17">
        <v>4</v>
      </c>
      <c r="I70" s="1">
        <v>5</v>
      </c>
      <c r="J70" s="1">
        <v>7</v>
      </c>
    </row>
    <row r="71" spans="1:10" ht="15.75" customHeight="1" x14ac:dyDescent="0.3">
      <c r="A71" s="15" t="s">
        <v>153</v>
      </c>
      <c r="B71" s="23" t="s">
        <v>176</v>
      </c>
      <c r="C71" s="15">
        <v>99</v>
      </c>
      <c r="D71" s="18">
        <v>6.06</v>
      </c>
      <c r="E71" s="15">
        <v>25.35</v>
      </c>
      <c r="F71" s="15">
        <v>0</v>
      </c>
      <c r="G71" s="15">
        <v>580</v>
      </c>
      <c r="H71" s="17">
        <v>4</v>
      </c>
      <c r="I71" s="1">
        <v>9</v>
      </c>
      <c r="J71" s="1">
        <v>9</v>
      </c>
    </row>
    <row r="72" spans="1:10" ht="15.75" customHeight="1" x14ac:dyDescent="0.3">
      <c r="A72" s="15" t="s">
        <v>153</v>
      </c>
      <c r="B72" s="23" t="s">
        <v>177</v>
      </c>
      <c r="C72" s="15">
        <v>98</v>
      </c>
      <c r="D72" s="18">
        <v>0.77</v>
      </c>
      <c r="E72" s="15">
        <v>22.6</v>
      </c>
      <c r="F72" s="15">
        <v>0</v>
      </c>
      <c r="G72" s="15">
        <v>580</v>
      </c>
      <c r="H72" s="17">
        <v>3</v>
      </c>
      <c r="I72" s="1">
        <v>8</v>
      </c>
      <c r="J72" s="1">
        <v>14</v>
      </c>
    </row>
    <row r="73" spans="1:10" ht="15.75" customHeight="1" x14ac:dyDescent="0.3">
      <c r="A73" s="15" t="s">
        <v>153</v>
      </c>
      <c r="B73" s="23" t="s">
        <v>177</v>
      </c>
      <c r="C73" s="15">
        <v>82</v>
      </c>
      <c r="D73" s="36">
        <v>0.19800000000000001</v>
      </c>
      <c r="E73" s="15">
        <v>24.3</v>
      </c>
      <c r="F73" s="15">
        <v>0</v>
      </c>
      <c r="G73" s="15"/>
      <c r="H73" s="17">
        <v>3</v>
      </c>
      <c r="I73" s="1">
        <v>9</v>
      </c>
      <c r="J73" s="1">
        <v>12</v>
      </c>
    </row>
    <row r="74" spans="1:10" ht="15.75" customHeight="1" x14ac:dyDescent="0.3">
      <c r="A74" s="15" t="s">
        <v>153</v>
      </c>
      <c r="B74" s="23" t="s">
        <v>200</v>
      </c>
      <c r="C74" s="15">
        <v>98</v>
      </c>
      <c r="D74" s="18">
        <v>3.69</v>
      </c>
      <c r="E74" s="15">
        <v>22.35</v>
      </c>
      <c r="F74" s="15">
        <v>0</v>
      </c>
      <c r="G74" s="15">
        <v>870</v>
      </c>
      <c r="H74" s="17">
        <v>5</v>
      </c>
      <c r="I74" s="1">
        <v>3</v>
      </c>
      <c r="J74" s="1">
        <v>7</v>
      </c>
    </row>
    <row r="75" spans="1:10" ht="15.75" customHeight="1" x14ac:dyDescent="0.3">
      <c r="A75" s="15" t="s">
        <v>153</v>
      </c>
      <c r="B75" s="23" t="s">
        <v>200</v>
      </c>
      <c r="C75" s="15">
        <v>98</v>
      </c>
      <c r="D75" s="18">
        <v>3.69</v>
      </c>
      <c r="E75" s="15">
        <v>22.35</v>
      </c>
      <c r="F75" s="15">
        <v>0</v>
      </c>
      <c r="G75" s="15">
        <v>870</v>
      </c>
      <c r="H75" s="17">
        <v>5</v>
      </c>
      <c r="I75" s="1">
        <v>13</v>
      </c>
      <c r="J75" s="1">
        <v>14</v>
      </c>
    </row>
    <row r="76" spans="1:10" ht="15.75" customHeight="1" x14ac:dyDescent="0.3">
      <c r="A76" s="15" t="s">
        <v>153</v>
      </c>
      <c r="B76" s="23" t="s">
        <v>200</v>
      </c>
      <c r="C76" s="15">
        <v>90</v>
      </c>
      <c r="D76" s="36">
        <v>3.5000000000000003E-2</v>
      </c>
      <c r="E76" s="15">
        <v>24.2</v>
      </c>
      <c r="F76" s="15">
        <v>0</v>
      </c>
      <c r="G76" s="15"/>
      <c r="H76" s="17">
        <v>5</v>
      </c>
      <c r="I76" s="1">
        <v>1</v>
      </c>
      <c r="J76" s="1">
        <v>1</v>
      </c>
    </row>
    <row r="77" spans="1:10" ht="15.75" customHeight="1" x14ac:dyDescent="0.3">
      <c r="A77" s="15" t="s">
        <v>153</v>
      </c>
      <c r="B77" s="23" t="s">
        <v>200</v>
      </c>
      <c r="C77" s="15">
        <v>61</v>
      </c>
      <c r="D77" s="36">
        <v>9.4E-2</v>
      </c>
      <c r="E77" s="15">
        <v>25.5</v>
      </c>
      <c r="F77" s="15">
        <v>0</v>
      </c>
      <c r="G77" s="15"/>
      <c r="H77" s="17">
        <v>5</v>
      </c>
      <c r="I77" s="1">
        <v>6</v>
      </c>
      <c r="J77" s="1">
        <v>8</v>
      </c>
    </row>
    <row r="78" spans="1:10" ht="15.75" customHeight="1" x14ac:dyDescent="0.3">
      <c r="A78" s="15" t="s">
        <v>153</v>
      </c>
      <c r="B78" s="23" t="s">
        <v>200</v>
      </c>
      <c r="C78" s="15">
        <v>65</v>
      </c>
      <c r="D78" s="36">
        <v>3.5000000000000003E-2</v>
      </c>
      <c r="E78" s="15">
        <v>25.7</v>
      </c>
      <c r="F78" s="15">
        <v>0</v>
      </c>
      <c r="G78" s="15"/>
      <c r="H78" s="17">
        <v>5</v>
      </c>
      <c r="I78" s="1">
        <v>3</v>
      </c>
      <c r="J78" s="1">
        <v>3</v>
      </c>
    </row>
    <row r="79" spans="1:10" ht="15.75" customHeight="1" x14ac:dyDescent="0.3">
      <c r="A79" s="15" t="s">
        <v>153</v>
      </c>
      <c r="B79" s="23" t="s">
        <v>180</v>
      </c>
      <c r="C79" s="15">
        <v>85</v>
      </c>
      <c r="D79" s="18">
        <v>3.81</v>
      </c>
      <c r="E79" s="15">
        <v>25</v>
      </c>
      <c r="F79" s="15">
        <v>0</v>
      </c>
      <c r="G79" s="15">
        <v>870</v>
      </c>
      <c r="H79" s="17">
        <v>5</v>
      </c>
      <c r="I79" s="1">
        <v>3</v>
      </c>
      <c r="J79" s="1">
        <v>3</v>
      </c>
    </row>
    <row r="80" spans="1:10" ht="15.75" customHeight="1" x14ac:dyDescent="0.3">
      <c r="A80" s="15" t="s">
        <v>153</v>
      </c>
      <c r="B80" s="23" t="s">
        <v>180</v>
      </c>
      <c r="C80" s="15">
        <v>61</v>
      </c>
      <c r="D80" s="18">
        <v>4.78</v>
      </c>
      <c r="E80" s="15">
        <v>28.7</v>
      </c>
      <c r="F80" s="15">
        <v>0</v>
      </c>
      <c r="G80" s="15"/>
      <c r="H80" s="17">
        <v>5</v>
      </c>
      <c r="I80" s="1">
        <v>0</v>
      </c>
      <c r="J80" s="1">
        <v>0</v>
      </c>
    </row>
    <row r="81" spans="1:10" ht="15.75" customHeight="1" x14ac:dyDescent="0.3">
      <c r="A81" s="15" t="s">
        <v>153</v>
      </c>
      <c r="B81" s="23" t="s">
        <v>180</v>
      </c>
      <c r="C81" s="15">
        <v>47</v>
      </c>
      <c r="D81" s="36">
        <v>0.74399999999999999</v>
      </c>
      <c r="E81" s="15">
        <v>29.9</v>
      </c>
      <c r="F81" s="15">
        <v>0</v>
      </c>
      <c r="G81" s="15"/>
      <c r="H81" s="17">
        <v>5</v>
      </c>
      <c r="I81" s="1">
        <v>2</v>
      </c>
      <c r="J81" s="1">
        <v>2</v>
      </c>
    </row>
    <row r="82" spans="1:10" ht="15.75" customHeight="1" x14ac:dyDescent="0.3">
      <c r="A82" s="15" t="s">
        <v>153</v>
      </c>
      <c r="B82" s="23" t="s">
        <v>180</v>
      </c>
      <c r="C82" s="15">
        <v>50</v>
      </c>
      <c r="D82" s="36">
        <v>0.7</v>
      </c>
      <c r="E82" s="15">
        <v>26.3</v>
      </c>
      <c r="F82" s="15">
        <v>0</v>
      </c>
      <c r="G82" s="15"/>
      <c r="H82" s="17">
        <v>5</v>
      </c>
      <c r="I82" s="1">
        <v>2</v>
      </c>
      <c r="J82" s="1">
        <v>5</v>
      </c>
    </row>
    <row r="83" spans="1:10" ht="15.75" customHeight="1" x14ac:dyDescent="0.3">
      <c r="A83" s="15" t="s">
        <v>153</v>
      </c>
      <c r="B83" s="23" t="s">
        <v>181</v>
      </c>
      <c r="C83" s="15">
        <v>85</v>
      </c>
      <c r="D83" s="18">
        <v>13.84</v>
      </c>
      <c r="E83" s="15">
        <v>26.7</v>
      </c>
      <c r="F83" s="15">
        <v>0</v>
      </c>
      <c r="G83" s="15">
        <v>870</v>
      </c>
      <c r="H83" s="17">
        <v>3</v>
      </c>
      <c r="I83" s="1">
        <v>4</v>
      </c>
      <c r="J83" s="1">
        <v>6</v>
      </c>
    </row>
    <row r="84" spans="1:10" ht="15.75" customHeight="1" x14ac:dyDescent="0.3">
      <c r="A84" s="15" t="s">
        <v>153</v>
      </c>
      <c r="B84" s="23" t="s">
        <v>181</v>
      </c>
      <c r="C84" s="15">
        <v>55</v>
      </c>
      <c r="D84" s="18">
        <v>55.3</v>
      </c>
      <c r="E84" s="15">
        <v>30.2</v>
      </c>
      <c r="F84" s="15">
        <v>0</v>
      </c>
      <c r="G84" s="15"/>
      <c r="H84" s="17">
        <v>3</v>
      </c>
      <c r="I84" s="1">
        <v>0</v>
      </c>
      <c r="J84" s="1">
        <v>0</v>
      </c>
    </row>
    <row r="85" spans="1:10" ht="15.75" customHeight="1" x14ac:dyDescent="0.3">
      <c r="A85" s="15" t="s">
        <v>153</v>
      </c>
      <c r="B85" s="23" t="s">
        <v>181</v>
      </c>
      <c r="C85" s="15">
        <v>51</v>
      </c>
      <c r="D85" s="18">
        <v>26.78</v>
      </c>
      <c r="E85" s="15">
        <v>30.7</v>
      </c>
      <c r="F85" s="15">
        <v>0</v>
      </c>
      <c r="G85" s="15"/>
      <c r="H85" s="17">
        <v>3</v>
      </c>
      <c r="I85" s="1">
        <v>2</v>
      </c>
      <c r="J85" s="1">
        <v>2</v>
      </c>
    </row>
    <row r="86" spans="1:10" ht="15.75" customHeight="1" x14ac:dyDescent="0.3">
      <c r="A86" s="15" t="s">
        <v>153</v>
      </c>
      <c r="B86" s="23" t="s">
        <v>198</v>
      </c>
      <c r="C86" s="15">
        <v>90</v>
      </c>
      <c r="D86" s="18">
        <v>8.44</v>
      </c>
      <c r="E86" s="15">
        <v>27.4</v>
      </c>
      <c r="F86" s="15">
        <v>0.8</v>
      </c>
      <c r="G86" s="15">
        <v>870</v>
      </c>
      <c r="H86" s="17">
        <v>3</v>
      </c>
      <c r="I86" s="1">
        <v>12</v>
      </c>
      <c r="J86" s="1">
        <v>17</v>
      </c>
    </row>
    <row r="87" spans="1:10" ht="15.75" customHeight="1" x14ac:dyDescent="0.3">
      <c r="A87" s="15" t="s">
        <v>153</v>
      </c>
      <c r="B87" s="16" t="s">
        <v>198</v>
      </c>
      <c r="C87" s="15">
        <v>58</v>
      </c>
      <c r="D87" s="18">
        <v>30.1</v>
      </c>
      <c r="E87" s="15">
        <v>29.1</v>
      </c>
      <c r="F87" s="15">
        <v>0</v>
      </c>
      <c r="G87" s="15"/>
      <c r="H87" s="17">
        <v>3</v>
      </c>
      <c r="I87" s="1">
        <v>2</v>
      </c>
      <c r="J87" s="1">
        <v>2</v>
      </c>
    </row>
    <row r="88" spans="1:10" ht="15.75" customHeight="1" x14ac:dyDescent="0.3">
      <c r="A88" s="15" t="s">
        <v>153</v>
      </c>
      <c r="B88" s="23" t="s">
        <v>183</v>
      </c>
      <c r="C88" s="15">
        <v>95</v>
      </c>
      <c r="D88" s="18">
        <v>10.69</v>
      </c>
      <c r="E88" s="15">
        <v>22.8</v>
      </c>
      <c r="F88" s="15">
        <v>1.2</v>
      </c>
      <c r="G88" s="15">
        <v>1100</v>
      </c>
      <c r="H88" s="17">
        <v>3</v>
      </c>
      <c r="I88" s="1">
        <v>4</v>
      </c>
      <c r="J88" s="1">
        <v>7</v>
      </c>
    </row>
    <row r="89" spans="1:10" ht="15.75" customHeight="1" x14ac:dyDescent="0.3">
      <c r="A89" s="15" t="s">
        <v>153</v>
      </c>
      <c r="B89" s="23" t="s">
        <v>183</v>
      </c>
      <c r="C89" s="15">
        <v>95</v>
      </c>
      <c r="D89" s="18">
        <v>5.99</v>
      </c>
      <c r="E89" s="15">
        <v>25.7</v>
      </c>
      <c r="F89" s="15">
        <v>0</v>
      </c>
      <c r="G89" s="15">
        <v>1420</v>
      </c>
      <c r="H89" s="17">
        <v>3</v>
      </c>
      <c r="I89" s="1">
        <v>5</v>
      </c>
      <c r="J89" s="1">
        <v>7</v>
      </c>
    </row>
    <row r="90" spans="1:10" ht="15.75" customHeight="1" x14ac:dyDescent="0.3">
      <c r="A90" s="15" t="s">
        <v>153</v>
      </c>
      <c r="B90" s="16" t="s">
        <v>183</v>
      </c>
      <c r="C90" s="15">
        <v>98</v>
      </c>
      <c r="D90" s="18">
        <v>3.61</v>
      </c>
      <c r="E90" s="15">
        <v>23</v>
      </c>
      <c r="F90" s="15">
        <v>0</v>
      </c>
      <c r="G90" s="15"/>
      <c r="H90" s="17">
        <v>3</v>
      </c>
      <c r="I90" s="1">
        <v>0</v>
      </c>
      <c r="J90" s="1">
        <v>0</v>
      </c>
    </row>
    <row r="91" spans="1:10" ht="15.75" customHeight="1" x14ac:dyDescent="0.3">
      <c r="A91" s="15" t="s">
        <v>153</v>
      </c>
      <c r="B91" s="23" t="s">
        <v>183</v>
      </c>
      <c r="C91" s="15">
        <v>80</v>
      </c>
      <c r="D91" s="18">
        <v>6.89</v>
      </c>
      <c r="E91" s="15">
        <v>24.3</v>
      </c>
      <c r="F91" s="15">
        <v>0.87</v>
      </c>
      <c r="G91" s="15"/>
      <c r="H91" s="17">
        <v>3</v>
      </c>
      <c r="I91" s="1">
        <v>2</v>
      </c>
      <c r="J91" s="1">
        <v>2</v>
      </c>
    </row>
    <row r="92" spans="1:10" ht="15.75" customHeight="1" x14ac:dyDescent="0.3">
      <c r="A92" s="15" t="s">
        <v>153</v>
      </c>
      <c r="B92" s="23" t="s">
        <v>186</v>
      </c>
      <c r="C92" s="15">
        <v>95</v>
      </c>
      <c r="D92" s="18">
        <v>1.44</v>
      </c>
      <c r="E92" s="15">
        <v>25.1</v>
      </c>
      <c r="F92" s="15">
        <v>0</v>
      </c>
      <c r="G92" s="15">
        <v>1420</v>
      </c>
      <c r="H92" s="17">
        <v>6</v>
      </c>
      <c r="I92" s="1">
        <v>2</v>
      </c>
      <c r="J92" s="1">
        <v>7</v>
      </c>
    </row>
    <row r="93" spans="1:10" ht="15.75" customHeight="1" x14ac:dyDescent="0.3">
      <c r="A93" s="15" t="s">
        <v>153</v>
      </c>
      <c r="B93" s="23" t="s">
        <v>186</v>
      </c>
      <c r="C93" s="15">
        <v>99</v>
      </c>
      <c r="D93" s="18">
        <v>0.54</v>
      </c>
      <c r="E93" s="15">
        <v>21.9</v>
      </c>
      <c r="F93" s="15">
        <v>0</v>
      </c>
      <c r="G93" s="15">
        <v>1420</v>
      </c>
      <c r="H93" s="17">
        <v>6</v>
      </c>
      <c r="I93" s="1">
        <v>3</v>
      </c>
      <c r="J93" s="1">
        <v>3</v>
      </c>
    </row>
    <row r="94" spans="1:10" ht="15.75" customHeight="1" x14ac:dyDescent="0.3">
      <c r="A94" s="15" t="s">
        <v>153</v>
      </c>
      <c r="B94" s="23" t="s">
        <v>186</v>
      </c>
      <c r="C94" s="15">
        <v>99</v>
      </c>
      <c r="D94" s="18">
        <v>0.63</v>
      </c>
      <c r="E94" s="15">
        <v>25.1</v>
      </c>
      <c r="F94" s="15">
        <v>0</v>
      </c>
      <c r="G94" s="15"/>
      <c r="H94" s="17">
        <v>6</v>
      </c>
      <c r="I94" s="1">
        <v>3</v>
      </c>
      <c r="J94" s="1">
        <v>8</v>
      </c>
    </row>
    <row r="95" spans="1:10" ht="15.75" customHeight="1" x14ac:dyDescent="0.3">
      <c r="A95" s="15" t="s">
        <v>153</v>
      </c>
      <c r="B95" s="23" t="s">
        <v>186</v>
      </c>
      <c r="C95" s="15">
        <v>99</v>
      </c>
      <c r="D95" s="18">
        <v>1.67</v>
      </c>
      <c r="E95" s="15">
        <v>25.2</v>
      </c>
      <c r="F95" s="15">
        <v>0</v>
      </c>
      <c r="G95" s="15"/>
      <c r="H95" s="17">
        <v>6</v>
      </c>
      <c r="I95" s="1">
        <v>3</v>
      </c>
      <c r="J95" s="1">
        <v>4</v>
      </c>
    </row>
    <row r="96" spans="1:10" ht="15.75" customHeight="1" x14ac:dyDescent="0.3">
      <c r="A96" s="15" t="s">
        <v>158</v>
      </c>
      <c r="B96" s="23" t="s">
        <v>176</v>
      </c>
      <c r="C96" s="15">
        <v>96</v>
      </c>
      <c r="D96" s="18">
        <v>1.1399999999999999</v>
      </c>
      <c r="E96" s="15">
        <v>26.4</v>
      </c>
      <c r="F96" s="15">
        <v>0</v>
      </c>
      <c r="G96" s="15">
        <v>550</v>
      </c>
      <c r="H96" s="17">
        <v>4</v>
      </c>
      <c r="I96" s="1">
        <v>4</v>
      </c>
      <c r="J96" s="1">
        <v>7</v>
      </c>
    </row>
    <row r="97" spans="1:10" ht="15.75" customHeight="1" x14ac:dyDescent="0.3">
      <c r="A97" s="15" t="s">
        <v>158</v>
      </c>
      <c r="B97" s="23" t="s">
        <v>176</v>
      </c>
      <c r="C97" s="15">
        <v>99</v>
      </c>
      <c r="D97" s="18">
        <v>8.51</v>
      </c>
      <c r="E97" s="15">
        <v>26.5</v>
      </c>
      <c r="F97" s="15">
        <v>0</v>
      </c>
      <c r="G97" s="15"/>
      <c r="H97" s="17">
        <v>4</v>
      </c>
      <c r="I97" s="1">
        <v>9</v>
      </c>
      <c r="J97" s="1">
        <v>9</v>
      </c>
    </row>
    <row r="98" spans="1:10" ht="15.75" customHeight="1" x14ac:dyDescent="0.3">
      <c r="A98" s="15" t="s">
        <v>158</v>
      </c>
      <c r="B98" s="23" t="s">
        <v>176</v>
      </c>
      <c r="C98" s="15">
        <v>99</v>
      </c>
      <c r="D98" s="18">
        <v>8.52</v>
      </c>
      <c r="E98" s="15">
        <v>26.5</v>
      </c>
      <c r="F98" s="15">
        <v>0</v>
      </c>
      <c r="G98" s="15"/>
      <c r="H98" s="17">
        <v>4</v>
      </c>
      <c r="I98" s="1">
        <v>5</v>
      </c>
      <c r="J98" s="1">
        <v>6</v>
      </c>
    </row>
    <row r="99" spans="1:10" ht="15.75" customHeight="1" x14ac:dyDescent="0.3">
      <c r="A99" s="15" t="s">
        <v>158</v>
      </c>
      <c r="B99" s="23" t="s">
        <v>178</v>
      </c>
      <c r="C99" s="15">
        <v>99</v>
      </c>
      <c r="D99" s="18">
        <v>6.93</v>
      </c>
      <c r="E99" s="15">
        <v>23.5</v>
      </c>
      <c r="F99" s="15">
        <v>0</v>
      </c>
      <c r="G99" s="15"/>
      <c r="H99" s="17">
        <v>3</v>
      </c>
      <c r="I99" s="1">
        <v>7</v>
      </c>
      <c r="J99" s="1">
        <v>7</v>
      </c>
    </row>
    <row r="100" spans="1:10" ht="15.75" customHeight="1" x14ac:dyDescent="0.3">
      <c r="A100" s="15" t="s">
        <v>158</v>
      </c>
      <c r="B100" s="23" t="s">
        <v>178</v>
      </c>
      <c r="C100" s="15">
        <v>99</v>
      </c>
      <c r="D100" s="18">
        <v>6.8</v>
      </c>
      <c r="E100" s="15">
        <v>23.5</v>
      </c>
      <c r="F100" s="15">
        <v>0</v>
      </c>
      <c r="G100" s="15"/>
      <c r="H100" s="17">
        <v>3</v>
      </c>
      <c r="I100" s="1">
        <v>1</v>
      </c>
      <c r="J100" s="1">
        <v>1</v>
      </c>
    </row>
    <row r="101" spans="1:10" ht="15.75" customHeight="1" x14ac:dyDescent="0.3">
      <c r="A101" s="15" t="s">
        <v>158</v>
      </c>
      <c r="B101" s="23" t="s">
        <v>200</v>
      </c>
      <c r="C101" s="15">
        <v>89</v>
      </c>
      <c r="D101" s="18">
        <v>2.74</v>
      </c>
      <c r="E101" s="15">
        <v>23.5</v>
      </c>
      <c r="F101" s="15">
        <v>0</v>
      </c>
      <c r="G101" s="15">
        <v>700</v>
      </c>
      <c r="H101" s="17">
        <v>5</v>
      </c>
      <c r="I101" s="1">
        <v>13</v>
      </c>
      <c r="J101" s="1">
        <v>16</v>
      </c>
    </row>
    <row r="102" spans="1:10" ht="15.75" customHeight="1" x14ac:dyDescent="0.3">
      <c r="A102" s="15" t="s">
        <v>158</v>
      </c>
      <c r="B102" s="23" t="s">
        <v>200</v>
      </c>
      <c r="C102" s="15">
        <v>99</v>
      </c>
      <c r="D102" s="18">
        <v>0.32</v>
      </c>
      <c r="E102" s="15">
        <v>21.5</v>
      </c>
      <c r="F102" s="15">
        <v>0</v>
      </c>
      <c r="G102" s="15"/>
      <c r="H102" s="17">
        <v>5</v>
      </c>
      <c r="I102" s="1">
        <v>3</v>
      </c>
      <c r="J102" s="1">
        <v>3</v>
      </c>
    </row>
    <row r="103" spans="1:10" ht="15.75" customHeight="1" x14ac:dyDescent="0.3">
      <c r="A103" s="15" t="s">
        <v>158</v>
      </c>
      <c r="B103" s="23" t="s">
        <v>200</v>
      </c>
      <c r="C103" s="15">
        <v>87</v>
      </c>
      <c r="D103" s="18">
        <v>0.03</v>
      </c>
      <c r="E103" s="15">
        <v>23.2</v>
      </c>
      <c r="F103" s="15">
        <v>0</v>
      </c>
      <c r="G103" s="15"/>
      <c r="H103" s="17">
        <v>5</v>
      </c>
      <c r="I103" s="1">
        <v>3</v>
      </c>
      <c r="J103" s="1">
        <v>3</v>
      </c>
    </row>
    <row r="104" spans="1:10" ht="15.75" customHeight="1" x14ac:dyDescent="0.3">
      <c r="A104" s="15" t="s">
        <v>158</v>
      </c>
      <c r="B104" s="23" t="s">
        <v>200</v>
      </c>
      <c r="C104" s="15">
        <v>85</v>
      </c>
      <c r="D104" s="18">
        <v>0.04</v>
      </c>
      <c r="E104" s="15">
        <v>23.2</v>
      </c>
      <c r="F104" s="15">
        <v>0</v>
      </c>
      <c r="G104" s="15"/>
      <c r="H104" s="17">
        <v>5</v>
      </c>
      <c r="I104" s="1">
        <v>1</v>
      </c>
      <c r="J104" s="1">
        <v>1</v>
      </c>
    </row>
    <row r="105" spans="1:10" ht="15.75" customHeight="1" x14ac:dyDescent="0.3">
      <c r="A105" s="15" t="s">
        <v>158</v>
      </c>
      <c r="B105" s="23" t="s">
        <v>180</v>
      </c>
      <c r="C105" s="15">
        <v>88</v>
      </c>
      <c r="D105" s="18">
        <v>0.69</v>
      </c>
      <c r="E105" s="15">
        <v>23.4</v>
      </c>
      <c r="F105" s="15">
        <v>6</v>
      </c>
      <c r="G105" s="15">
        <v>700</v>
      </c>
      <c r="H105" s="17">
        <v>5</v>
      </c>
      <c r="I105" s="1">
        <v>8</v>
      </c>
      <c r="J105" s="1">
        <v>9</v>
      </c>
    </row>
    <row r="106" spans="1:10" ht="15.75" customHeight="1" x14ac:dyDescent="0.3">
      <c r="A106" s="15" t="s">
        <v>158</v>
      </c>
      <c r="B106" s="23" t="s">
        <v>180</v>
      </c>
      <c r="C106" s="15">
        <v>88</v>
      </c>
      <c r="D106" s="18">
        <v>1.86</v>
      </c>
      <c r="E106" s="15">
        <v>27.2</v>
      </c>
      <c r="F106" s="15">
        <v>0.6</v>
      </c>
      <c r="G106" s="15"/>
      <c r="H106" s="17">
        <v>5</v>
      </c>
      <c r="I106" s="1">
        <v>4</v>
      </c>
      <c r="J106" s="1">
        <v>4</v>
      </c>
    </row>
    <row r="107" spans="1:10" ht="15.75" customHeight="1" x14ac:dyDescent="0.3">
      <c r="A107" s="15" t="s">
        <v>158</v>
      </c>
      <c r="B107" s="23" t="s">
        <v>181</v>
      </c>
      <c r="C107" s="15">
        <v>80</v>
      </c>
      <c r="D107" s="18">
        <v>51.6</v>
      </c>
      <c r="E107" s="15">
        <v>28.7</v>
      </c>
      <c r="F107" s="15">
        <v>2.5</v>
      </c>
      <c r="G107" s="15">
        <v>700</v>
      </c>
      <c r="H107" s="17">
        <v>3</v>
      </c>
      <c r="I107" s="1">
        <v>5</v>
      </c>
      <c r="J107" s="1">
        <v>5</v>
      </c>
    </row>
    <row r="108" spans="1:10" ht="15.75" customHeight="1" x14ac:dyDescent="0.3">
      <c r="A108" s="15" t="s">
        <v>158</v>
      </c>
      <c r="B108" s="23" t="s">
        <v>198</v>
      </c>
      <c r="C108" s="15">
        <v>71</v>
      </c>
      <c r="D108" s="18">
        <v>7.17</v>
      </c>
      <c r="E108" s="15">
        <v>26.1</v>
      </c>
      <c r="F108" s="15">
        <v>1.9</v>
      </c>
      <c r="G108" s="15">
        <v>700</v>
      </c>
      <c r="H108" s="17">
        <v>3</v>
      </c>
      <c r="I108" s="1">
        <v>9</v>
      </c>
      <c r="J108" s="1">
        <v>11</v>
      </c>
    </row>
    <row r="109" spans="1:10" ht="15.75" customHeight="1" x14ac:dyDescent="0.3">
      <c r="A109" s="15" t="s">
        <v>158</v>
      </c>
      <c r="B109" s="23" t="s">
        <v>198</v>
      </c>
      <c r="C109" s="15">
        <v>74</v>
      </c>
      <c r="D109" s="18">
        <v>7.5</v>
      </c>
      <c r="E109" s="15">
        <v>26</v>
      </c>
      <c r="F109" s="15">
        <v>0</v>
      </c>
      <c r="G109" s="15"/>
      <c r="H109" s="17">
        <v>3</v>
      </c>
      <c r="I109" s="1">
        <v>1</v>
      </c>
      <c r="J109" s="1">
        <v>1</v>
      </c>
    </row>
    <row r="110" spans="1:10" ht="15.75" customHeight="1" x14ac:dyDescent="0.3">
      <c r="A110" s="15" t="s">
        <v>158</v>
      </c>
      <c r="B110" s="23" t="s">
        <v>198</v>
      </c>
      <c r="C110" s="15">
        <v>54</v>
      </c>
      <c r="D110" s="18">
        <v>10.85</v>
      </c>
      <c r="E110" s="15">
        <v>28.3</v>
      </c>
      <c r="F110" s="15">
        <v>1.45</v>
      </c>
      <c r="G110" s="15"/>
      <c r="H110" s="17">
        <v>3</v>
      </c>
      <c r="I110" s="1">
        <v>4</v>
      </c>
      <c r="J110" s="1">
        <v>4</v>
      </c>
    </row>
    <row r="111" spans="1:10" ht="15.75" customHeight="1" x14ac:dyDescent="0.3">
      <c r="A111" s="15" t="s">
        <v>158</v>
      </c>
      <c r="B111" s="23" t="s">
        <v>183</v>
      </c>
      <c r="C111" s="15">
        <v>77</v>
      </c>
      <c r="D111" s="18">
        <v>19</v>
      </c>
      <c r="E111" s="15">
        <v>23.9</v>
      </c>
      <c r="F111" s="15">
        <v>0</v>
      </c>
      <c r="G111" s="15"/>
      <c r="H111" s="17">
        <v>3</v>
      </c>
      <c r="I111" s="1">
        <v>4</v>
      </c>
      <c r="J111" s="1">
        <v>13</v>
      </c>
    </row>
    <row r="112" spans="1:10" ht="15.75" customHeight="1" x14ac:dyDescent="0.3">
      <c r="A112" s="15" t="s">
        <v>158</v>
      </c>
      <c r="B112" s="23" t="s">
        <v>183</v>
      </c>
      <c r="C112" s="15">
        <v>99</v>
      </c>
      <c r="D112" s="18">
        <v>29.59</v>
      </c>
      <c r="E112" s="15">
        <v>24.9</v>
      </c>
      <c r="F112" s="15">
        <v>0.65</v>
      </c>
      <c r="G112" s="15">
        <v>700</v>
      </c>
      <c r="H112" s="17">
        <v>3</v>
      </c>
      <c r="I112" s="1">
        <v>4</v>
      </c>
      <c r="J112" s="1">
        <v>7</v>
      </c>
    </row>
    <row r="113" spans="1:10" ht="15.75" customHeight="1" x14ac:dyDescent="0.3">
      <c r="A113" s="15" t="s">
        <v>158</v>
      </c>
      <c r="B113" s="23" t="s">
        <v>183</v>
      </c>
      <c r="C113" s="15">
        <v>74</v>
      </c>
      <c r="D113" s="18">
        <v>1.52</v>
      </c>
      <c r="E113" s="15">
        <v>19.829999999999998</v>
      </c>
      <c r="F113" s="15">
        <v>0.85</v>
      </c>
      <c r="G113" s="15"/>
      <c r="H113" s="17">
        <v>3</v>
      </c>
      <c r="I113" s="1">
        <v>2</v>
      </c>
      <c r="J113" s="1">
        <v>2</v>
      </c>
    </row>
    <row r="114" spans="1:10" ht="15.75" customHeight="1" x14ac:dyDescent="0.3">
      <c r="A114" s="15" t="s">
        <v>158</v>
      </c>
      <c r="B114" s="23" t="s">
        <v>186</v>
      </c>
      <c r="C114" s="15">
        <v>95</v>
      </c>
      <c r="D114" s="18">
        <v>0.4</v>
      </c>
      <c r="E114" s="15">
        <v>17.100000000000001</v>
      </c>
      <c r="F114" s="15">
        <v>0</v>
      </c>
      <c r="G114" s="15">
        <v>700</v>
      </c>
      <c r="H114" s="17">
        <v>6</v>
      </c>
      <c r="I114" s="1">
        <v>10</v>
      </c>
      <c r="J114" s="1">
        <v>33</v>
      </c>
    </row>
    <row r="115" spans="1:10" ht="15.75" customHeight="1" x14ac:dyDescent="0.3">
      <c r="A115" s="15" t="s">
        <v>158</v>
      </c>
      <c r="B115" s="23" t="s">
        <v>186</v>
      </c>
      <c r="C115" s="15">
        <v>95</v>
      </c>
      <c r="D115" s="18">
        <v>0.42</v>
      </c>
      <c r="E115" s="15">
        <v>17.2</v>
      </c>
      <c r="F115" s="15">
        <v>0</v>
      </c>
      <c r="G115" s="15"/>
      <c r="H115" s="17">
        <v>6</v>
      </c>
      <c r="I115" s="1">
        <v>1</v>
      </c>
      <c r="J115" s="1">
        <v>1</v>
      </c>
    </row>
    <row r="116" spans="1:10" ht="15.75" customHeight="1" x14ac:dyDescent="0.3">
      <c r="A116" s="15" t="s">
        <v>158</v>
      </c>
      <c r="B116" s="23" t="s">
        <v>186</v>
      </c>
      <c r="C116" s="15">
        <v>95</v>
      </c>
      <c r="D116" s="18">
        <v>0.41</v>
      </c>
      <c r="E116" s="15">
        <v>17.100000000000001</v>
      </c>
      <c r="F116" s="15">
        <v>0</v>
      </c>
      <c r="G116" s="15">
        <v>700</v>
      </c>
      <c r="H116" s="17">
        <v>6</v>
      </c>
      <c r="I116" s="1">
        <v>8</v>
      </c>
      <c r="J116" s="1">
        <v>11</v>
      </c>
    </row>
    <row r="117" spans="1:10" ht="15.75" customHeight="1" x14ac:dyDescent="0.3">
      <c r="A117" s="15" t="s">
        <v>158</v>
      </c>
      <c r="B117" s="23" t="s">
        <v>186</v>
      </c>
      <c r="C117" s="15">
        <v>87</v>
      </c>
      <c r="D117" s="18">
        <v>0.16</v>
      </c>
      <c r="E117" s="15">
        <v>20.2</v>
      </c>
      <c r="F117" s="15">
        <v>0</v>
      </c>
      <c r="G117" s="15"/>
      <c r="H117" s="17">
        <v>6</v>
      </c>
      <c r="I117" s="1">
        <v>6</v>
      </c>
      <c r="J117" s="1">
        <v>6</v>
      </c>
    </row>
    <row r="118" spans="1:10" ht="15.75" customHeight="1" x14ac:dyDescent="0.3">
      <c r="A118" s="15" t="s">
        <v>164</v>
      </c>
      <c r="B118" s="23" t="s">
        <v>176</v>
      </c>
      <c r="C118" s="15">
        <v>89</v>
      </c>
      <c r="D118" s="18">
        <v>1.36</v>
      </c>
      <c r="E118" s="15">
        <v>23.18</v>
      </c>
      <c r="F118" s="15">
        <v>0</v>
      </c>
      <c r="G118" s="15"/>
      <c r="H118" s="17">
        <v>4</v>
      </c>
      <c r="I118" s="1">
        <v>8</v>
      </c>
      <c r="J118" s="1">
        <v>11</v>
      </c>
    </row>
    <row r="119" spans="1:10" ht="15.75" customHeight="1" x14ac:dyDescent="0.3">
      <c r="A119" s="15" t="s">
        <v>164</v>
      </c>
      <c r="B119" s="23" t="s">
        <v>177</v>
      </c>
      <c r="C119" s="15">
        <v>94</v>
      </c>
      <c r="D119" s="18">
        <v>7.68</v>
      </c>
      <c r="E119" s="15">
        <v>26.7</v>
      </c>
      <c r="F119" s="15">
        <v>0.75</v>
      </c>
      <c r="G119" s="15"/>
      <c r="H119" s="17">
        <v>3</v>
      </c>
      <c r="I119" s="1">
        <v>6</v>
      </c>
      <c r="J119" s="1">
        <v>8</v>
      </c>
    </row>
    <row r="120" spans="1:10" ht="15.75" customHeight="1" x14ac:dyDescent="0.3">
      <c r="A120" s="15" t="s">
        <v>164</v>
      </c>
      <c r="B120" s="23" t="s">
        <v>177</v>
      </c>
      <c r="C120" s="15">
        <v>90</v>
      </c>
      <c r="D120" s="18">
        <v>1.5</v>
      </c>
      <c r="E120" s="15">
        <v>23.4</v>
      </c>
      <c r="F120" s="15">
        <v>0</v>
      </c>
      <c r="G120" s="15"/>
      <c r="H120" s="17">
        <v>3</v>
      </c>
      <c r="I120" s="1">
        <v>1</v>
      </c>
      <c r="J120" s="1">
        <v>1</v>
      </c>
    </row>
    <row r="121" spans="1:10" ht="15.75" customHeight="1" x14ac:dyDescent="0.3">
      <c r="A121" s="15" t="s">
        <v>164</v>
      </c>
      <c r="B121" s="23" t="s">
        <v>200</v>
      </c>
      <c r="C121" s="15">
        <v>91</v>
      </c>
      <c r="D121" s="18">
        <v>1.1499999999999999</v>
      </c>
      <c r="E121" s="15">
        <v>24.4</v>
      </c>
      <c r="F121" s="15">
        <v>0</v>
      </c>
      <c r="G121" s="15">
        <v>480</v>
      </c>
      <c r="H121" s="17">
        <v>5</v>
      </c>
      <c r="I121" s="1">
        <v>8</v>
      </c>
      <c r="J121" s="1">
        <v>8</v>
      </c>
    </row>
    <row r="122" spans="1:10" ht="15.75" customHeight="1" x14ac:dyDescent="0.3">
      <c r="A122" s="15" t="s">
        <v>164</v>
      </c>
      <c r="B122" s="23" t="s">
        <v>200</v>
      </c>
      <c r="C122" s="15">
        <v>94</v>
      </c>
      <c r="D122" s="18">
        <v>1.2</v>
      </c>
      <c r="E122" s="15">
        <v>24.4</v>
      </c>
      <c r="F122" s="15">
        <v>0</v>
      </c>
      <c r="G122" s="15"/>
      <c r="H122" s="17">
        <v>5</v>
      </c>
      <c r="I122" s="1">
        <v>1</v>
      </c>
      <c r="J122" s="1">
        <v>1</v>
      </c>
    </row>
    <row r="123" spans="1:10" ht="15.75" customHeight="1" x14ac:dyDescent="0.3">
      <c r="A123" s="15" t="s">
        <v>164</v>
      </c>
      <c r="B123" s="23" t="s">
        <v>200</v>
      </c>
      <c r="C123" s="15">
        <v>85</v>
      </c>
      <c r="D123" s="18">
        <v>1.3</v>
      </c>
      <c r="E123" s="15">
        <v>24.4</v>
      </c>
      <c r="F123" s="15">
        <v>0</v>
      </c>
      <c r="G123" s="15"/>
      <c r="H123" s="17">
        <v>5</v>
      </c>
      <c r="I123" s="1">
        <v>8</v>
      </c>
      <c r="J123" s="1">
        <v>8</v>
      </c>
    </row>
    <row r="124" spans="1:10" ht="15.75" customHeight="1" x14ac:dyDescent="0.3">
      <c r="A124" s="15" t="s">
        <v>164</v>
      </c>
      <c r="B124" s="23" t="s">
        <v>180</v>
      </c>
      <c r="C124" s="15">
        <v>91</v>
      </c>
      <c r="D124" s="18">
        <v>0.57999999999999996</v>
      </c>
      <c r="E124" s="15">
        <v>26.4</v>
      </c>
      <c r="F124" s="15">
        <v>0</v>
      </c>
      <c r="G124" s="15">
        <v>780</v>
      </c>
      <c r="H124" s="17">
        <v>5</v>
      </c>
      <c r="I124" s="1">
        <v>10</v>
      </c>
      <c r="J124" s="1">
        <v>10</v>
      </c>
    </row>
    <row r="125" spans="1:10" ht="15.75" customHeight="1" x14ac:dyDescent="0.3">
      <c r="A125" s="15" t="s">
        <v>164</v>
      </c>
      <c r="B125" s="23" t="s">
        <v>180</v>
      </c>
      <c r="C125" s="15">
        <v>91</v>
      </c>
      <c r="D125" s="18">
        <v>0.81</v>
      </c>
      <c r="E125" s="15">
        <v>23.28</v>
      </c>
      <c r="F125" s="15">
        <v>0</v>
      </c>
      <c r="G125" s="15">
        <v>480</v>
      </c>
      <c r="H125" s="17">
        <v>5</v>
      </c>
      <c r="I125" s="1">
        <v>5</v>
      </c>
      <c r="J125" s="1">
        <v>5</v>
      </c>
    </row>
    <row r="126" spans="1:10" ht="15.75" customHeight="1" x14ac:dyDescent="0.3">
      <c r="A126" s="15" t="s">
        <v>164</v>
      </c>
      <c r="B126" s="23" t="s">
        <v>181</v>
      </c>
      <c r="C126" s="15">
        <v>91</v>
      </c>
      <c r="D126" s="18">
        <v>0.81</v>
      </c>
      <c r="E126" s="15">
        <v>23.3</v>
      </c>
      <c r="F126" s="15">
        <v>0</v>
      </c>
      <c r="G126" s="15"/>
      <c r="H126" s="17">
        <v>3</v>
      </c>
      <c r="I126" s="1">
        <v>1</v>
      </c>
      <c r="J126" s="1">
        <v>2</v>
      </c>
    </row>
    <row r="127" spans="1:10" ht="15.75" customHeight="1" x14ac:dyDescent="0.3">
      <c r="A127" s="15" t="s">
        <v>164</v>
      </c>
      <c r="B127" s="23" t="s">
        <v>181</v>
      </c>
      <c r="C127" s="15">
        <v>99</v>
      </c>
      <c r="D127" s="18">
        <v>85.6</v>
      </c>
      <c r="E127" s="15">
        <v>28.5</v>
      </c>
      <c r="F127" s="15">
        <v>1.2</v>
      </c>
      <c r="G127" s="15">
        <v>780</v>
      </c>
      <c r="H127" s="17">
        <v>3</v>
      </c>
      <c r="I127" s="1">
        <v>1</v>
      </c>
      <c r="J127" s="1">
        <v>1</v>
      </c>
    </row>
    <row r="128" spans="1:10" ht="15.75" customHeight="1" x14ac:dyDescent="0.3">
      <c r="A128" s="15" t="s">
        <v>164</v>
      </c>
      <c r="B128" s="23" t="s">
        <v>181</v>
      </c>
      <c r="C128" s="15">
        <v>91</v>
      </c>
      <c r="D128" s="18">
        <v>13.15</v>
      </c>
      <c r="E128" s="15">
        <v>26.13</v>
      </c>
      <c r="F128" s="15">
        <v>0</v>
      </c>
      <c r="G128" s="15">
        <v>480</v>
      </c>
      <c r="H128" s="17">
        <v>3</v>
      </c>
      <c r="I128" s="1">
        <v>3</v>
      </c>
      <c r="J128" s="1">
        <v>3</v>
      </c>
    </row>
    <row r="129" spans="1:10" ht="15.75" customHeight="1" x14ac:dyDescent="0.3">
      <c r="A129" s="15" t="s">
        <v>164</v>
      </c>
      <c r="B129" s="23" t="s">
        <v>198</v>
      </c>
      <c r="C129" s="15">
        <v>75</v>
      </c>
      <c r="D129" s="18">
        <v>17.2</v>
      </c>
      <c r="E129" s="15">
        <v>28</v>
      </c>
      <c r="F129" s="15">
        <v>0</v>
      </c>
      <c r="G129" s="15"/>
      <c r="H129" s="17">
        <v>3</v>
      </c>
      <c r="I129" s="1">
        <v>2</v>
      </c>
      <c r="J129" s="1">
        <v>2</v>
      </c>
    </row>
    <row r="130" spans="1:10" s="44" customFormat="1" ht="15.75" customHeight="1" x14ac:dyDescent="0.3">
      <c r="A130" s="39" t="s">
        <v>164</v>
      </c>
      <c r="B130" s="40" t="s">
        <v>198</v>
      </c>
      <c r="C130" s="39">
        <v>93</v>
      </c>
      <c r="D130" s="42">
        <v>14.5</v>
      </c>
      <c r="E130" s="39">
        <v>28.73</v>
      </c>
      <c r="F130" s="39">
        <v>0</v>
      </c>
      <c r="G130" s="39">
        <v>480</v>
      </c>
      <c r="H130" s="43">
        <v>3</v>
      </c>
      <c r="I130" s="44">
        <v>6</v>
      </c>
      <c r="J130" s="44">
        <v>9</v>
      </c>
    </row>
    <row r="131" spans="1:10" ht="15.75" customHeight="1" x14ac:dyDescent="0.3">
      <c r="A131" s="15" t="s">
        <v>164</v>
      </c>
      <c r="B131" s="23" t="s">
        <v>198</v>
      </c>
      <c r="C131" s="15">
        <v>74</v>
      </c>
      <c r="D131" s="18">
        <v>18</v>
      </c>
      <c r="E131" s="15">
        <v>28</v>
      </c>
      <c r="F131" s="15">
        <v>0</v>
      </c>
      <c r="G131" s="15"/>
      <c r="H131" s="17">
        <v>3</v>
      </c>
      <c r="I131" s="1">
        <v>2</v>
      </c>
      <c r="J131" s="1">
        <v>2</v>
      </c>
    </row>
    <row r="132" spans="1:10" ht="15.75" customHeight="1" x14ac:dyDescent="0.3">
      <c r="A132" s="15" t="s">
        <v>164</v>
      </c>
      <c r="B132" s="23" t="s">
        <v>183</v>
      </c>
      <c r="C132" s="15">
        <v>89</v>
      </c>
      <c r="D132" s="18">
        <v>7.61</v>
      </c>
      <c r="E132" s="15">
        <v>23.8</v>
      </c>
      <c r="F132" s="15">
        <v>0.75</v>
      </c>
      <c r="G132" s="15"/>
      <c r="H132" s="17">
        <v>3</v>
      </c>
      <c r="I132" s="1">
        <v>5</v>
      </c>
      <c r="J132" s="1">
        <v>10</v>
      </c>
    </row>
    <row r="133" spans="1:10" ht="15.75" customHeight="1" x14ac:dyDescent="0.3">
      <c r="A133" s="15" t="s">
        <v>164</v>
      </c>
      <c r="B133" s="23" t="s">
        <v>183</v>
      </c>
      <c r="C133" s="15">
        <v>81</v>
      </c>
      <c r="D133" s="18">
        <v>5.23</v>
      </c>
      <c r="E133" s="15">
        <v>27.03</v>
      </c>
      <c r="F133" s="15">
        <v>0</v>
      </c>
      <c r="G133" s="15">
        <v>480</v>
      </c>
      <c r="H133" s="17">
        <v>3</v>
      </c>
      <c r="I133" s="1">
        <v>4</v>
      </c>
      <c r="J133" s="1">
        <v>5</v>
      </c>
    </row>
    <row r="134" spans="1:10" ht="15.75" customHeight="1" x14ac:dyDescent="0.3">
      <c r="A134" s="15" t="s">
        <v>164</v>
      </c>
      <c r="B134" s="23" t="s">
        <v>186</v>
      </c>
      <c r="C134" s="15">
        <v>86</v>
      </c>
      <c r="D134" s="18">
        <v>0.14000000000000001</v>
      </c>
      <c r="E134" s="15">
        <v>18.55</v>
      </c>
      <c r="F134" s="15">
        <v>0</v>
      </c>
      <c r="G134" s="15"/>
      <c r="H134" s="17">
        <v>6</v>
      </c>
      <c r="I134" s="1">
        <v>5</v>
      </c>
      <c r="J134" s="1">
        <v>5</v>
      </c>
    </row>
    <row r="135" spans="1:10" ht="15.75" customHeight="1" x14ac:dyDescent="0.3">
      <c r="A135" s="15" t="s">
        <v>164</v>
      </c>
      <c r="B135" s="23" t="s">
        <v>186</v>
      </c>
      <c r="C135" s="15">
        <v>87</v>
      </c>
      <c r="D135" s="18">
        <v>0.15</v>
      </c>
      <c r="E135" s="15">
        <v>15.2</v>
      </c>
      <c r="F135" s="15">
        <v>0</v>
      </c>
      <c r="G135" s="15"/>
      <c r="H135" s="17">
        <v>6</v>
      </c>
      <c r="I135" s="1">
        <v>3</v>
      </c>
      <c r="J135" s="1">
        <v>3</v>
      </c>
    </row>
    <row r="136" spans="1:10" ht="15.75" customHeight="1" x14ac:dyDescent="0.3">
      <c r="A136" s="15" t="s">
        <v>164</v>
      </c>
      <c r="B136" s="23" t="s">
        <v>186</v>
      </c>
      <c r="C136" s="15">
        <v>83</v>
      </c>
      <c r="D136" s="18">
        <v>0.20499999999999999</v>
      </c>
      <c r="E136" s="15">
        <v>24.8</v>
      </c>
      <c r="F136" s="15">
        <v>0</v>
      </c>
      <c r="G136" s="15">
        <v>480</v>
      </c>
      <c r="H136" s="17">
        <v>6</v>
      </c>
      <c r="I136" s="1">
        <v>0</v>
      </c>
      <c r="J136" s="1">
        <v>0</v>
      </c>
    </row>
    <row r="137" spans="1:10" ht="15.75" customHeight="1" x14ac:dyDescent="0.3">
      <c r="A137" s="15" t="s">
        <v>168</v>
      </c>
      <c r="B137" s="15" t="s">
        <v>176</v>
      </c>
      <c r="C137" s="15">
        <v>92</v>
      </c>
      <c r="D137" s="18">
        <v>0.14000000000000001</v>
      </c>
      <c r="E137" s="15">
        <v>22.5</v>
      </c>
      <c r="F137" s="15">
        <v>0</v>
      </c>
      <c r="G137" s="15">
        <v>480</v>
      </c>
      <c r="H137" s="17">
        <v>4</v>
      </c>
      <c r="I137" s="1">
        <v>6</v>
      </c>
      <c r="J137" s="1">
        <v>11</v>
      </c>
    </row>
    <row r="138" spans="1:10" ht="15.75" customHeight="1" x14ac:dyDescent="0.3">
      <c r="A138" s="15" t="s">
        <v>168</v>
      </c>
      <c r="B138" s="15" t="s">
        <v>176</v>
      </c>
      <c r="C138" s="15">
        <v>92</v>
      </c>
      <c r="D138" s="18">
        <v>0.14000000000000001</v>
      </c>
      <c r="E138" s="15">
        <v>22.5</v>
      </c>
      <c r="F138" s="15">
        <v>0</v>
      </c>
      <c r="G138" s="15"/>
      <c r="H138" s="17">
        <v>4</v>
      </c>
      <c r="I138" s="1">
        <v>1</v>
      </c>
      <c r="J138" s="1">
        <v>2</v>
      </c>
    </row>
    <row r="139" spans="1:10" ht="15.75" customHeight="1" x14ac:dyDescent="0.3">
      <c r="A139" s="15" t="s">
        <v>168</v>
      </c>
      <c r="B139" s="15" t="s">
        <v>177</v>
      </c>
      <c r="C139" s="15">
        <v>97</v>
      </c>
      <c r="D139" s="18">
        <v>4.5999999999999996</v>
      </c>
      <c r="E139" s="15">
        <v>24.3</v>
      </c>
      <c r="F139" s="15">
        <v>0</v>
      </c>
      <c r="G139" s="15">
        <v>480</v>
      </c>
      <c r="H139" s="17">
        <v>3</v>
      </c>
      <c r="I139" s="1">
        <v>17</v>
      </c>
      <c r="J139" s="1">
        <v>24</v>
      </c>
    </row>
    <row r="140" spans="1:10" ht="15.75" customHeight="1" x14ac:dyDescent="0.3">
      <c r="A140" s="15" t="s">
        <v>168</v>
      </c>
      <c r="B140" s="15" t="s">
        <v>200</v>
      </c>
      <c r="C140" s="15">
        <v>99</v>
      </c>
      <c r="D140" s="18">
        <v>24.2</v>
      </c>
      <c r="E140" s="15">
        <v>26.1</v>
      </c>
      <c r="F140" s="15">
        <v>0</v>
      </c>
      <c r="G140" s="15"/>
      <c r="H140" s="17">
        <v>5</v>
      </c>
      <c r="I140" s="1">
        <v>1</v>
      </c>
      <c r="J140" s="1">
        <v>1</v>
      </c>
    </row>
    <row r="141" spans="1:10" ht="15.75" customHeight="1" x14ac:dyDescent="0.3">
      <c r="A141" s="15" t="s">
        <v>168</v>
      </c>
      <c r="B141" s="15" t="s">
        <v>200</v>
      </c>
      <c r="C141" s="15">
        <v>99</v>
      </c>
      <c r="D141" s="18">
        <v>24.2</v>
      </c>
      <c r="E141" s="15">
        <v>26.1</v>
      </c>
      <c r="F141" s="15">
        <v>0</v>
      </c>
      <c r="G141" s="15">
        <v>480</v>
      </c>
      <c r="H141" s="17">
        <v>5</v>
      </c>
      <c r="I141" s="1">
        <v>11</v>
      </c>
      <c r="J141" s="1">
        <v>11</v>
      </c>
    </row>
    <row r="142" spans="1:10" ht="15.75" customHeight="1" x14ac:dyDescent="0.3">
      <c r="A142" s="15" t="s">
        <v>168</v>
      </c>
      <c r="B142" s="15" t="s">
        <v>200</v>
      </c>
      <c r="C142" s="15">
        <v>84</v>
      </c>
      <c r="D142" s="18">
        <v>0.17</v>
      </c>
      <c r="E142" s="15">
        <v>24</v>
      </c>
      <c r="F142" s="15">
        <v>0</v>
      </c>
      <c r="G142" s="15"/>
      <c r="H142" s="17">
        <v>5</v>
      </c>
      <c r="I142" s="1">
        <v>2</v>
      </c>
      <c r="J142" s="1">
        <v>2</v>
      </c>
    </row>
    <row r="143" spans="1:10" ht="15.75" customHeight="1" x14ac:dyDescent="0.3">
      <c r="A143" s="15" t="s">
        <v>168</v>
      </c>
      <c r="B143" s="15" t="s">
        <v>180</v>
      </c>
      <c r="C143" s="15">
        <v>97</v>
      </c>
      <c r="D143" s="18">
        <v>1.08</v>
      </c>
      <c r="E143" s="15">
        <v>25.4</v>
      </c>
      <c r="F143" s="15">
        <v>0</v>
      </c>
      <c r="G143" s="15"/>
      <c r="H143" s="17">
        <v>5</v>
      </c>
      <c r="I143" s="1">
        <v>6</v>
      </c>
      <c r="J143" s="1">
        <v>8</v>
      </c>
    </row>
    <row r="144" spans="1:10" ht="15.75" customHeight="1" x14ac:dyDescent="0.3">
      <c r="A144" s="15" t="s">
        <v>168</v>
      </c>
      <c r="B144" s="15" t="s">
        <v>180</v>
      </c>
      <c r="C144" s="15">
        <v>97</v>
      </c>
      <c r="D144" s="18">
        <v>1.08</v>
      </c>
      <c r="E144" s="15">
        <v>25.4</v>
      </c>
      <c r="F144" s="15">
        <v>0</v>
      </c>
      <c r="G144" s="15">
        <v>480</v>
      </c>
      <c r="H144" s="17">
        <v>5</v>
      </c>
      <c r="I144" s="1">
        <v>9</v>
      </c>
      <c r="J144" s="1">
        <v>9</v>
      </c>
    </row>
    <row r="145" spans="1:10" ht="15.75" customHeight="1" x14ac:dyDescent="0.3">
      <c r="A145" s="15" t="s">
        <v>168</v>
      </c>
      <c r="B145" s="1" t="s">
        <v>180</v>
      </c>
      <c r="C145" s="1">
        <v>80</v>
      </c>
      <c r="D145" s="46">
        <v>0.04</v>
      </c>
      <c r="E145" s="1">
        <v>25.3</v>
      </c>
      <c r="F145" s="1">
        <v>0</v>
      </c>
      <c r="G145" s="15"/>
      <c r="H145" s="2">
        <v>5</v>
      </c>
      <c r="I145" s="1">
        <v>0</v>
      </c>
      <c r="J145" s="1">
        <v>0</v>
      </c>
    </row>
    <row r="146" spans="1:10" ht="15.75" customHeight="1" x14ac:dyDescent="0.3">
      <c r="A146" s="15" t="s">
        <v>168</v>
      </c>
      <c r="B146" s="1" t="s">
        <v>181</v>
      </c>
      <c r="C146" s="1">
        <v>87</v>
      </c>
      <c r="D146" s="46">
        <v>9.8000000000000007</v>
      </c>
      <c r="E146" s="1">
        <v>34.5</v>
      </c>
      <c r="F146" s="1">
        <v>0</v>
      </c>
      <c r="H146" s="2">
        <v>3</v>
      </c>
      <c r="I146" s="1">
        <v>4</v>
      </c>
      <c r="J146" s="1">
        <v>4</v>
      </c>
    </row>
    <row r="147" spans="1:10" ht="15.75" customHeight="1" x14ac:dyDescent="0.3">
      <c r="A147" s="15" t="s">
        <v>168</v>
      </c>
      <c r="B147" s="1" t="s">
        <v>181</v>
      </c>
      <c r="C147" s="1">
        <v>87</v>
      </c>
      <c r="D147" s="46">
        <v>9.8000000000000007</v>
      </c>
      <c r="E147" s="1">
        <v>34.5</v>
      </c>
      <c r="F147" s="1">
        <v>0</v>
      </c>
      <c r="G147" s="1">
        <v>480</v>
      </c>
      <c r="H147" s="2">
        <v>3</v>
      </c>
      <c r="I147" s="1">
        <v>3</v>
      </c>
      <c r="J147" s="1">
        <v>3</v>
      </c>
    </row>
    <row r="148" spans="1:10" ht="15.75" customHeight="1" x14ac:dyDescent="0.3">
      <c r="A148" s="15" t="s">
        <v>168</v>
      </c>
      <c r="B148" s="1" t="s">
        <v>181</v>
      </c>
      <c r="C148" s="1">
        <v>80</v>
      </c>
      <c r="D148" s="46">
        <v>1.5</v>
      </c>
      <c r="E148" s="1">
        <v>26.9</v>
      </c>
      <c r="F148" s="1">
        <v>0</v>
      </c>
      <c r="H148" s="2">
        <v>3</v>
      </c>
      <c r="I148" s="1">
        <v>3</v>
      </c>
      <c r="J148" s="1">
        <v>4</v>
      </c>
    </row>
    <row r="149" spans="1:10" ht="15.75" customHeight="1" x14ac:dyDescent="0.3">
      <c r="A149" s="15" t="s">
        <v>168</v>
      </c>
      <c r="B149" s="1" t="s">
        <v>198</v>
      </c>
      <c r="C149" s="1">
        <v>81</v>
      </c>
      <c r="D149" s="46">
        <v>36.6</v>
      </c>
      <c r="E149" s="1">
        <v>31.4</v>
      </c>
      <c r="F149" s="1">
        <v>0.8</v>
      </c>
      <c r="G149" s="1">
        <v>480</v>
      </c>
      <c r="H149" s="2">
        <v>3</v>
      </c>
      <c r="I149" s="1">
        <v>7</v>
      </c>
      <c r="J149" s="1">
        <v>7</v>
      </c>
    </row>
    <row r="150" spans="1:10" ht="15.75" customHeight="1" x14ac:dyDescent="0.3">
      <c r="A150" s="15" t="s">
        <v>168</v>
      </c>
      <c r="B150" s="1" t="s">
        <v>198</v>
      </c>
      <c r="C150" s="1">
        <v>79</v>
      </c>
      <c r="D150" s="46">
        <v>13.35</v>
      </c>
      <c r="E150" s="1">
        <v>29.2</v>
      </c>
      <c r="F150" s="1">
        <v>0</v>
      </c>
      <c r="H150" s="2">
        <v>3</v>
      </c>
      <c r="I150" s="1">
        <v>2</v>
      </c>
      <c r="J150" s="1">
        <v>2</v>
      </c>
    </row>
    <row r="151" spans="1:10" ht="15.75" customHeight="1" x14ac:dyDescent="0.3">
      <c r="A151" s="15" t="s">
        <v>168</v>
      </c>
      <c r="B151" s="1" t="s">
        <v>183</v>
      </c>
      <c r="C151" s="1">
        <v>89</v>
      </c>
      <c r="D151" s="46">
        <v>1.1000000000000001</v>
      </c>
      <c r="E151" s="1">
        <v>22.3</v>
      </c>
      <c r="F151" s="1">
        <v>0</v>
      </c>
      <c r="H151" s="2">
        <v>3</v>
      </c>
      <c r="I151" s="1">
        <v>7</v>
      </c>
      <c r="J151" s="1">
        <v>10</v>
      </c>
    </row>
    <row r="152" spans="1:10" ht="15.75" customHeight="1" x14ac:dyDescent="0.3">
      <c r="A152" s="15" t="s">
        <v>168</v>
      </c>
      <c r="B152" s="1" t="s">
        <v>183</v>
      </c>
      <c r="C152" s="1">
        <v>89</v>
      </c>
      <c r="D152" s="46">
        <v>1</v>
      </c>
      <c r="E152" s="1">
        <v>22.2</v>
      </c>
      <c r="F152" s="1">
        <v>0</v>
      </c>
      <c r="G152" s="1">
        <v>1420</v>
      </c>
      <c r="H152" s="2">
        <v>3</v>
      </c>
      <c r="I152" s="1">
        <v>4</v>
      </c>
      <c r="J152" s="1">
        <v>4</v>
      </c>
    </row>
    <row r="153" spans="1:10" ht="15.75" customHeight="1" x14ac:dyDescent="0.3">
      <c r="A153" s="15" t="s">
        <v>168</v>
      </c>
      <c r="B153" s="1" t="s">
        <v>183</v>
      </c>
      <c r="C153" s="1">
        <v>72</v>
      </c>
      <c r="D153" s="1">
        <v>0.75</v>
      </c>
      <c r="E153" s="1">
        <v>25</v>
      </c>
      <c r="F153" s="1">
        <v>0.9</v>
      </c>
      <c r="H153" s="2">
        <v>3</v>
      </c>
      <c r="I153" s="1">
        <v>2</v>
      </c>
      <c r="J153" s="1">
        <v>3</v>
      </c>
    </row>
    <row r="154" spans="1:10" ht="15.75" customHeight="1" x14ac:dyDescent="0.3">
      <c r="A154" s="15" t="s">
        <v>168</v>
      </c>
      <c r="B154" s="1" t="s">
        <v>186</v>
      </c>
      <c r="C154" s="1">
        <v>76</v>
      </c>
      <c r="D154" s="46">
        <v>1.53</v>
      </c>
      <c r="E154" s="1">
        <v>25.4</v>
      </c>
      <c r="F154" s="1">
        <v>0</v>
      </c>
      <c r="G154" s="1">
        <v>1420</v>
      </c>
      <c r="H154" s="2">
        <v>6</v>
      </c>
      <c r="I154" s="1">
        <v>4</v>
      </c>
      <c r="J154" s="1">
        <v>5</v>
      </c>
    </row>
    <row r="155" spans="1:10" ht="15.75" customHeight="1" x14ac:dyDescent="0.3">
      <c r="A155" s="1" t="s">
        <v>172</v>
      </c>
      <c r="B155" s="1" t="s">
        <v>176</v>
      </c>
      <c r="C155" s="1">
        <v>81</v>
      </c>
      <c r="D155" s="46">
        <v>1.6</v>
      </c>
      <c r="E155" s="1">
        <v>26.5</v>
      </c>
      <c r="F155" s="1">
        <v>0</v>
      </c>
      <c r="H155" s="2">
        <v>4</v>
      </c>
      <c r="I155" s="1">
        <v>12</v>
      </c>
      <c r="J155" s="1">
        <v>18</v>
      </c>
    </row>
    <row r="156" spans="1:10" ht="15.75" customHeight="1" x14ac:dyDescent="0.3">
      <c r="A156" s="1" t="s">
        <v>172</v>
      </c>
      <c r="B156" s="1" t="s">
        <v>177</v>
      </c>
      <c r="C156" s="1">
        <v>96</v>
      </c>
      <c r="D156" s="46">
        <v>1.1299999999999999</v>
      </c>
      <c r="E156" s="1">
        <v>26.4</v>
      </c>
      <c r="F156" s="1">
        <v>0</v>
      </c>
      <c r="H156" s="2">
        <v>3</v>
      </c>
      <c r="I156" s="1">
        <v>5</v>
      </c>
      <c r="J156" s="1">
        <v>5</v>
      </c>
    </row>
    <row r="157" spans="1:10" ht="15.75" customHeight="1" x14ac:dyDescent="0.3">
      <c r="A157" s="1" t="s">
        <v>172</v>
      </c>
      <c r="B157" s="1" t="s">
        <v>200</v>
      </c>
      <c r="C157" s="1">
        <v>99</v>
      </c>
      <c r="D157" s="46">
        <v>0.28000000000000003</v>
      </c>
      <c r="E157" s="1">
        <v>23.5</v>
      </c>
      <c r="F157" s="1">
        <v>0</v>
      </c>
      <c r="G157" s="1">
        <v>650</v>
      </c>
      <c r="H157" s="2">
        <v>5</v>
      </c>
      <c r="I157" s="1">
        <v>7</v>
      </c>
      <c r="J157" s="1">
        <v>10</v>
      </c>
    </row>
    <row r="158" spans="1:10" ht="15.75" customHeight="1" x14ac:dyDescent="0.3">
      <c r="A158" s="1" t="s">
        <v>172</v>
      </c>
      <c r="B158" s="1" t="s">
        <v>180</v>
      </c>
      <c r="C158" s="1">
        <v>96</v>
      </c>
      <c r="D158" s="46">
        <v>0.64</v>
      </c>
      <c r="E158" s="1">
        <v>24.9</v>
      </c>
      <c r="F158" s="1">
        <v>0</v>
      </c>
      <c r="G158" s="1">
        <v>650</v>
      </c>
      <c r="H158" s="2">
        <v>5</v>
      </c>
      <c r="I158" s="1">
        <v>9</v>
      </c>
      <c r="J158" s="1">
        <v>9</v>
      </c>
    </row>
    <row r="159" spans="1:10" ht="15.75" customHeight="1" x14ac:dyDescent="0.3">
      <c r="A159" s="1" t="s">
        <v>172</v>
      </c>
      <c r="B159" s="1" t="s">
        <v>181</v>
      </c>
      <c r="C159" s="1">
        <v>98</v>
      </c>
      <c r="D159" s="46">
        <v>2.2799999999999998</v>
      </c>
      <c r="E159" s="1">
        <v>23.7</v>
      </c>
      <c r="F159" s="1">
        <v>0</v>
      </c>
      <c r="G159" s="1">
        <v>650</v>
      </c>
      <c r="H159" s="2">
        <v>3</v>
      </c>
      <c r="I159" s="1">
        <v>4</v>
      </c>
      <c r="J159" s="1">
        <v>4</v>
      </c>
    </row>
    <row r="160" spans="1:10" ht="15.75" customHeight="1" x14ac:dyDescent="0.3">
      <c r="A160" s="1" t="s">
        <v>172</v>
      </c>
      <c r="B160" s="1" t="s">
        <v>198</v>
      </c>
      <c r="C160" s="1">
        <v>99</v>
      </c>
      <c r="D160" s="46">
        <v>7.2350000000000003</v>
      </c>
      <c r="E160" s="1">
        <v>24.6</v>
      </c>
      <c r="F160" s="1">
        <v>1.4</v>
      </c>
      <c r="G160" s="1">
        <v>650</v>
      </c>
      <c r="H160" s="2">
        <v>3</v>
      </c>
      <c r="I160" s="1">
        <v>10</v>
      </c>
      <c r="J160" s="1">
        <v>16</v>
      </c>
    </row>
    <row r="161" spans="1:10" ht="15.75" customHeight="1" x14ac:dyDescent="0.3">
      <c r="A161" s="1" t="s">
        <v>172</v>
      </c>
      <c r="B161" s="1" t="s">
        <v>183</v>
      </c>
      <c r="C161" s="1">
        <v>92</v>
      </c>
      <c r="D161" s="46">
        <v>44.68</v>
      </c>
      <c r="E161" s="1">
        <v>23.2</v>
      </c>
      <c r="F161" s="1">
        <v>0.6</v>
      </c>
      <c r="H161" s="2">
        <v>3</v>
      </c>
      <c r="I161" s="1">
        <v>8</v>
      </c>
      <c r="J161" s="1">
        <v>9</v>
      </c>
    </row>
    <row r="162" spans="1:10" ht="15.75" customHeight="1" x14ac:dyDescent="0.3">
      <c r="A162" s="1" t="s">
        <v>172</v>
      </c>
      <c r="B162" s="1" t="s">
        <v>183</v>
      </c>
      <c r="C162" s="1">
        <v>84</v>
      </c>
      <c r="D162" s="46">
        <v>0.5</v>
      </c>
      <c r="E162" s="1">
        <v>25.9</v>
      </c>
      <c r="F162" s="1">
        <v>0</v>
      </c>
      <c r="H162" s="2">
        <v>3</v>
      </c>
      <c r="I162" s="1">
        <v>4</v>
      </c>
      <c r="J162" s="1">
        <v>4</v>
      </c>
    </row>
    <row r="163" spans="1:10" ht="15.75" customHeight="1" x14ac:dyDescent="0.3">
      <c r="A163" s="1" t="s">
        <v>172</v>
      </c>
      <c r="B163" s="1" t="s">
        <v>186</v>
      </c>
      <c r="C163" s="1">
        <v>83</v>
      </c>
      <c r="D163" s="46">
        <v>1.1299999999999999</v>
      </c>
      <c r="E163" s="1">
        <v>25.5</v>
      </c>
      <c r="F163" s="1">
        <v>0</v>
      </c>
      <c r="H163" s="2">
        <v>6</v>
      </c>
      <c r="I163" s="1">
        <v>9</v>
      </c>
      <c r="J163" s="1">
        <v>19</v>
      </c>
    </row>
    <row r="164" spans="1:10" ht="15.75" customHeight="1" x14ac:dyDescent="0.3">
      <c r="D164" s="46"/>
    </row>
    <row r="165" spans="1:10" ht="15.75" customHeight="1" x14ac:dyDescent="0.3">
      <c r="D165" s="46"/>
    </row>
    <row r="166" spans="1:10" ht="15.75" customHeight="1" x14ac:dyDescent="0.3">
      <c r="D166" s="46"/>
    </row>
    <row r="167" spans="1:10" ht="15.75" customHeight="1" x14ac:dyDescent="0.3">
      <c r="D167" s="46"/>
    </row>
    <row r="168" spans="1:10" ht="15.75" customHeight="1" x14ac:dyDescent="0.3">
      <c r="D168" s="46"/>
    </row>
    <row r="169" spans="1:10" ht="15.75" customHeight="1" x14ac:dyDescent="0.3">
      <c r="D169" s="46"/>
    </row>
    <row r="170" spans="1:10" ht="15.75" customHeight="1" x14ac:dyDescent="0.3">
      <c r="D170" s="46"/>
    </row>
    <row r="171" spans="1:10" ht="15.75" customHeight="1" x14ac:dyDescent="0.3">
      <c r="D171" s="46"/>
    </row>
    <row r="172" spans="1:10" ht="15.75" customHeight="1" x14ac:dyDescent="0.3">
      <c r="D172" s="46"/>
    </row>
    <row r="173" spans="1:10" ht="15.75" customHeight="1" x14ac:dyDescent="0.3">
      <c r="D173" s="46"/>
    </row>
    <row r="174" spans="1:10" ht="15.75" customHeight="1" x14ac:dyDescent="0.3">
      <c r="D174" s="46"/>
    </row>
    <row r="175" spans="1:10" ht="15.75" customHeight="1" x14ac:dyDescent="0.3">
      <c r="D175" s="46"/>
    </row>
    <row r="176" spans="1:10" ht="15.75" customHeight="1" x14ac:dyDescent="0.3">
      <c r="D176" s="46"/>
    </row>
    <row r="177" spans="4:4" ht="15.75" customHeight="1" x14ac:dyDescent="0.3">
      <c r="D177" s="46"/>
    </row>
    <row r="178" spans="4:4" ht="15.75" customHeight="1" x14ac:dyDescent="0.3">
      <c r="D178" s="46"/>
    </row>
    <row r="179" spans="4:4" ht="15.75" customHeight="1" x14ac:dyDescent="0.3">
      <c r="D179" s="46"/>
    </row>
    <row r="180" spans="4:4" ht="15.75" customHeight="1" x14ac:dyDescent="0.3">
      <c r="D180" s="46"/>
    </row>
    <row r="181" spans="4:4" ht="15.75" customHeight="1" x14ac:dyDescent="0.3">
      <c r="D181" s="46"/>
    </row>
    <row r="182" spans="4:4" ht="15.75" customHeight="1" x14ac:dyDescent="0.3">
      <c r="D182" s="46"/>
    </row>
    <row r="183" spans="4:4" ht="15.75" customHeight="1" x14ac:dyDescent="0.3">
      <c r="D183" s="46"/>
    </row>
    <row r="184" spans="4:4" ht="15.75" customHeight="1" x14ac:dyDescent="0.3">
      <c r="D184" s="46"/>
    </row>
    <row r="185" spans="4:4" ht="15.75" customHeight="1" x14ac:dyDescent="0.3">
      <c r="D185" s="46"/>
    </row>
    <row r="186" spans="4:4" ht="15.75" customHeight="1" x14ac:dyDescent="0.3">
      <c r="D186" s="46"/>
    </row>
    <row r="187" spans="4:4" ht="15.75" customHeight="1" x14ac:dyDescent="0.3">
      <c r="D187" s="46"/>
    </row>
    <row r="188" spans="4:4" ht="15.75" customHeight="1" x14ac:dyDescent="0.3">
      <c r="D188" s="46"/>
    </row>
    <row r="189" spans="4:4" ht="15.75" customHeight="1" x14ac:dyDescent="0.3">
      <c r="D189" s="46"/>
    </row>
    <row r="190" spans="4:4" ht="15.75" customHeight="1" x14ac:dyDescent="0.3">
      <c r="D190" s="46"/>
    </row>
    <row r="191" spans="4:4" ht="15.75" customHeight="1" x14ac:dyDescent="0.3">
      <c r="D191" s="46"/>
    </row>
    <row r="192" spans="4:4" ht="15.75" customHeight="1" x14ac:dyDescent="0.3">
      <c r="D192" s="46"/>
    </row>
    <row r="193" spans="4:4" ht="15.75" customHeight="1" x14ac:dyDescent="0.3">
      <c r="D193" s="46"/>
    </row>
    <row r="194" spans="4:4" ht="15.75" customHeight="1" x14ac:dyDescent="0.3">
      <c r="D194" s="46"/>
    </row>
    <row r="195" spans="4:4" ht="15.75" customHeight="1" x14ac:dyDescent="0.3">
      <c r="D195" s="46"/>
    </row>
    <row r="196" spans="4:4" ht="15.75" customHeight="1" x14ac:dyDescent="0.3">
      <c r="D196" s="46"/>
    </row>
    <row r="197" spans="4:4" ht="15.75" customHeight="1" x14ac:dyDescent="0.3">
      <c r="D197" s="46"/>
    </row>
    <row r="198" spans="4:4" ht="15.75" customHeight="1" x14ac:dyDescent="0.3">
      <c r="D198" s="46"/>
    </row>
    <row r="199" spans="4:4" ht="15.75" customHeight="1" x14ac:dyDescent="0.3">
      <c r="D199" s="46"/>
    </row>
    <row r="200" spans="4:4" ht="15.75" customHeight="1" x14ac:dyDescent="0.3">
      <c r="D200" s="46"/>
    </row>
    <row r="201" spans="4:4" ht="15.75" customHeight="1" x14ac:dyDescent="0.3">
      <c r="D201" s="46"/>
    </row>
    <row r="202" spans="4:4" ht="15.75" customHeight="1" x14ac:dyDescent="0.3">
      <c r="D202" s="46"/>
    </row>
    <row r="203" spans="4:4" ht="15.75" customHeight="1" x14ac:dyDescent="0.3">
      <c r="D203" s="46"/>
    </row>
    <row r="204" spans="4:4" ht="15.75" customHeight="1" x14ac:dyDescent="0.3">
      <c r="D204" s="46"/>
    </row>
    <row r="205" spans="4:4" ht="15.75" customHeight="1" x14ac:dyDescent="0.3">
      <c r="D205" s="46"/>
    </row>
    <row r="206" spans="4:4" ht="15.75" customHeight="1" x14ac:dyDescent="0.3">
      <c r="D206" s="46"/>
    </row>
    <row r="207" spans="4:4" ht="15.75" customHeight="1" x14ac:dyDescent="0.3">
      <c r="D207" s="46"/>
    </row>
    <row r="208" spans="4:4" ht="15.75" customHeight="1" x14ac:dyDescent="0.3">
      <c r="D208" s="46"/>
    </row>
    <row r="209" spans="4:4" ht="15.75" customHeight="1" x14ac:dyDescent="0.3">
      <c r="D209" s="46"/>
    </row>
    <row r="210" spans="4:4" ht="15.75" customHeight="1" x14ac:dyDescent="0.3">
      <c r="D210" s="46"/>
    </row>
    <row r="211" spans="4:4" ht="15.75" customHeight="1" x14ac:dyDescent="0.3">
      <c r="D211" s="46"/>
    </row>
    <row r="212" spans="4:4" ht="15.75" customHeight="1" x14ac:dyDescent="0.3">
      <c r="D212" s="46"/>
    </row>
    <row r="213" spans="4:4" ht="15.75" customHeight="1" x14ac:dyDescent="0.3">
      <c r="D213" s="46"/>
    </row>
    <row r="214" spans="4:4" ht="15.75" customHeight="1" x14ac:dyDescent="0.3">
      <c r="D214" s="46"/>
    </row>
    <row r="215" spans="4:4" ht="15.75" customHeight="1" x14ac:dyDescent="0.3">
      <c r="D215" s="46"/>
    </row>
    <row r="216" spans="4:4" ht="15.75" customHeight="1" x14ac:dyDescent="0.3">
      <c r="D216" s="46"/>
    </row>
    <row r="217" spans="4:4" ht="15.75" customHeight="1" x14ac:dyDescent="0.3">
      <c r="D217" s="46"/>
    </row>
    <row r="218" spans="4:4" ht="15.75" customHeight="1" x14ac:dyDescent="0.3">
      <c r="D218" s="46"/>
    </row>
    <row r="219" spans="4:4" ht="15.75" customHeight="1" x14ac:dyDescent="0.3">
      <c r="D219" s="46"/>
    </row>
    <row r="220" spans="4:4" ht="15.75" customHeight="1" x14ac:dyDescent="0.3">
      <c r="D220" s="46"/>
    </row>
    <row r="221" spans="4:4" ht="15.75" customHeight="1" x14ac:dyDescent="0.3">
      <c r="D221" s="46"/>
    </row>
    <row r="222" spans="4:4" ht="15.75" customHeight="1" x14ac:dyDescent="0.3">
      <c r="D222" s="46"/>
    </row>
    <row r="223" spans="4:4" ht="15.75" customHeight="1" x14ac:dyDescent="0.3">
      <c r="D223" s="46"/>
    </row>
    <row r="224" spans="4:4" ht="15.75" customHeight="1" x14ac:dyDescent="0.3">
      <c r="D224" s="46"/>
    </row>
    <row r="225" spans="4:4" ht="15.75" customHeight="1" x14ac:dyDescent="0.3">
      <c r="D225" s="46"/>
    </row>
    <row r="226" spans="4:4" ht="15.75" customHeight="1" x14ac:dyDescent="0.3">
      <c r="D226" s="46"/>
    </row>
    <row r="227" spans="4:4" ht="15.75" customHeight="1" x14ac:dyDescent="0.3">
      <c r="D227" s="46"/>
    </row>
    <row r="228" spans="4:4" ht="15.75" customHeight="1" x14ac:dyDescent="0.3">
      <c r="D228" s="46"/>
    </row>
    <row r="229" spans="4:4" ht="15.75" customHeight="1" x14ac:dyDescent="0.3">
      <c r="D229" s="46"/>
    </row>
    <row r="230" spans="4:4" ht="15.75" customHeight="1" x14ac:dyDescent="0.3">
      <c r="D230" s="46"/>
    </row>
    <row r="231" spans="4:4" ht="15.75" customHeight="1" x14ac:dyDescent="0.3">
      <c r="D231" s="46"/>
    </row>
    <row r="232" spans="4:4" ht="15.75" customHeight="1" x14ac:dyDescent="0.3">
      <c r="D232" s="46"/>
    </row>
    <row r="233" spans="4:4" ht="15.75" customHeight="1" x14ac:dyDescent="0.3">
      <c r="D233" s="46"/>
    </row>
    <row r="234" spans="4:4" ht="15.75" customHeight="1" x14ac:dyDescent="0.3">
      <c r="D234" s="46"/>
    </row>
    <row r="235" spans="4:4" ht="15.75" customHeight="1" x14ac:dyDescent="0.3">
      <c r="D235" s="46"/>
    </row>
    <row r="236" spans="4:4" ht="15.75" customHeight="1" x14ac:dyDescent="0.3"/>
    <row r="237" spans="4:4" ht="15.75" customHeight="1" x14ac:dyDescent="0.3"/>
    <row r="238" spans="4:4" ht="15.75" customHeight="1" x14ac:dyDescent="0.3"/>
    <row r="239" spans="4:4" ht="15.75" customHeight="1" x14ac:dyDescent="0.3"/>
    <row r="240" spans="4:4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  <row r="1009" ht="15.75" customHeight="1" x14ac:dyDescent="0.3"/>
    <row r="1010" ht="15.75" customHeight="1" x14ac:dyDescent="0.3"/>
    <row r="1011" ht="15.75" customHeight="1" x14ac:dyDescent="0.3"/>
    <row r="1012" ht="15.75" customHeight="1" x14ac:dyDescent="0.3"/>
    <row r="1013" ht="15.75" customHeight="1" x14ac:dyDescent="0.3"/>
    <row r="1014" ht="15.75" customHeight="1" x14ac:dyDescent="0.3"/>
    <row r="1015" ht="15.75" customHeight="1" x14ac:dyDescent="0.3"/>
  </sheetData>
  <autoFilter ref="A2:J2" xr:uid="{00000000-0009-0000-0000-00000B000000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987"/>
  <sheetViews>
    <sheetView topLeftCell="A2" zoomScale="80" workbookViewId="0">
      <selection activeCell="N2" sqref="N2:W2"/>
    </sheetView>
  </sheetViews>
  <sheetFormatPr defaultColWidth="12.77734375" defaultRowHeight="14.4" x14ac:dyDescent="0.3"/>
  <cols>
    <col min="1" max="1" width="7.21875" style="1" customWidth="1"/>
    <col min="2" max="2" width="14.77734375" style="1" customWidth="1"/>
    <col min="3" max="3" width="6.44140625" style="1" customWidth="1"/>
    <col min="4" max="4" width="8" style="1" customWidth="1"/>
    <col min="5" max="5" width="6.21875" style="1" customWidth="1"/>
    <col min="6" max="6" width="6" style="1" customWidth="1"/>
    <col min="7" max="7" width="10" style="1" customWidth="1"/>
    <col min="8" max="8" width="11.44140625" style="2" customWidth="1"/>
    <col min="9" max="16384" width="12.77734375" style="1"/>
  </cols>
  <sheetData>
    <row r="1" spans="1:10" ht="15" hidden="1" customHeight="1" x14ac:dyDescent="0.3">
      <c r="H1" s="3"/>
    </row>
    <row r="2" spans="1:10" ht="120.6" x14ac:dyDescent="0.3">
      <c r="A2" s="6" t="s">
        <v>196</v>
      </c>
      <c r="B2" s="6" t="s">
        <v>187</v>
      </c>
      <c r="C2" s="7" t="s">
        <v>188</v>
      </c>
      <c r="D2" s="9" t="s">
        <v>189</v>
      </c>
      <c r="E2" s="7" t="s">
        <v>190</v>
      </c>
      <c r="F2" s="7" t="s">
        <v>191</v>
      </c>
      <c r="G2" s="7" t="s">
        <v>192</v>
      </c>
      <c r="H2" s="8" t="s">
        <v>194</v>
      </c>
      <c r="I2" s="1" t="s">
        <v>195</v>
      </c>
      <c r="J2" s="1" t="s">
        <v>175</v>
      </c>
    </row>
    <row r="3" spans="1:10" ht="15.75" customHeight="1" x14ac:dyDescent="0.3">
      <c r="A3" s="15" t="s">
        <v>146</v>
      </c>
      <c r="B3" s="23" t="s">
        <v>176</v>
      </c>
      <c r="C3" s="15">
        <v>99</v>
      </c>
      <c r="D3" s="36">
        <v>0.27700000000000002</v>
      </c>
      <c r="E3" s="15">
        <v>26.4</v>
      </c>
      <c r="F3" s="15">
        <v>0</v>
      </c>
      <c r="G3" s="15">
        <v>100</v>
      </c>
      <c r="H3" s="17">
        <v>4</v>
      </c>
      <c r="I3" s="1">
        <v>6</v>
      </c>
      <c r="J3" s="1">
        <v>22</v>
      </c>
    </row>
    <row r="4" spans="1:10" ht="15.75" customHeight="1" x14ac:dyDescent="0.3">
      <c r="A4" s="15" t="s">
        <v>146</v>
      </c>
      <c r="B4" s="23" t="s">
        <v>177</v>
      </c>
      <c r="C4" s="15">
        <v>92</v>
      </c>
      <c r="D4" s="18">
        <v>0.78</v>
      </c>
      <c r="E4" s="15">
        <v>24.6</v>
      </c>
      <c r="F4" s="15">
        <v>0</v>
      </c>
      <c r="G4" s="15">
        <v>5</v>
      </c>
      <c r="H4" s="17">
        <v>3</v>
      </c>
      <c r="I4" s="1">
        <v>9</v>
      </c>
      <c r="J4" s="1">
        <v>14</v>
      </c>
    </row>
    <row r="5" spans="1:10" ht="15.75" customHeight="1" x14ac:dyDescent="0.3">
      <c r="A5" s="15" t="s">
        <v>146</v>
      </c>
      <c r="B5" s="23" t="s">
        <v>200</v>
      </c>
      <c r="C5" s="15">
        <v>94</v>
      </c>
      <c r="D5" s="36">
        <v>0.50800000000000001</v>
      </c>
      <c r="E5" s="15">
        <v>24.8</v>
      </c>
      <c r="F5" s="15">
        <v>0</v>
      </c>
      <c r="G5" s="15">
        <v>5</v>
      </c>
      <c r="H5" s="17">
        <v>5</v>
      </c>
      <c r="I5" s="1">
        <v>8</v>
      </c>
      <c r="J5" s="1">
        <v>8</v>
      </c>
    </row>
    <row r="6" spans="1:10" ht="15.75" customHeight="1" x14ac:dyDescent="0.3">
      <c r="A6" s="15" t="s">
        <v>146</v>
      </c>
      <c r="B6" s="23" t="s">
        <v>200</v>
      </c>
      <c r="C6" s="15">
        <v>94</v>
      </c>
      <c r="D6" s="36">
        <v>0.5</v>
      </c>
      <c r="E6" s="15">
        <v>24.8</v>
      </c>
      <c r="F6" s="15">
        <v>0</v>
      </c>
      <c r="G6" s="15">
        <v>100</v>
      </c>
      <c r="H6" s="17">
        <v>5</v>
      </c>
      <c r="I6" s="1">
        <v>2</v>
      </c>
      <c r="J6" s="1">
        <v>6</v>
      </c>
    </row>
    <row r="7" spans="1:10" ht="15.75" customHeight="1" x14ac:dyDescent="0.3">
      <c r="A7" s="15" t="s">
        <v>146</v>
      </c>
      <c r="B7" s="23" t="s">
        <v>200</v>
      </c>
      <c r="C7" s="20">
        <v>94</v>
      </c>
      <c r="D7" s="36">
        <v>0.5</v>
      </c>
      <c r="E7" s="15">
        <v>23</v>
      </c>
      <c r="F7" s="15">
        <v>0</v>
      </c>
      <c r="G7" s="15">
        <v>100</v>
      </c>
      <c r="H7" s="17">
        <v>5</v>
      </c>
      <c r="I7" s="1">
        <v>5</v>
      </c>
      <c r="J7" s="1">
        <v>5</v>
      </c>
    </row>
    <row r="8" spans="1:10" ht="15.75" customHeight="1" x14ac:dyDescent="0.3">
      <c r="A8" s="15" t="s">
        <v>146</v>
      </c>
      <c r="B8" s="23" t="s">
        <v>200</v>
      </c>
      <c r="C8" s="20">
        <v>94</v>
      </c>
      <c r="D8" s="36">
        <v>0.5</v>
      </c>
      <c r="E8" s="15">
        <v>22</v>
      </c>
      <c r="F8" s="15">
        <v>0</v>
      </c>
      <c r="G8" s="15">
        <v>100</v>
      </c>
      <c r="H8" s="17">
        <v>5</v>
      </c>
      <c r="I8" s="1">
        <v>1</v>
      </c>
      <c r="J8" s="1">
        <v>1</v>
      </c>
    </row>
    <row r="9" spans="1:10" ht="15.75" customHeight="1" x14ac:dyDescent="0.3">
      <c r="A9" s="15" t="s">
        <v>146</v>
      </c>
      <c r="B9" s="23" t="s">
        <v>181</v>
      </c>
      <c r="C9" s="15">
        <v>99</v>
      </c>
      <c r="D9" s="18">
        <v>7.59</v>
      </c>
      <c r="E9" s="15">
        <v>23.9</v>
      </c>
      <c r="F9" s="15">
        <v>0</v>
      </c>
      <c r="G9" s="15">
        <v>100</v>
      </c>
      <c r="H9" s="17">
        <v>3</v>
      </c>
      <c r="I9" s="1">
        <v>5</v>
      </c>
      <c r="J9" s="1">
        <v>6</v>
      </c>
    </row>
    <row r="10" spans="1:10" ht="15.75" customHeight="1" x14ac:dyDescent="0.3">
      <c r="A10" s="15" t="s">
        <v>146</v>
      </c>
      <c r="B10" s="23" t="s">
        <v>198</v>
      </c>
      <c r="C10" s="15">
        <v>99</v>
      </c>
      <c r="D10" s="18">
        <v>13.05</v>
      </c>
      <c r="E10" s="15">
        <v>25.9</v>
      </c>
      <c r="F10" s="15">
        <v>0.45</v>
      </c>
      <c r="G10" s="15">
        <v>100</v>
      </c>
      <c r="H10" s="17">
        <v>3</v>
      </c>
      <c r="I10" s="1">
        <v>4</v>
      </c>
      <c r="J10" s="1">
        <v>4</v>
      </c>
    </row>
    <row r="11" spans="1:10" ht="15.75" customHeight="1" x14ac:dyDescent="0.3">
      <c r="A11" s="15" t="s">
        <v>146</v>
      </c>
      <c r="B11" s="23" t="s">
        <v>199</v>
      </c>
      <c r="C11" s="15">
        <v>93</v>
      </c>
      <c r="D11" s="18">
        <v>6.64</v>
      </c>
      <c r="E11" s="15">
        <v>26</v>
      </c>
      <c r="F11" s="15">
        <v>0</v>
      </c>
      <c r="G11" s="15">
        <v>100</v>
      </c>
      <c r="H11" s="17">
        <v>2</v>
      </c>
      <c r="I11" s="1">
        <v>7</v>
      </c>
      <c r="J11" s="1">
        <v>13</v>
      </c>
    </row>
    <row r="12" spans="1:10" ht="15.75" customHeight="1" x14ac:dyDescent="0.3">
      <c r="A12" s="15" t="s">
        <v>146</v>
      </c>
      <c r="B12" s="23" t="s">
        <v>199</v>
      </c>
      <c r="C12" s="15">
        <v>59</v>
      </c>
      <c r="D12" s="18">
        <v>39.5</v>
      </c>
      <c r="E12" s="15">
        <v>31.13</v>
      </c>
      <c r="F12" s="15">
        <v>2.1</v>
      </c>
      <c r="G12" s="15">
        <v>100</v>
      </c>
      <c r="H12" s="17">
        <v>2</v>
      </c>
      <c r="I12" s="1">
        <v>4</v>
      </c>
      <c r="J12" s="1">
        <v>9</v>
      </c>
    </row>
    <row r="13" spans="1:10" ht="15.75" customHeight="1" x14ac:dyDescent="0.3">
      <c r="A13" s="15" t="s">
        <v>146</v>
      </c>
      <c r="B13" s="23" t="s">
        <v>199</v>
      </c>
      <c r="C13" s="15">
        <v>80</v>
      </c>
      <c r="D13" s="18">
        <v>6.56</v>
      </c>
      <c r="E13" s="15">
        <v>23.9</v>
      </c>
      <c r="F13" s="15">
        <v>0</v>
      </c>
      <c r="G13" s="15">
        <v>100</v>
      </c>
      <c r="H13" s="17">
        <v>2</v>
      </c>
      <c r="I13" s="1">
        <v>0</v>
      </c>
      <c r="J13" s="1">
        <v>0</v>
      </c>
    </row>
    <row r="14" spans="1:10" ht="15.75" customHeight="1" x14ac:dyDescent="0.3">
      <c r="A14" s="15" t="s">
        <v>146</v>
      </c>
      <c r="B14" s="23" t="s">
        <v>183</v>
      </c>
      <c r="C14" s="15">
        <v>79</v>
      </c>
      <c r="D14" s="18">
        <v>15.5</v>
      </c>
      <c r="E14" s="15">
        <v>28.3</v>
      </c>
      <c r="F14" s="15">
        <v>0</v>
      </c>
      <c r="G14" s="15">
        <v>100</v>
      </c>
      <c r="H14" s="17">
        <v>3</v>
      </c>
      <c r="I14" s="1">
        <v>3</v>
      </c>
      <c r="J14" s="1">
        <v>3</v>
      </c>
    </row>
    <row r="15" spans="1:10" ht="15.75" customHeight="1" x14ac:dyDescent="0.3">
      <c r="A15" s="15" t="s">
        <v>146</v>
      </c>
      <c r="B15" s="23" t="s">
        <v>183</v>
      </c>
      <c r="C15" s="15">
        <v>79</v>
      </c>
      <c r="D15" s="18">
        <v>4.87</v>
      </c>
      <c r="E15" s="15">
        <v>25.2</v>
      </c>
      <c r="F15" s="15">
        <v>0</v>
      </c>
      <c r="G15" s="15">
        <v>100</v>
      </c>
      <c r="H15" s="17">
        <v>3</v>
      </c>
      <c r="I15" s="1">
        <v>0</v>
      </c>
      <c r="J15" s="1">
        <v>0</v>
      </c>
    </row>
    <row r="16" spans="1:10" ht="15.75" customHeight="1" x14ac:dyDescent="0.3">
      <c r="A16" s="15" t="s">
        <v>146</v>
      </c>
      <c r="B16" s="23" t="s">
        <v>185</v>
      </c>
      <c r="C16" s="15">
        <v>86</v>
      </c>
      <c r="D16" s="18">
        <v>19.5</v>
      </c>
      <c r="E16" s="15">
        <v>27.4</v>
      </c>
      <c r="F16" s="15">
        <v>2.9</v>
      </c>
      <c r="G16" s="15">
        <v>100</v>
      </c>
      <c r="H16" s="17">
        <v>1</v>
      </c>
      <c r="I16" s="1">
        <v>3</v>
      </c>
      <c r="J16" s="1">
        <v>5</v>
      </c>
    </row>
    <row r="17" spans="1:10" ht="15.75" customHeight="1" x14ac:dyDescent="0.3">
      <c r="A17" s="15" t="s">
        <v>146</v>
      </c>
      <c r="B17" s="23" t="s">
        <v>186</v>
      </c>
      <c r="C17" s="15">
        <v>79</v>
      </c>
      <c r="D17" s="18">
        <v>0.56999999999999995</v>
      </c>
      <c r="E17" s="15">
        <v>24.8</v>
      </c>
      <c r="F17" s="15">
        <v>0</v>
      </c>
      <c r="G17" s="15">
        <v>100</v>
      </c>
      <c r="H17" s="17">
        <v>6</v>
      </c>
      <c r="I17" s="1">
        <v>3</v>
      </c>
      <c r="J17" s="1">
        <v>4</v>
      </c>
    </row>
    <row r="18" spans="1:10" ht="15.75" customHeight="1" x14ac:dyDescent="0.3">
      <c r="A18" s="15" t="s">
        <v>146</v>
      </c>
      <c r="B18" s="23" t="s">
        <v>186</v>
      </c>
      <c r="C18" s="15">
        <v>96</v>
      </c>
      <c r="D18" s="18">
        <v>15.05</v>
      </c>
      <c r="E18" s="15">
        <v>30.2</v>
      </c>
      <c r="F18" s="15">
        <v>0</v>
      </c>
      <c r="G18" s="15">
        <v>100</v>
      </c>
      <c r="H18" s="17">
        <v>6</v>
      </c>
      <c r="I18" s="1">
        <v>2</v>
      </c>
      <c r="J18" s="1">
        <v>6</v>
      </c>
    </row>
    <row r="19" spans="1:10" ht="15.75" customHeight="1" x14ac:dyDescent="0.3">
      <c r="A19" s="15" t="s">
        <v>146</v>
      </c>
      <c r="B19" s="15" t="s">
        <v>186</v>
      </c>
      <c r="C19" s="15">
        <v>57</v>
      </c>
      <c r="D19" s="18">
        <v>153.19999999999999</v>
      </c>
      <c r="E19" s="15">
        <v>30.2</v>
      </c>
      <c r="F19" s="15">
        <v>0.4</v>
      </c>
      <c r="G19" s="15">
        <v>100</v>
      </c>
      <c r="H19" s="17">
        <v>6</v>
      </c>
      <c r="I19" s="1">
        <v>2</v>
      </c>
      <c r="J19" s="1">
        <v>3</v>
      </c>
    </row>
    <row r="20" spans="1:10" ht="15.75" customHeight="1" x14ac:dyDescent="0.3">
      <c r="A20" s="15" t="s">
        <v>153</v>
      </c>
      <c r="B20" s="23" t="s">
        <v>176</v>
      </c>
      <c r="C20" s="15">
        <v>98</v>
      </c>
      <c r="D20" s="18">
        <v>7.54</v>
      </c>
      <c r="E20" s="15">
        <v>25.8</v>
      </c>
      <c r="F20" s="15">
        <v>0</v>
      </c>
      <c r="G20" s="15">
        <v>100</v>
      </c>
      <c r="H20" s="17">
        <v>4</v>
      </c>
      <c r="I20" s="1">
        <v>5</v>
      </c>
      <c r="J20" s="1">
        <v>7</v>
      </c>
    </row>
    <row r="21" spans="1:10" ht="15.75" customHeight="1" x14ac:dyDescent="0.3">
      <c r="A21" s="15" t="s">
        <v>153</v>
      </c>
      <c r="B21" s="23" t="s">
        <v>176</v>
      </c>
      <c r="C21" s="15">
        <v>99</v>
      </c>
      <c r="D21" s="18">
        <v>6.06</v>
      </c>
      <c r="E21" s="15">
        <v>25.35</v>
      </c>
      <c r="F21" s="15">
        <v>0</v>
      </c>
      <c r="G21" s="15">
        <v>100</v>
      </c>
      <c r="H21" s="17">
        <v>4</v>
      </c>
      <c r="I21" s="1">
        <v>9</v>
      </c>
      <c r="J21" s="1">
        <v>9</v>
      </c>
    </row>
    <row r="22" spans="1:10" ht="15.75" customHeight="1" x14ac:dyDescent="0.3">
      <c r="A22" s="15" t="s">
        <v>153</v>
      </c>
      <c r="B22" s="23" t="s">
        <v>177</v>
      </c>
      <c r="C22" s="15">
        <v>98</v>
      </c>
      <c r="D22" s="18">
        <v>0.77</v>
      </c>
      <c r="E22" s="15">
        <v>22.6</v>
      </c>
      <c r="F22" s="15">
        <v>0</v>
      </c>
      <c r="G22" s="15">
        <v>100</v>
      </c>
      <c r="H22" s="17">
        <v>3</v>
      </c>
      <c r="I22" s="1">
        <v>8</v>
      </c>
      <c r="J22" s="1">
        <v>14</v>
      </c>
    </row>
    <row r="23" spans="1:10" ht="15.75" customHeight="1" x14ac:dyDescent="0.3">
      <c r="A23" s="15" t="s">
        <v>153</v>
      </c>
      <c r="B23" s="23" t="s">
        <v>177</v>
      </c>
      <c r="C23" s="15">
        <v>82</v>
      </c>
      <c r="D23" s="36">
        <v>0.19800000000000001</v>
      </c>
      <c r="E23" s="15">
        <v>24.3</v>
      </c>
      <c r="F23" s="15">
        <v>0</v>
      </c>
      <c r="G23" s="15">
        <v>20</v>
      </c>
      <c r="H23" s="17">
        <v>3</v>
      </c>
      <c r="I23" s="1">
        <v>9</v>
      </c>
      <c r="J23" s="1">
        <v>12</v>
      </c>
    </row>
    <row r="24" spans="1:10" ht="15.75" customHeight="1" x14ac:dyDescent="0.3">
      <c r="A24" s="15" t="s">
        <v>153</v>
      </c>
      <c r="B24" s="23" t="s">
        <v>200</v>
      </c>
      <c r="C24" s="15">
        <v>98</v>
      </c>
      <c r="D24" s="18">
        <v>3.69</v>
      </c>
      <c r="E24" s="15">
        <v>22.35</v>
      </c>
      <c r="F24" s="15">
        <v>0</v>
      </c>
      <c r="G24" s="15">
        <v>0</v>
      </c>
      <c r="H24" s="17">
        <v>5</v>
      </c>
      <c r="I24" s="1">
        <v>3</v>
      </c>
      <c r="J24" s="1">
        <v>7</v>
      </c>
    </row>
    <row r="25" spans="1:10" ht="15.75" customHeight="1" x14ac:dyDescent="0.3">
      <c r="A25" s="15" t="s">
        <v>153</v>
      </c>
      <c r="B25" s="23" t="s">
        <v>200</v>
      </c>
      <c r="C25" s="15">
        <v>98</v>
      </c>
      <c r="D25" s="18">
        <v>3.69</v>
      </c>
      <c r="E25" s="15">
        <v>22.35</v>
      </c>
      <c r="F25" s="15">
        <v>0</v>
      </c>
      <c r="G25" s="15">
        <v>0</v>
      </c>
      <c r="H25" s="17">
        <v>5</v>
      </c>
      <c r="I25" s="1">
        <v>13</v>
      </c>
      <c r="J25" s="1">
        <v>14</v>
      </c>
    </row>
    <row r="26" spans="1:10" ht="15.75" customHeight="1" x14ac:dyDescent="0.3">
      <c r="A26" s="15" t="s">
        <v>153</v>
      </c>
      <c r="B26" s="23" t="s">
        <v>200</v>
      </c>
      <c r="C26" s="15">
        <v>90</v>
      </c>
      <c r="D26" s="36">
        <v>3.5000000000000003E-2</v>
      </c>
      <c r="E26" s="15">
        <v>24.2</v>
      </c>
      <c r="F26" s="15">
        <v>0</v>
      </c>
      <c r="G26" s="15">
        <v>20</v>
      </c>
      <c r="H26" s="17">
        <v>5</v>
      </c>
      <c r="I26" s="1">
        <v>1</v>
      </c>
      <c r="J26" s="1">
        <v>1</v>
      </c>
    </row>
    <row r="27" spans="1:10" ht="15.75" customHeight="1" x14ac:dyDescent="0.3">
      <c r="A27" s="15" t="s">
        <v>153</v>
      </c>
      <c r="B27" s="23" t="s">
        <v>200</v>
      </c>
      <c r="C27" s="15">
        <v>61</v>
      </c>
      <c r="D27" s="36">
        <v>9.4E-2</v>
      </c>
      <c r="E27" s="15">
        <v>25.5</v>
      </c>
      <c r="F27" s="15">
        <v>0</v>
      </c>
      <c r="G27" s="15">
        <v>15</v>
      </c>
      <c r="H27" s="17">
        <v>5</v>
      </c>
      <c r="I27" s="1">
        <v>6</v>
      </c>
      <c r="J27" s="1">
        <v>8</v>
      </c>
    </row>
    <row r="28" spans="1:10" ht="15.75" customHeight="1" x14ac:dyDescent="0.3">
      <c r="A28" s="15" t="s">
        <v>153</v>
      </c>
      <c r="B28" s="23" t="s">
        <v>200</v>
      </c>
      <c r="C28" s="15">
        <v>65</v>
      </c>
      <c r="D28" s="36">
        <v>3.5000000000000003E-2</v>
      </c>
      <c r="E28" s="15">
        <v>25.7</v>
      </c>
      <c r="F28" s="15">
        <v>0</v>
      </c>
      <c r="G28" s="15">
        <v>100</v>
      </c>
      <c r="H28" s="17">
        <v>5</v>
      </c>
      <c r="I28" s="1">
        <v>3</v>
      </c>
      <c r="J28" s="1">
        <v>3</v>
      </c>
    </row>
    <row r="29" spans="1:10" ht="15.75" customHeight="1" x14ac:dyDescent="0.3">
      <c r="A29" s="15" t="s">
        <v>153</v>
      </c>
      <c r="B29" s="23" t="s">
        <v>180</v>
      </c>
      <c r="C29" s="15">
        <v>85</v>
      </c>
      <c r="D29" s="18">
        <v>3.81</v>
      </c>
      <c r="E29" s="15">
        <v>25</v>
      </c>
      <c r="F29" s="15">
        <v>0</v>
      </c>
      <c r="G29" s="15">
        <v>78.33</v>
      </c>
      <c r="H29" s="17">
        <v>5</v>
      </c>
      <c r="I29" s="1">
        <v>3</v>
      </c>
      <c r="J29" s="1">
        <v>3</v>
      </c>
    </row>
    <row r="30" spans="1:10" ht="15.75" customHeight="1" x14ac:dyDescent="0.3">
      <c r="A30" s="15" t="s">
        <v>153</v>
      </c>
      <c r="B30" s="23" t="s">
        <v>180</v>
      </c>
      <c r="C30" s="15">
        <v>61</v>
      </c>
      <c r="D30" s="18">
        <v>4.78</v>
      </c>
      <c r="E30" s="15">
        <v>28.7</v>
      </c>
      <c r="F30" s="15">
        <v>0</v>
      </c>
      <c r="G30" s="15">
        <v>100</v>
      </c>
      <c r="H30" s="17">
        <v>5</v>
      </c>
      <c r="I30" s="1">
        <v>0</v>
      </c>
      <c r="J30" s="1">
        <v>0</v>
      </c>
    </row>
    <row r="31" spans="1:10" ht="15.75" customHeight="1" x14ac:dyDescent="0.3">
      <c r="A31" s="15" t="s">
        <v>153</v>
      </c>
      <c r="B31" s="23" t="s">
        <v>180</v>
      </c>
      <c r="C31" s="15">
        <v>47</v>
      </c>
      <c r="D31" s="36">
        <v>0.74399999999999999</v>
      </c>
      <c r="E31" s="15">
        <v>29.9</v>
      </c>
      <c r="F31" s="15">
        <v>0</v>
      </c>
      <c r="G31" s="15">
        <v>2</v>
      </c>
      <c r="H31" s="17">
        <v>5</v>
      </c>
      <c r="I31" s="1">
        <v>2</v>
      </c>
      <c r="J31" s="1">
        <v>2</v>
      </c>
    </row>
    <row r="32" spans="1:10" ht="15.75" customHeight="1" x14ac:dyDescent="0.3">
      <c r="A32" s="15" t="s">
        <v>153</v>
      </c>
      <c r="B32" s="23" t="s">
        <v>180</v>
      </c>
      <c r="C32" s="15">
        <v>50</v>
      </c>
      <c r="D32" s="36">
        <v>0.7</v>
      </c>
      <c r="E32" s="15">
        <v>26.3</v>
      </c>
      <c r="F32" s="15">
        <v>0</v>
      </c>
      <c r="G32" s="15">
        <v>100</v>
      </c>
      <c r="H32" s="17">
        <v>5</v>
      </c>
      <c r="I32" s="1">
        <v>2</v>
      </c>
      <c r="J32" s="1">
        <v>5</v>
      </c>
    </row>
    <row r="33" spans="1:10" ht="15.75" customHeight="1" x14ac:dyDescent="0.3">
      <c r="A33" s="15" t="s">
        <v>153</v>
      </c>
      <c r="B33" s="23" t="s">
        <v>181</v>
      </c>
      <c r="C33" s="15">
        <v>85</v>
      </c>
      <c r="D33" s="18">
        <v>13.84</v>
      </c>
      <c r="E33" s="15">
        <v>26.7</v>
      </c>
      <c r="F33" s="15">
        <v>0</v>
      </c>
      <c r="G33" s="15">
        <v>100</v>
      </c>
      <c r="H33" s="17">
        <v>3</v>
      </c>
      <c r="I33" s="1">
        <v>4</v>
      </c>
      <c r="J33" s="1">
        <v>6</v>
      </c>
    </row>
    <row r="34" spans="1:10" ht="15.75" customHeight="1" x14ac:dyDescent="0.3">
      <c r="A34" s="15" t="s">
        <v>153</v>
      </c>
      <c r="B34" s="23" t="s">
        <v>181</v>
      </c>
      <c r="C34" s="15">
        <v>55</v>
      </c>
      <c r="D34" s="18">
        <v>55.3</v>
      </c>
      <c r="E34" s="15">
        <v>30.2</v>
      </c>
      <c r="F34" s="15">
        <v>0</v>
      </c>
      <c r="G34" s="15">
        <v>100</v>
      </c>
      <c r="H34" s="17">
        <v>3</v>
      </c>
      <c r="I34" s="1">
        <v>0</v>
      </c>
      <c r="J34" s="1">
        <v>0</v>
      </c>
    </row>
    <row r="35" spans="1:10" ht="15.75" customHeight="1" x14ac:dyDescent="0.3">
      <c r="A35" s="15" t="s">
        <v>153</v>
      </c>
      <c r="B35" s="23" t="s">
        <v>181</v>
      </c>
      <c r="C35" s="15">
        <v>51</v>
      </c>
      <c r="D35" s="18">
        <v>26.78</v>
      </c>
      <c r="E35" s="15">
        <v>30.7</v>
      </c>
      <c r="F35" s="15">
        <v>0</v>
      </c>
      <c r="G35" s="15">
        <v>23.33</v>
      </c>
      <c r="H35" s="17">
        <v>3</v>
      </c>
      <c r="I35" s="1">
        <v>2</v>
      </c>
      <c r="J35" s="1">
        <v>2</v>
      </c>
    </row>
    <row r="36" spans="1:10" ht="15.75" customHeight="1" x14ac:dyDescent="0.3">
      <c r="A36" s="15" t="s">
        <v>153</v>
      </c>
      <c r="B36" s="23" t="s">
        <v>198</v>
      </c>
      <c r="C36" s="15">
        <v>90</v>
      </c>
      <c r="D36" s="18">
        <v>8.44</v>
      </c>
      <c r="E36" s="15">
        <v>27.4</v>
      </c>
      <c r="F36" s="15">
        <v>0.8</v>
      </c>
      <c r="G36" s="15">
        <v>100</v>
      </c>
      <c r="H36" s="17">
        <v>3</v>
      </c>
      <c r="I36" s="1">
        <v>12</v>
      </c>
      <c r="J36" s="1">
        <v>17</v>
      </c>
    </row>
    <row r="37" spans="1:10" ht="15.75" customHeight="1" x14ac:dyDescent="0.3">
      <c r="A37" s="15" t="s">
        <v>153</v>
      </c>
      <c r="B37" s="16" t="s">
        <v>198</v>
      </c>
      <c r="C37" s="15">
        <v>58</v>
      </c>
      <c r="D37" s="18">
        <v>30.1</v>
      </c>
      <c r="E37" s="15">
        <v>29.1</v>
      </c>
      <c r="F37" s="15">
        <v>0</v>
      </c>
      <c r="G37" s="15">
        <v>98.75</v>
      </c>
      <c r="H37" s="17">
        <v>3</v>
      </c>
      <c r="I37" s="1">
        <v>2</v>
      </c>
      <c r="J37" s="1">
        <v>2</v>
      </c>
    </row>
    <row r="38" spans="1:10" ht="15.75" customHeight="1" x14ac:dyDescent="0.3">
      <c r="A38" s="15" t="s">
        <v>153</v>
      </c>
      <c r="B38" s="23" t="s">
        <v>199</v>
      </c>
      <c r="C38" s="15">
        <v>77</v>
      </c>
      <c r="D38" s="36">
        <v>1.79</v>
      </c>
      <c r="E38" s="15">
        <v>23.98</v>
      </c>
      <c r="F38" s="15">
        <v>0.83</v>
      </c>
      <c r="G38" s="15">
        <v>100</v>
      </c>
      <c r="H38" s="17">
        <v>2</v>
      </c>
      <c r="I38" s="1">
        <v>3</v>
      </c>
      <c r="J38" s="1">
        <v>3</v>
      </c>
    </row>
    <row r="39" spans="1:10" ht="15.75" customHeight="1" x14ac:dyDescent="0.3">
      <c r="A39" s="15" t="s">
        <v>153</v>
      </c>
      <c r="B39" s="23" t="s">
        <v>199</v>
      </c>
      <c r="C39" s="15">
        <v>78</v>
      </c>
      <c r="D39" s="36">
        <v>20.350000000000001</v>
      </c>
      <c r="E39" s="15">
        <v>22.55</v>
      </c>
      <c r="F39" s="15">
        <v>0</v>
      </c>
      <c r="G39" s="15">
        <v>38.33</v>
      </c>
      <c r="H39" s="17">
        <v>2</v>
      </c>
      <c r="I39" s="1">
        <v>6</v>
      </c>
      <c r="J39" s="1">
        <v>14</v>
      </c>
    </row>
    <row r="40" spans="1:10" ht="15.75" customHeight="1" x14ac:dyDescent="0.3">
      <c r="A40" s="15" t="s">
        <v>153</v>
      </c>
      <c r="B40" s="23" t="s">
        <v>199</v>
      </c>
      <c r="C40" s="15">
        <v>98</v>
      </c>
      <c r="D40" s="36">
        <v>3.05</v>
      </c>
      <c r="E40" s="15">
        <v>21.7</v>
      </c>
      <c r="F40" s="15">
        <v>0.9</v>
      </c>
      <c r="G40" s="15">
        <v>100</v>
      </c>
      <c r="H40" s="17">
        <v>2</v>
      </c>
      <c r="I40" s="1">
        <v>1</v>
      </c>
      <c r="J40" s="1">
        <v>1</v>
      </c>
    </row>
    <row r="41" spans="1:10" ht="15.75" customHeight="1" x14ac:dyDescent="0.3">
      <c r="A41" s="15" t="s">
        <v>153</v>
      </c>
      <c r="B41" s="23" t="s">
        <v>199</v>
      </c>
      <c r="C41" s="15">
        <v>77</v>
      </c>
      <c r="D41" s="36">
        <v>12.54</v>
      </c>
      <c r="E41" s="15">
        <v>25.3</v>
      </c>
      <c r="F41" s="15">
        <v>1</v>
      </c>
      <c r="G41" s="15">
        <v>100</v>
      </c>
      <c r="H41" s="17">
        <v>2</v>
      </c>
      <c r="I41" s="1">
        <v>1</v>
      </c>
      <c r="J41" s="1">
        <v>5</v>
      </c>
    </row>
    <row r="42" spans="1:10" ht="15.75" customHeight="1" x14ac:dyDescent="0.3">
      <c r="A42" s="15" t="s">
        <v>153</v>
      </c>
      <c r="B42" s="23" t="s">
        <v>183</v>
      </c>
      <c r="C42" s="15">
        <v>95</v>
      </c>
      <c r="D42" s="18">
        <v>10.69</v>
      </c>
      <c r="E42" s="15">
        <v>22.8</v>
      </c>
      <c r="F42" s="15">
        <v>1.2</v>
      </c>
      <c r="G42" s="15">
        <v>100</v>
      </c>
      <c r="H42" s="17">
        <v>3</v>
      </c>
      <c r="I42" s="1">
        <v>4</v>
      </c>
      <c r="J42" s="1">
        <v>7</v>
      </c>
    </row>
    <row r="43" spans="1:10" ht="15.75" customHeight="1" x14ac:dyDescent="0.3">
      <c r="A43" s="15" t="s">
        <v>153</v>
      </c>
      <c r="B43" s="23" t="s">
        <v>183</v>
      </c>
      <c r="C43" s="15">
        <v>95</v>
      </c>
      <c r="D43" s="18">
        <v>5.99</v>
      </c>
      <c r="E43" s="15">
        <v>25.7</v>
      </c>
      <c r="F43" s="15">
        <v>0</v>
      </c>
      <c r="G43" s="15">
        <v>100</v>
      </c>
      <c r="H43" s="17">
        <v>3</v>
      </c>
      <c r="I43" s="1">
        <v>5</v>
      </c>
      <c r="J43" s="1">
        <v>7</v>
      </c>
    </row>
    <row r="44" spans="1:10" ht="15.75" customHeight="1" x14ac:dyDescent="0.3">
      <c r="A44" s="15" t="s">
        <v>153</v>
      </c>
      <c r="B44" s="16" t="s">
        <v>183</v>
      </c>
      <c r="C44" s="15">
        <v>98</v>
      </c>
      <c r="D44" s="18">
        <v>3.61</v>
      </c>
      <c r="E44" s="15">
        <v>23</v>
      </c>
      <c r="F44" s="15">
        <v>0</v>
      </c>
      <c r="G44" s="15">
        <v>100</v>
      </c>
      <c r="H44" s="17">
        <v>3</v>
      </c>
      <c r="I44" s="1">
        <v>0</v>
      </c>
      <c r="J44" s="1">
        <v>0</v>
      </c>
    </row>
    <row r="45" spans="1:10" ht="15.75" customHeight="1" x14ac:dyDescent="0.3">
      <c r="A45" s="15" t="s">
        <v>153</v>
      </c>
      <c r="B45" s="23" t="s">
        <v>183</v>
      </c>
      <c r="C45" s="15">
        <v>80</v>
      </c>
      <c r="D45" s="18">
        <v>6.89</v>
      </c>
      <c r="E45" s="15">
        <v>24.3</v>
      </c>
      <c r="F45" s="15">
        <v>0.87</v>
      </c>
      <c r="G45" s="15">
        <v>100</v>
      </c>
      <c r="H45" s="17">
        <v>3</v>
      </c>
      <c r="I45" s="1">
        <v>2</v>
      </c>
      <c r="J45" s="1">
        <v>2</v>
      </c>
    </row>
    <row r="46" spans="1:10" ht="15.75" customHeight="1" x14ac:dyDescent="0.3">
      <c r="A46" s="15" t="s">
        <v>153</v>
      </c>
      <c r="B46" s="23" t="s">
        <v>185</v>
      </c>
      <c r="C46" s="15">
        <v>80</v>
      </c>
      <c r="D46" s="36">
        <v>14.7</v>
      </c>
      <c r="E46" s="15">
        <v>24.13</v>
      </c>
      <c r="F46" s="15">
        <v>2.1</v>
      </c>
      <c r="G46" s="15">
        <v>100</v>
      </c>
      <c r="H46" s="17">
        <v>1</v>
      </c>
      <c r="I46" s="1">
        <v>3</v>
      </c>
      <c r="J46" s="1">
        <v>11</v>
      </c>
    </row>
    <row r="47" spans="1:10" ht="15.75" customHeight="1" x14ac:dyDescent="0.3">
      <c r="A47" s="15" t="s">
        <v>153</v>
      </c>
      <c r="B47" s="23" t="s">
        <v>185</v>
      </c>
      <c r="C47" s="15">
        <v>99</v>
      </c>
      <c r="D47" s="36">
        <v>12.46</v>
      </c>
      <c r="E47" s="15">
        <v>22.9</v>
      </c>
      <c r="F47" s="15">
        <v>0</v>
      </c>
      <c r="G47" s="15">
        <v>100</v>
      </c>
      <c r="H47" s="17">
        <v>1</v>
      </c>
      <c r="I47" s="1">
        <v>4</v>
      </c>
      <c r="J47" s="1">
        <v>5</v>
      </c>
    </row>
    <row r="48" spans="1:10" ht="15.75" customHeight="1" x14ac:dyDescent="0.3">
      <c r="A48" s="15" t="s">
        <v>153</v>
      </c>
      <c r="B48" s="16" t="s">
        <v>185</v>
      </c>
      <c r="C48" s="15">
        <v>99</v>
      </c>
      <c r="D48" s="18">
        <v>8.2799999999999994</v>
      </c>
      <c r="E48" s="15">
        <v>24.2</v>
      </c>
      <c r="F48" s="15">
        <v>0</v>
      </c>
      <c r="G48" s="15">
        <v>100</v>
      </c>
      <c r="H48" s="17">
        <v>1</v>
      </c>
      <c r="I48" s="1">
        <v>0</v>
      </c>
      <c r="J48" s="1">
        <v>0</v>
      </c>
    </row>
    <row r="49" spans="1:10" ht="15.75" customHeight="1" x14ac:dyDescent="0.3">
      <c r="A49" s="15" t="s">
        <v>153</v>
      </c>
      <c r="B49" s="16" t="s">
        <v>185</v>
      </c>
      <c r="C49" s="15">
        <v>99</v>
      </c>
      <c r="D49" s="18">
        <v>7.19</v>
      </c>
      <c r="E49" s="15">
        <v>23.4</v>
      </c>
      <c r="F49" s="15">
        <v>1.5</v>
      </c>
      <c r="G49" s="15">
        <v>100</v>
      </c>
      <c r="H49" s="17">
        <v>1</v>
      </c>
      <c r="I49" s="1">
        <v>0</v>
      </c>
      <c r="J49" s="1">
        <v>0</v>
      </c>
    </row>
    <row r="50" spans="1:10" ht="15.75" customHeight="1" x14ac:dyDescent="0.3">
      <c r="A50" s="15" t="s">
        <v>153</v>
      </c>
      <c r="B50" s="23" t="s">
        <v>186</v>
      </c>
      <c r="C50" s="15">
        <v>95</v>
      </c>
      <c r="D50" s="18">
        <v>1.44</v>
      </c>
      <c r="E50" s="15">
        <v>25.1</v>
      </c>
      <c r="F50" s="15">
        <v>0</v>
      </c>
      <c r="G50" s="15">
        <v>100</v>
      </c>
      <c r="H50" s="17">
        <v>6</v>
      </c>
      <c r="I50" s="1">
        <v>2</v>
      </c>
      <c r="J50" s="1">
        <v>7</v>
      </c>
    </row>
    <row r="51" spans="1:10" ht="15.75" customHeight="1" x14ac:dyDescent="0.3">
      <c r="A51" s="15" t="s">
        <v>153</v>
      </c>
      <c r="B51" s="23" t="s">
        <v>186</v>
      </c>
      <c r="C51" s="15">
        <v>99</v>
      </c>
      <c r="D51" s="18">
        <v>0.54</v>
      </c>
      <c r="E51" s="15">
        <v>21.9</v>
      </c>
      <c r="F51" s="15">
        <v>0</v>
      </c>
      <c r="G51" s="15">
        <v>100</v>
      </c>
      <c r="H51" s="17">
        <v>6</v>
      </c>
      <c r="I51" s="1">
        <v>3</v>
      </c>
      <c r="J51" s="1">
        <v>3</v>
      </c>
    </row>
    <row r="52" spans="1:10" ht="15.75" customHeight="1" x14ac:dyDescent="0.3">
      <c r="A52" s="15" t="s">
        <v>153</v>
      </c>
      <c r="B52" s="23" t="s">
        <v>186</v>
      </c>
      <c r="C52" s="15">
        <v>99</v>
      </c>
      <c r="D52" s="18">
        <v>0.63</v>
      </c>
      <c r="E52" s="15">
        <v>25.1</v>
      </c>
      <c r="F52" s="15">
        <v>0</v>
      </c>
      <c r="G52" s="15">
        <v>100</v>
      </c>
      <c r="H52" s="17">
        <v>6</v>
      </c>
      <c r="I52" s="1">
        <v>3</v>
      </c>
      <c r="J52" s="1">
        <v>8</v>
      </c>
    </row>
    <row r="53" spans="1:10" ht="15.75" customHeight="1" x14ac:dyDescent="0.3">
      <c r="A53" s="15" t="s">
        <v>153</v>
      </c>
      <c r="B53" s="23" t="s">
        <v>186</v>
      </c>
      <c r="C53" s="15">
        <v>99</v>
      </c>
      <c r="D53" s="18">
        <v>1.67</v>
      </c>
      <c r="E53" s="15">
        <v>25.2</v>
      </c>
      <c r="F53" s="15">
        <v>0</v>
      </c>
      <c r="G53" s="15">
        <v>100</v>
      </c>
      <c r="H53" s="17">
        <v>6</v>
      </c>
      <c r="I53" s="1">
        <v>3</v>
      </c>
      <c r="J53" s="1">
        <v>4</v>
      </c>
    </row>
    <row r="54" spans="1:10" ht="15.75" customHeight="1" x14ac:dyDescent="0.3">
      <c r="A54" s="15" t="s">
        <v>158</v>
      </c>
      <c r="B54" s="23" t="s">
        <v>176</v>
      </c>
      <c r="C54" s="15">
        <v>96</v>
      </c>
      <c r="D54" s="18">
        <v>1.1399999999999999</v>
      </c>
      <c r="E54" s="15">
        <v>26.4</v>
      </c>
      <c r="F54" s="15">
        <v>0</v>
      </c>
      <c r="G54" s="15">
        <v>22</v>
      </c>
      <c r="H54" s="17">
        <v>4</v>
      </c>
      <c r="I54" s="1">
        <v>4</v>
      </c>
      <c r="J54" s="1">
        <v>7</v>
      </c>
    </row>
    <row r="55" spans="1:10" ht="15.75" customHeight="1" x14ac:dyDescent="0.3">
      <c r="A55" s="15" t="s">
        <v>158</v>
      </c>
      <c r="B55" s="23" t="s">
        <v>176</v>
      </c>
      <c r="C55" s="15">
        <v>99</v>
      </c>
      <c r="D55" s="18">
        <v>8.51</v>
      </c>
      <c r="E55" s="15">
        <v>26.5</v>
      </c>
      <c r="F55" s="15">
        <v>0</v>
      </c>
      <c r="G55" s="15">
        <v>36.659999999999997</v>
      </c>
      <c r="H55" s="17">
        <v>4</v>
      </c>
      <c r="I55" s="1">
        <v>9</v>
      </c>
      <c r="J55" s="1">
        <v>9</v>
      </c>
    </row>
    <row r="56" spans="1:10" ht="15.75" customHeight="1" x14ac:dyDescent="0.3">
      <c r="A56" s="15" t="s">
        <v>158</v>
      </c>
      <c r="B56" s="23" t="s">
        <v>176</v>
      </c>
      <c r="C56" s="15">
        <v>99</v>
      </c>
      <c r="D56" s="18">
        <v>8.52</v>
      </c>
      <c r="E56" s="15">
        <v>26.5</v>
      </c>
      <c r="F56" s="15">
        <v>0</v>
      </c>
      <c r="G56" s="15">
        <v>100</v>
      </c>
      <c r="H56" s="17">
        <v>4</v>
      </c>
      <c r="I56" s="1">
        <v>5</v>
      </c>
      <c r="J56" s="1">
        <v>6</v>
      </c>
    </row>
    <row r="57" spans="1:10" ht="15.75" customHeight="1" x14ac:dyDescent="0.3">
      <c r="A57" s="15" t="s">
        <v>158</v>
      </c>
      <c r="B57" s="23" t="s">
        <v>178</v>
      </c>
      <c r="C57" s="15">
        <v>99</v>
      </c>
      <c r="D57" s="18">
        <v>6.93</v>
      </c>
      <c r="E57" s="15">
        <v>23.5</v>
      </c>
      <c r="F57" s="15">
        <v>0</v>
      </c>
      <c r="G57" s="15">
        <v>98</v>
      </c>
      <c r="H57" s="17">
        <v>3</v>
      </c>
      <c r="I57" s="1">
        <v>7</v>
      </c>
      <c r="J57" s="1">
        <v>7</v>
      </c>
    </row>
    <row r="58" spans="1:10" ht="15.75" customHeight="1" x14ac:dyDescent="0.3">
      <c r="A58" s="15" t="s">
        <v>158</v>
      </c>
      <c r="B58" s="23" t="s">
        <v>178</v>
      </c>
      <c r="C58" s="15">
        <v>99</v>
      </c>
      <c r="D58" s="18">
        <v>6.8</v>
      </c>
      <c r="E58" s="15">
        <v>23.5</v>
      </c>
      <c r="F58" s="15">
        <v>0</v>
      </c>
      <c r="G58" s="15">
        <v>100</v>
      </c>
      <c r="H58" s="17">
        <v>3</v>
      </c>
      <c r="I58" s="1">
        <v>1</v>
      </c>
      <c r="J58" s="1">
        <v>1</v>
      </c>
    </row>
    <row r="59" spans="1:10" ht="15.75" customHeight="1" x14ac:dyDescent="0.3">
      <c r="A59" s="15" t="s">
        <v>158</v>
      </c>
      <c r="B59" s="23" t="s">
        <v>200</v>
      </c>
      <c r="C59" s="15">
        <v>89</v>
      </c>
      <c r="D59" s="18">
        <v>2.74</v>
      </c>
      <c r="E59" s="15">
        <v>23.5</v>
      </c>
      <c r="F59" s="15">
        <v>0</v>
      </c>
      <c r="G59" s="15">
        <v>0</v>
      </c>
      <c r="H59" s="17">
        <v>5</v>
      </c>
      <c r="I59" s="1">
        <v>13</v>
      </c>
      <c r="J59" s="1">
        <v>16</v>
      </c>
    </row>
    <row r="60" spans="1:10" ht="15.75" customHeight="1" x14ac:dyDescent="0.3">
      <c r="A60" s="15" t="s">
        <v>158</v>
      </c>
      <c r="B60" s="23" t="s">
        <v>200</v>
      </c>
      <c r="C60" s="15">
        <v>99</v>
      </c>
      <c r="D60" s="18">
        <v>0.32</v>
      </c>
      <c r="E60" s="15">
        <v>21.5</v>
      </c>
      <c r="F60" s="15">
        <v>0</v>
      </c>
      <c r="G60" s="15">
        <v>100</v>
      </c>
      <c r="H60" s="17">
        <v>5</v>
      </c>
      <c r="I60" s="1">
        <v>3</v>
      </c>
      <c r="J60" s="1">
        <v>3</v>
      </c>
    </row>
    <row r="61" spans="1:10" ht="15.75" customHeight="1" x14ac:dyDescent="0.3">
      <c r="A61" s="15" t="s">
        <v>158</v>
      </c>
      <c r="B61" s="23" t="s">
        <v>200</v>
      </c>
      <c r="C61" s="15">
        <v>87</v>
      </c>
      <c r="D61" s="18">
        <v>0.03</v>
      </c>
      <c r="E61" s="15">
        <v>23.2</v>
      </c>
      <c r="F61" s="15">
        <v>0</v>
      </c>
      <c r="G61" s="15">
        <v>100</v>
      </c>
      <c r="H61" s="17">
        <v>5</v>
      </c>
      <c r="I61" s="1">
        <v>3</v>
      </c>
      <c r="J61" s="1">
        <v>3</v>
      </c>
    </row>
    <row r="62" spans="1:10" ht="15.75" customHeight="1" x14ac:dyDescent="0.3">
      <c r="A62" s="15" t="s">
        <v>158</v>
      </c>
      <c r="B62" s="23" t="s">
        <v>200</v>
      </c>
      <c r="C62" s="15">
        <v>85</v>
      </c>
      <c r="D62" s="18">
        <v>0.04</v>
      </c>
      <c r="E62" s="15">
        <v>23.2</v>
      </c>
      <c r="F62" s="15">
        <v>0</v>
      </c>
      <c r="G62" s="15">
        <v>50</v>
      </c>
      <c r="H62" s="17">
        <v>5</v>
      </c>
      <c r="I62" s="1">
        <v>1</v>
      </c>
      <c r="J62" s="1">
        <v>1</v>
      </c>
    </row>
    <row r="63" spans="1:10" ht="15.75" customHeight="1" x14ac:dyDescent="0.3">
      <c r="A63" s="15" t="s">
        <v>158</v>
      </c>
      <c r="B63" s="23" t="s">
        <v>180</v>
      </c>
      <c r="C63" s="15">
        <v>88</v>
      </c>
      <c r="D63" s="18">
        <v>0.69</v>
      </c>
      <c r="E63" s="15">
        <v>23.4</v>
      </c>
      <c r="F63" s="15">
        <v>6</v>
      </c>
      <c r="G63" s="15">
        <v>100</v>
      </c>
      <c r="H63" s="17">
        <v>5</v>
      </c>
      <c r="I63" s="1">
        <v>8</v>
      </c>
      <c r="J63" s="1">
        <v>9</v>
      </c>
    </row>
    <row r="64" spans="1:10" ht="15.75" customHeight="1" x14ac:dyDescent="0.3">
      <c r="A64" s="15" t="s">
        <v>158</v>
      </c>
      <c r="B64" s="23" t="s">
        <v>180</v>
      </c>
      <c r="C64" s="15">
        <v>88</v>
      </c>
      <c r="D64" s="18">
        <v>1.86</v>
      </c>
      <c r="E64" s="15">
        <v>27.2</v>
      </c>
      <c r="F64" s="15">
        <v>0.6</v>
      </c>
      <c r="G64" s="15">
        <v>100</v>
      </c>
      <c r="H64" s="17">
        <v>5</v>
      </c>
      <c r="I64" s="1">
        <v>4</v>
      </c>
      <c r="J64" s="1">
        <v>4</v>
      </c>
    </row>
    <row r="65" spans="1:10" ht="15.75" customHeight="1" x14ac:dyDescent="0.3">
      <c r="A65" s="15" t="s">
        <v>158</v>
      </c>
      <c r="B65" s="23" t="s">
        <v>181</v>
      </c>
      <c r="C65" s="15">
        <v>80</v>
      </c>
      <c r="D65" s="18">
        <v>51.6</v>
      </c>
      <c r="E65" s="15">
        <v>28.7</v>
      </c>
      <c r="F65" s="15">
        <v>2.5</v>
      </c>
      <c r="G65" s="15">
        <v>0</v>
      </c>
      <c r="H65" s="17">
        <v>3</v>
      </c>
      <c r="I65" s="1">
        <v>5</v>
      </c>
      <c r="J65" s="1">
        <v>5</v>
      </c>
    </row>
    <row r="66" spans="1:10" ht="15.75" customHeight="1" x14ac:dyDescent="0.3">
      <c r="A66" s="15" t="s">
        <v>158</v>
      </c>
      <c r="B66" s="23" t="s">
        <v>198</v>
      </c>
      <c r="C66" s="15">
        <v>71</v>
      </c>
      <c r="D66" s="18">
        <v>7.17</v>
      </c>
      <c r="E66" s="15">
        <v>26.1</v>
      </c>
      <c r="F66" s="15">
        <v>1.9</v>
      </c>
      <c r="G66" s="15">
        <v>0</v>
      </c>
      <c r="H66" s="17">
        <v>3</v>
      </c>
      <c r="I66" s="1">
        <v>9</v>
      </c>
      <c r="J66" s="1">
        <v>11</v>
      </c>
    </row>
    <row r="67" spans="1:10" ht="15.75" customHeight="1" x14ac:dyDescent="0.3">
      <c r="A67" s="15" t="s">
        <v>158</v>
      </c>
      <c r="B67" s="23" t="s">
        <v>198</v>
      </c>
      <c r="C67" s="15">
        <v>74</v>
      </c>
      <c r="D67" s="18">
        <v>7.5</v>
      </c>
      <c r="E67" s="15">
        <v>26</v>
      </c>
      <c r="F67" s="15">
        <v>0</v>
      </c>
      <c r="G67" s="15">
        <v>100</v>
      </c>
      <c r="H67" s="17">
        <v>3</v>
      </c>
      <c r="I67" s="1">
        <v>1</v>
      </c>
      <c r="J67" s="1">
        <v>1</v>
      </c>
    </row>
    <row r="68" spans="1:10" ht="15.75" customHeight="1" x14ac:dyDescent="0.3">
      <c r="A68" s="15" t="s">
        <v>158</v>
      </c>
      <c r="B68" s="23" t="s">
        <v>198</v>
      </c>
      <c r="C68" s="15">
        <v>54</v>
      </c>
      <c r="D68" s="18">
        <v>10.85</v>
      </c>
      <c r="E68" s="15">
        <v>28.3</v>
      </c>
      <c r="F68" s="15">
        <v>1.45</v>
      </c>
      <c r="G68" s="15">
        <v>35</v>
      </c>
      <c r="H68" s="17">
        <v>3</v>
      </c>
      <c r="I68" s="1">
        <v>4</v>
      </c>
      <c r="J68" s="1">
        <v>4</v>
      </c>
    </row>
    <row r="69" spans="1:10" ht="15.75" customHeight="1" x14ac:dyDescent="0.3">
      <c r="A69" s="15" t="s">
        <v>158</v>
      </c>
      <c r="B69" s="23" t="s">
        <v>199</v>
      </c>
      <c r="C69" s="1">
        <v>72</v>
      </c>
      <c r="D69" s="1">
        <v>17.850000000000001</v>
      </c>
      <c r="E69" s="1">
        <v>26.9</v>
      </c>
      <c r="F69" s="1">
        <v>1.6</v>
      </c>
      <c r="G69" s="1">
        <v>90</v>
      </c>
      <c r="H69" s="17">
        <v>2</v>
      </c>
      <c r="I69" s="1">
        <v>2</v>
      </c>
      <c r="J69" s="1">
        <v>3</v>
      </c>
    </row>
    <row r="70" spans="1:10" ht="15.75" customHeight="1" x14ac:dyDescent="0.3">
      <c r="A70" s="15" t="s">
        <v>158</v>
      </c>
      <c r="B70" s="23" t="s">
        <v>199</v>
      </c>
      <c r="C70" s="15">
        <v>66</v>
      </c>
      <c r="D70" s="18">
        <v>6.27</v>
      </c>
      <c r="E70" s="15">
        <v>26.2</v>
      </c>
      <c r="F70" s="15">
        <v>0.8</v>
      </c>
      <c r="G70" s="15">
        <v>100</v>
      </c>
      <c r="H70" s="17">
        <v>2</v>
      </c>
      <c r="I70" s="1">
        <v>1</v>
      </c>
      <c r="J70" s="1">
        <v>1</v>
      </c>
    </row>
    <row r="71" spans="1:10" ht="15.75" customHeight="1" x14ac:dyDescent="0.3">
      <c r="A71" s="15" t="s">
        <v>158</v>
      </c>
      <c r="B71" s="23" t="s">
        <v>183</v>
      </c>
      <c r="C71" s="15">
        <v>77</v>
      </c>
      <c r="D71" s="18">
        <v>19</v>
      </c>
      <c r="E71" s="15">
        <v>23.9</v>
      </c>
      <c r="F71" s="15">
        <v>0</v>
      </c>
      <c r="G71" s="15">
        <v>100</v>
      </c>
      <c r="H71" s="17">
        <v>3</v>
      </c>
      <c r="I71" s="1">
        <v>4</v>
      </c>
      <c r="J71" s="1">
        <v>13</v>
      </c>
    </row>
    <row r="72" spans="1:10" ht="15.75" customHeight="1" x14ac:dyDescent="0.3">
      <c r="A72" s="15" t="s">
        <v>158</v>
      </c>
      <c r="B72" s="23" t="s">
        <v>183</v>
      </c>
      <c r="C72" s="15">
        <v>99</v>
      </c>
      <c r="D72" s="18">
        <v>29.59</v>
      </c>
      <c r="E72" s="15">
        <v>24.9</v>
      </c>
      <c r="F72" s="15">
        <v>0.65</v>
      </c>
      <c r="G72" s="15">
        <v>99</v>
      </c>
      <c r="H72" s="17">
        <v>3</v>
      </c>
      <c r="I72" s="1">
        <v>4</v>
      </c>
      <c r="J72" s="1">
        <v>7</v>
      </c>
    </row>
    <row r="73" spans="1:10" ht="15.75" customHeight="1" x14ac:dyDescent="0.3">
      <c r="A73" s="15" t="s">
        <v>158</v>
      </c>
      <c r="B73" s="23" t="s">
        <v>183</v>
      </c>
      <c r="C73" s="15">
        <v>74</v>
      </c>
      <c r="D73" s="18">
        <v>1.52</v>
      </c>
      <c r="E73" s="15">
        <v>19.829999999999998</v>
      </c>
      <c r="F73" s="15">
        <v>0.85</v>
      </c>
      <c r="G73" s="15">
        <v>100</v>
      </c>
      <c r="H73" s="17">
        <v>3</v>
      </c>
      <c r="I73" s="1">
        <v>2</v>
      </c>
      <c r="J73" s="1">
        <v>2</v>
      </c>
    </row>
    <row r="74" spans="1:10" ht="15.75" customHeight="1" x14ac:dyDescent="0.3">
      <c r="A74" s="15" t="s">
        <v>158</v>
      </c>
      <c r="B74" s="23" t="s">
        <v>185</v>
      </c>
      <c r="C74" s="15">
        <v>99</v>
      </c>
      <c r="D74" s="18">
        <v>27.94</v>
      </c>
      <c r="E74" s="15">
        <v>22.3</v>
      </c>
      <c r="F74" s="15">
        <v>1.2</v>
      </c>
      <c r="G74" s="15">
        <v>100</v>
      </c>
      <c r="H74" s="17">
        <v>1</v>
      </c>
      <c r="I74" s="1">
        <v>5</v>
      </c>
      <c r="J74" s="1">
        <v>15</v>
      </c>
    </row>
    <row r="75" spans="1:10" ht="15.75" customHeight="1" x14ac:dyDescent="0.3">
      <c r="A75" s="15" t="s">
        <v>158</v>
      </c>
      <c r="B75" s="23" t="s">
        <v>185</v>
      </c>
      <c r="C75" s="15">
        <v>80</v>
      </c>
      <c r="D75" s="18">
        <v>6.81</v>
      </c>
      <c r="E75" s="15">
        <v>19.03</v>
      </c>
      <c r="F75" s="15">
        <v>1.8</v>
      </c>
      <c r="G75" s="15">
        <v>100</v>
      </c>
      <c r="H75" s="17">
        <v>1</v>
      </c>
      <c r="I75" s="1">
        <v>2</v>
      </c>
      <c r="J75" s="1">
        <v>4</v>
      </c>
    </row>
    <row r="76" spans="1:10" ht="15.75" customHeight="1" x14ac:dyDescent="0.3">
      <c r="A76" s="15" t="s">
        <v>158</v>
      </c>
      <c r="B76" s="23" t="s">
        <v>186</v>
      </c>
      <c r="C76" s="15">
        <v>95</v>
      </c>
      <c r="D76" s="18">
        <v>0.4</v>
      </c>
      <c r="E76" s="15">
        <v>17.100000000000001</v>
      </c>
      <c r="F76" s="15">
        <v>0</v>
      </c>
      <c r="G76" s="15">
        <v>0</v>
      </c>
      <c r="H76" s="17">
        <v>6</v>
      </c>
      <c r="I76" s="1">
        <v>10</v>
      </c>
      <c r="J76" s="1">
        <v>33</v>
      </c>
    </row>
    <row r="77" spans="1:10" ht="15.75" customHeight="1" x14ac:dyDescent="0.3">
      <c r="A77" s="15" t="s">
        <v>158</v>
      </c>
      <c r="B77" s="23" t="s">
        <v>186</v>
      </c>
      <c r="C77" s="15">
        <v>95</v>
      </c>
      <c r="D77" s="18">
        <v>0.42</v>
      </c>
      <c r="E77" s="15">
        <v>17.2</v>
      </c>
      <c r="F77" s="15">
        <v>0</v>
      </c>
      <c r="G77" s="15">
        <v>100</v>
      </c>
      <c r="H77" s="17">
        <v>6</v>
      </c>
      <c r="I77" s="1">
        <v>1</v>
      </c>
      <c r="J77" s="1">
        <v>1</v>
      </c>
    </row>
    <row r="78" spans="1:10" ht="15.75" customHeight="1" x14ac:dyDescent="0.3">
      <c r="A78" s="15" t="s">
        <v>158</v>
      </c>
      <c r="B78" s="23" t="s">
        <v>186</v>
      </c>
      <c r="C78" s="15">
        <v>95</v>
      </c>
      <c r="D78" s="18">
        <v>0.41</v>
      </c>
      <c r="E78" s="15">
        <v>17.100000000000001</v>
      </c>
      <c r="F78" s="15">
        <v>0</v>
      </c>
      <c r="G78" s="15">
        <v>100</v>
      </c>
      <c r="H78" s="17">
        <v>6</v>
      </c>
      <c r="I78" s="1">
        <v>8</v>
      </c>
      <c r="J78" s="1">
        <v>11</v>
      </c>
    </row>
    <row r="79" spans="1:10" ht="15.75" customHeight="1" x14ac:dyDescent="0.3">
      <c r="A79" s="15" t="s">
        <v>158</v>
      </c>
      <c r="B79" s="23" t="s">
        <v>186</v>
      </c>
      <c r="C79" s="15">
        <v>87</v>
      </c>
      <c r="D79" s="18">
        <v>0.16</v>
      </c>
      <c r="E79" s="15">
        <v>20.2</v>
      </c>
      <c r="F79" s="15">
        <v>0</v>
      </c>
      <c r="G79" s="15">
        <v>100</v>
      </c>
      <c r="H79" s="17">
        <v>6</v>
      </c>
      <c r="I79" s="1">
        <v>6</v>
      </c>
      <c r="J79" s="1">
        <v>6</v>
      </c>
    </row>
    <row r="80" spans="1:10" ht="15.75" customHeight="1" x14ac:dyDescent="0.3">
      <c r="A80" s="15" t="s">
        <v>164</v>
      </c>
      <c r="B80" s="23" t="s">
        <v>176</v>
      </c>
      <c r="C80" s="15">
        <v>89</v>
      </c>
      <c r="D80" s="18">
        <v>1.36</v>
      </c>
      <c r="E80" s="15">
        <v>23.18</v>
      </c>
      <c r="F80" s="15">
        <v>0</v>
      </c>
      <c r="G80" s="15">
        <v>100</v>
      </c>
      <c r="H80" s="17">
        <v>4</v>
      </c>
      <c r="I80" s="1">
        <v>8</v>
      </c>
      <c r="J80" s="1">
        <v>11</v>
      </c>
    </row>
    <row r="81" spans="1:10" ht="15.75" customHeight="1" x14ac:dyDescent="0.3">
      <c r="A81" s="15" t="s">
        <v>164</v>
      </c>
      <c r="B81" s="23" t="s">
        <v>177</v>
      </c>
      <c r="C81" s="15">
        <v>94</v>
      </c>
      <c r="D81" s="18">
        <v>7.68</v>
      </c>
      <c r="E81" s="15">
        <v>26.7</v>
      </c>
      <c r="F81" s="15">
        <v>0.75</v>
      </c>
      <c r="G81" s="15">
        <v>100</v>
      </c>
      <c r="H81" s="17">
        <v>3</v>
      </c>
      <c r="I81" s="1">
        <v>6</v>
      </c>
      <c r="J81" s="1">
        <v>8</v>
      </c>
    </row>
    <row r="82" spans="1:10" ht="15.75" customHeight="1" x14ac:dyDescent="0.3">
      <c r="A82" s="15" t="s">
        <v>164</v>
      </c>
      <c r="B82" s="23" t="s">
        <v>177</v>
      </c>
      <c r="C82" s="15">
        <v>90</v>
      </c>
      <c r="D82" s="18">
        <v>1.5</v>
      </c>
      <c r="E82" s="15">
        <v>23.4</v>
      </c>
      <c r="F82" s="15">
        <v>0</v>
      </c>
      <c r="G82" s="15">
        <v>100</v>
      </c>
      <c r="H82" s="17">
        <v>3</v>
      </c>
      <c r="I82" s="1">
        <v>1</v>
      </c>
      <c r="J82" s="1">
        <v>1</v>
      </c>
    </row>
    <row r="83" spans="1:10" ht="15.75" customHeight="1" x14ac:dyDescent="0.3">
      <c r="A83" s="15" t="s">
        <v>164</v>
      </c>
      <c r="B83" s="23" t="s">
        <v>200</v>
      </c>
      <c r="C83" s="15">
        <v>91</v>
      </c>
      <c r="D83" s="18">
        <v>1.1499999999999999</v>
      </c>
      <c r="E83" s="15">
        <v>24.4</v>
      </c>
      <c r="F83" s="15">
        <v>0</v>
      </c>
      <c r="G83" s="15">
        <v>100</v>
      </c>
      <c r="H83" s="17">
        <v>5</v>
      </c>
      <c r="I83" s="1">
        <v>8</v>
      </c>
      <c r="J83" s="1">
        <v>8</v>
      </c>
    </row>
    <row r="84" spans="1:10" ht="15.75" customHeight="1" x14ac:dyDescent="0.3">
      <c r="A84" s="15" t="s">
        <v>164</v>
      </c>
      <c r="B84" s="23" t="s">
        <v>200</v>
      </c>
      <c r="C84" s="15">
        <v>94</v>
      </c>
      <c r="D84" s="18">
        <v>1.2</v>
      </c>
      <c r="E84" s="15">
        <v>24.4</v>
      </c>
      <c r="F84" s="15">
        <v>0</v>
      </c>
      <c r="G84" s="15">
        <v>100</v>
      </c>
      <c r="H84" s="17">
        <v>5</v>
      </c>
      <c r="I84" s="1">
        <v>1</v>
      </c>
      <c r="J84" s="1">
        <v>1</v>
      </c>
    </row>
    <row r="85" spans="1:10" ht="15.75" customHeight="1" x14ac:dyDescent="0.3">
      <c r="A85" s="15" t="s">
        <v>164</v>
      </c>
      <c r="B85" s="23" t="s">
        <v>200</v>
      </c>
      <c r="C85" s="15">
        <v>85</v>
      </c>
      <c r="D85" s="18">
        <v>1.3</v>
      </c>
      <c r="E85" s="15">
        <v>24.4</v>
      </c>
      <c r="F85" s="15">
        <v>0</v>
      </c>
      <c r="G85" s="15">
        <v>100</v>
      </c>
      <c r="H85" s="17">
        <v>5</v>
      </c>
      <c r="I85" s="1">
        <v>8</v>
      </c>
      <c r="J85" s="1">
        <v>8</v>
      </c>
    </row>
    <row r="86" spans="1:10" ht="15.75" customHeight="1" x14ac:dyDescent="0.3">
      <c r="A86" s="15" t="s">
        <v>164</v>
      </c>
      <c r="B86" s="23" t="s">
        <v>180</v>
      </c>
      <c r="C86" s="15">
        <v>91</v>
      </c>
      <c r="D86" s="18">
        <v>0.57999999999999996</v>
      </c>
      <c r="E86" s="15">
        <v>26.4</v>
      </c>
      <c r="F86" s="15">
        <v>0</v>
      </c>
      <c r="G86" s="15">
        <v>100</v>
      </c>
      <c r="H86" s="17">
        <v>5</v>
      </c>
      <c r="I86" s="1">
        <v>10</v>
      </c>
      <c r="J86" s="1">
        <v>10</v>
      </c>
    </row>
    <row r="87" spans="1:10" ht="15.75" customHeight="1" x14ac:dyDescent="0.3">
      <c r="A87" s="15" t="s">
        <v>164</v>
      </c>
      <c r="B87" s="23" t="s">
        <v>180</v>
      </c>
      <c r="C87" s="15">
        <v>91</v>
      </c>
      <c r="D87" s="18">
        <v>0.81</v>
      </c>
      <c r="E87" s="15">
        <v>23.28</v>
      </c>
      <c r="F87" s="15">
        <v>0</v>
      </c>
      <c r="G87" s="15">
        <v>100</v>
      </c>
      <c r="H87" s="17">
        <v>5</v>
      </c>
      <c r="I87" s="1">
        <v>5</v>
      </c>
      <c r="J87" s="1">
        <v>5</v>
      </c>
    </row>
    <row r="88" spans="1:10" ht="15.75" customHeight="1" x14ac:dyDescent="0.3">
      <c r="A88" s="15" t="s">
        <v>164</v>
      </c>
      <c r="B88" s="23" t="s">
        <v>181</v>
      </c>
      <c r="C88" s="15">
        <v>91</v>
      </c>
      <c r="D88" s="18">
        <v>0.81</v>
      </c>
      <c r="E88" s="15">
        <v>23.3</v>
      </c>
      <c r="F88" s="15">
        <v>0</v>
      </c>
      <c r="G88" s="15">
        <v>100</v>
      </c>
      <c r="H88" s="17">
        <v>3</v>
      </c>
      <c r="I88" s="1">
        <v>1</v>
      </c>
      <c r="J88" s="1">
        <v>2</v>
      </c>
    </row>
    <row r="89" spans="1:10" ht="15.75" customHeight="1" x14ac:dyDescent="0.3">
      <c r="A89" s="15" t="s">
        <v>164</v>
      </c>
      <c r="B89" s="23" t="s">
        <v>181</v>
      </c>
      <c r="C89" s="15">
        <v>99</v>
      </c>
      <c r="D89" s="18">
        <v>85.6</v>
      </c>
      <c r="E89" s="15">
        <v>28.5</v>
      </c>
      <c r="F89" s="15">
        <v>1.2</v>
      </c>
      <c r="G89" s="15">
        <v>100</v>
      </c>
      <c r="H89" s="17">
        <v>3</v>
      </c>
      <c r="I89" s="1">
        <v>1</v>
      </c>
      <c r="J89" s="1">
        <v>1</v>
      </c>
    </row>
    <row r="90" spans="1:10" ht="15.75" customHeight="1" x14ac:dyDescent="0.3">
      <c r="A90" s="15" t="s">
        <v>164</v>
      </c>
      <c r="B90" s="23" t="s">
        <v>181</v>
      </c>
      <c r="C90" s="15">
        <v>91</v>
      </c>
      <c r="D90" s="18">
        <v>13.15</v>
      </c>
      <c r="E90" s="15">
        <v>26.13</v>
      </c>
      <c r="F90" s="15">
        <v>0</v>
      </c>
      <c r="G90" s="15">
        <v>100</v>
      </c>
      <c r="H90" s="17">
        <v>3</v>
      </c>
      <c r="I90" s="1">
        <v>3</v>
      </c>
      <c r="J90" s="1">
        <v>3</v>
      </c>
    </row>
    <row r="91" spans="1:10" ht="15.75" customHeight="1" x14ac:dyDescent="0.3">
      <c r="A91" s="15" t="s">
        <v>164</v>
      </c>
      <c r="B91" s="23" t="s">
        <v>198</v>
      </c>
      <c r="C91" s="15">
        <v>75</v>
      </c>
      <c r="D91" s="18">
        <v>17.2</v>
      </c>
      <c r="E91" s="15">
        <v>28</v>
      </c>
      <c r="F91" s="15">
        <v>0</v>
      </c>
      <c r="G91" s="15">
        <v>100</v>
      </c>
      <c r="H91" s="17">
        <v>3</v>
      </c>
      <c r="I91" s="1">
        <v>2</v>
      </c>
      <c r="J91" s="1">
        <v>2</v>
      </c>
    </row>
    <row r="92" spans="1:10" s="44" customFormat="1" ht="15.75" customHeight="1" x14ac:dyDescent="0.3">
      <c r="A92" s="39" t="s">
        <v>164</v>
      </c>
      <c r="B92" s="40" t="s">
        <v>198</v>
      </c>
      <c r="C92" s="39">
        <v>93</v>
      </c>
      <c r="D92" s="42">
        <v>14.5</v>
      </c>
      <c r="E92" s="39">
        <v>28.73</v>
      </c>
      <c r="F92" s="39">
        <v>0</v>
      </c>
      <c r="G92" s="39">
        <v>100</v>
      </c>
      <c r="H92" s="43">
        <v>3</v>
      </c>
      <c r="I92" s="44">
        <v>6</v>
      </c>
      <c r="J92" s="44">
        <v>9</v>
      </c>
    </row>
    <row r="93" spans="1:10" ht="15.75" customHeight="1" x14ac:dyDescent="0.3">
      <c r="A93" s="15" t="s">
        <v>164</v>
      </c>
      <c r="B93" s="23" t="s">
        <v>198</v>
      </c>
      <c r="C93" s="15">
        <v>74</v>
      </c>
      <c r="D93" s="18">
        <v>18</v>
      </c>
      <c r="E93" s="15">
        <v>28</v>
      </c>
      <c r="F93" s="15">
        <v>0</v>
      </c>
      <c r="G93" s="15">
        <v>2</v>
      </c>
      <c r="H93" s="17">
        <v>3</v>
      </c>
      <c r="I93" s="1">
        <v>2</v>
      </c>
      <c r="J93" s="1">
        <v>2</v>
      </c>
    </row>
    <row r="94" spans="1:10" ht="15.75" customHeight="1" x14ac:dyDescent="0.3">
      <c r="A94" s="15" t="s">
        <v>164</v>
      </c>
      <c r="B94" s="23" t="s">
        <v>199</v>
      </c>
      <c r="C94" s="15">
        <v>92</v>
      </c>
      <c r="D94" s="18">
        <v>97.97</v>
      </c>
      <c r="E94" s="15">
        <v>28.73</v>
      </c>
      <c r="F94" s="15">
        <v>0.97</v>
      </c>
      <c r="G94" s="15">
        <v>100</v>
      </c>
      <c r="H94" s="17">
        <v>2</v>
      </c>
      <c r="I94" s="1">
        <v>0</v>
      </c>
      <c r="J94" s="1">
        <v>0</v>
      </c>
    </row>
    <row r="95" spans="1:10" ht="15.75" customHeight="1" x14ac:dyDescent="0.3">
      <c r="A95" s="15" t="s">
        <v>164</v>
      </c>
      <c r="B95" s="23" t="s">
        <v>199</v>
      </c>
      <c r="C95" s="15">
        <v>86.5</v>
      </c>
      <c r="D95" s="18">
        <v>33.18</v>
      </c>
      <c r="E95" s="15">
        <v>25.7</v>
      </c>
      <c r="F95" s="15">
        <v>1.2</v>
      </c>
      <c r="G95" s="15">
        <v>100</v>
      </c>
      <c r="H95" s="17">
        <v>2</v>
      </c>
      <c r="I95" s="1">
        <v>3</v>
      </c>
      <c r="J95" s="1">
        <v>6</v>
      </c>
    </row>
    <row r="96" spans="1:10" ht="15.75" customHeight="1" x14ac:dyDescent="0.3">
      <c r="A96" s="15" t="s">
        <v>164</v>
      </c>
      <c r="B96" s="23" t="s">
        <v>199</v>
      </c>
      <c r="C96" s="15">
        <v>70</v>
      </c>
      <c r="D96" s="18">
        <v>5.91</v>
      </c>
      <c r="E96" s="15">
        <v>20.5</v>
      </c>
      <c r="F96" s="15">
        <v>1.5</v>
      </c>
      <c r="G96" s="15">
        <v>2</v>
      </c>
      <c r="H96" s="17">
        <v>2</v>
      </c>
      <c r="I96" s="1">
        <v>3</v>
      </c>
      <c r="J96" s="1">
        <v>3</v>
      </c>
    </row>
    <row r="97" spans="1:10" ht="15.75" customHeight="1" x14ac:dyDescent="0.3">
      <c r="A97" s="15" t="s">
        <v>164</v>
      </c>
      <c r="B97" s="23" t="s">
        <v>183</v>
      </c>
      <c r="C97" s="15">
        <v>89</v>
      </c>
      <c r="D97" s="18">
        <v>7.61</v>
      </c>
      <c r="E97" s="15">
        <v>23.8</v>
      </c>
      <c r="F97" s="15">
        <v>0.75</v>
      </c>
      <c r="G97" s="15">
        <v>100</v>
      </c>
      <c r="H97" s="17">
        <v>3</v>
      </c>
      <c r="I97" s="1">
        <v>5</v>
      </c>
      <c r="J97" s="1">
        <v>10</v>
      </c>
    </row>
    <row r="98" spans="1:10" ht="15.75" customHeight="1" x14ac:dyDescent="0.3">
      <c r="A98" s="15" t="s">
        <v>164</v>
      </c>
      <c r="B98" s="23" t="s">
        <v>183</v>
      </c>
      <c r="C98" s="15">
        <v>81</v>
      </c>
      <c r="D98" s="18">
        <v>5.23</v>
      </c>
      <c r="E98" s="15">
        <v>27.03</v>
      </c>
      <c r="F98" s="15">
        <v>0</v>
      </c>
      <c r="G98" s="15">
        <v>100</v>
      </c>
      <c r="H98" s="17">
        <v>3</v>
      </c>
      <c r="I98" s="1">
        <v>4</v>
      </c>
      <c r="J98" s="1">
        <v>5</v>
      </c>
    </row>
    <row r="99" spans="1:10" ht="15.75" customHeight="1" x14ac:dyDescent="0.3">
      <c r="A99" s="15" t="s">
        <v>164</v>
      </c>
      <c r="B99" s="23" t="s">
        <v>185</v>
      </c>
      <c r="C99" s="15">
        <v>88</v>
      </c>
      <c r="D99" s="18">
        <v>24.87</v>
      </c>
      <c r="E99" s="15">
        <v>23.25</v>
      </c>
      <c r="F99" s="15">
        <v>0.45</v>
      </c>
      <c r="G99" s="15">
        <v>100</v>
      </c>
      <c r="H99" s="17">
        <v>1</v>
      </c>
      <c r="I99" s="1">
        <v>1</v>
      </c>
      <c r="J99" s="1">
        <v>1</v>
      </c>
    </row>
    <row r="100" spans="1:10" ht="15.75" customHeight="1" x14ac:dyDescent="0.3">
      <c r="A100" s="15" t="s">
        <v>164</v>
      </c>
      <c r="B100" s="23" t="s">
        <v>185</v>
      </c>
      <c r="C100" s="15">
        <v>72</v>
      </c>
      <c r="D100" s="18">
        <v>4.6399999999999997</v>
      </c>
      <c r="E100" s="15">
        <v>24.9</v>
      </c>
      <c r="F100" s="15">
        <v>3.17</v>
      </c>
      <c r="G100" s="15">
        <v>100</v>
      </c>
      <c r="H100" s="17">
        <v>1</v>
      </c>
      <c r="I100" s="1">
        <v>2</v>
      </c>
      <c r="J100" s="1">
        <v>4</v>
      </c>
    </row>
    <row r="101" spans="1:10" ht="15.75" customHeight="1" x14ac:dyDescent="0.3">
      <c r="A101" s="15" t="s">
        <v>164</v>
      </c>
      <c r="B101" s="23" t="s">
        <v>186</v>
      </c>
      <c r="C101" s="15">
        <v>86</v>
      </c>
      <c r="D101" s="18">
        <v>0.14000000000000001</v>
      </c>
      <c r="E101" s="15">
        <v>18.55</v>
      </c>
      <c r="F101" s="15">
        <v>0</v>
      </c>
      <c r="G101" s="15">
        <v>100</v>
      </c>
      <c r="H101" s="17">
        <v>6</v>
      </c>
      <c r="I101" s="1">
        <v>5</v>
      </c>
      <c r="J101" s="1">
        <v>5</v>
      </c>
    </row>
    <row r="102" spans="1:10" ht="15.75" customHeight="1" x14ac:dyDescent="0.3">
      <c r="A102" s="15" t="s">
        <v>164</v>
      </c>
      <c r="B102" s="23" t="s">
        <v>186</v>
      </c>
      <c r="C102" s="15">
        <v>87</v>
      </c>
      <c r="D102" s="18">
        <v>0.15</v>
      </c>
      <c r="E102" s="15">
        <v>15.2</v>
      </c>
      <c r="F102" s="15">
        <v>0</v>
      </c>
      <c r="G102" s="15">
        <v>100</v>
      </c>
      <c r="H102" s="17">
        <v>6</v>
      </c>
      <c r="I102" s="1">
        <v>3</v>
      </c>
      <c r="J102" s="1">
        <v>3</v>
      </c>
    </row>
    <row r="103" spans="1:10" ht="15.75" customHeight="1" x14ac:dyDescent="0.3">
      <c r="A103" s="15" t="s">
        <v>164</v>
      </c>
      <c r="B103" s="23" t="s">
        <v>186</v>
      </c>
      <c r="C103" s="15">
        <v>83</v>
      </c>
      <c r="D103" s="18">
        <v>0.20499999999999999</v>
      </c>
      <c r="E103" s="15">
        <v>24.8</v>
      </c>
      <c r="F103" s="15">
        <v>0</v>
      </c>
      <c r="G103" s="15">
        <v>100</v>
      </c>
      <c r="H103" s="17">
        <v>6</v>
      </c>
      <c r="I103" s="1">
        <v>0</v>
      </c>
      <c r="J103" s="1">
        <v>0</v>
      </c>
    </row>
    <row r="104" spans="1:10" ht="15.75" customHeight="1" x14ac:dyDescent="0.3">
      <c r="A104" s="15" t="s">
        <v>168</v>
      </c>
      <c r="B104" s="15" t="s">
        <v>176</v>
      </c>
      <c r="C104" s="15">
        <v>92</v>
      </c>
      <c r="D104" s="18">
        <v>0.14000000000000001</v>
      </c>
      <c r="E104" s="15">
        <v>22.5</v>
      </c>
      <c r="F104" s="15">
        <v>0</v>
      </c>
      <c r="G104" s="15">
        <v>100</v>
      </c>
      <c r="H104" s="17">
        <v>4</v>
      </c>
      <c r="I104" s="1">
        <v>6</v>
      </c>
      <c r="J104" s="1">
        <v>11</v>
      </c>
    </row>
    <row r="105" spans="1:10" ht="15.75" customHeight="1" x14ac:dyDescent="0.3">
      <c r="A105" s="15" t="s">
        <v>168</v>
      </c>
      <c r="B105" s="15" t="s">
        <v>176</v>
      </c>
      <c r="C105" s="15">
        <v>92</v>
      </c>
      <c r="D105" s="18">
        <v>0.14000000000000001</v>
      </c>
      <c r="E105" s="15">
        <v>22.5</v>
      </c>
      <c r="F105" s="15">
        <v>0</v>
      </c>
      <c r="G105" s="15">
        <v>60</v>
      </c>
      <c r="H105" s="17">
        <v>4</v>
      </c>
      <c r="I105" s="1">
        <v>1</v>
      </c>
      <c r="J105" s="1">
        <v>2</v>
      </c>
    </row>
    <row r="106" spans="1:10" ht="15.75" customHeight="1" x14ac:dyDescent="0.3">
      <c r="A106" s="15" t="s">
        <v>168</v>
      </c>
      <c r="B106" s="15" t="s">
        <v>177</v>
      </c>
      <c r="C106" s="15">
        <v>97</v>
      </c>
      <c r="D106" s="18">
        <v>4.5999999999999996</v>
      </c>
      <c r="E106" s="15">
        <v>24.3</v>
      </c>
      <c r="F106" s="15">
        <v>0</v>
      </c>
      <c r="G106" s="15">
        <v>100</v>
      </c>
      <c r="H106" s="17">
        <v>3</v>
      </c>
      <c r="I106" s="1">
        <v>17</v>
      </c>
      <c r="J106" s="1">
        <v>24</v>
      </c>
    </row>
    <row r="107" spans="1:10" ht="15.75" customHeight="1" x14ac:dyDescent="0.3">
      <c r="A107" s="15" t="s">
        <v>168</v>
      </c>
      <c r="B107" s="15" t="s">
        <v>200</v>
      </c>
      <c r="C107" s="15">
        <v>99</v>
      </c>
      <c r="D107" s="18">
        <v>24.2</v>
      </c>
      <c r="E107" s="15">
        <v>26.1</v>
      </c>
      <c r="F107" s="15">
        <v>0</v>
      </c>
      <c r="G107" s="15">
        <v>60</v>
      </c>
      <c r="H107" s="17">
        <v>5</v>
      </c>
      <c r="I107" s="1">
        <v>1</v>
      </c>
      <c r="J107" s="1">
        <v>1</v>
      </c>
    </row>
    <row r="108" spans="1:10" ht="15.75" customHeight="1" x14ac:dyDescent="0.3">
      <c r="A108" s="15" t="s">
        <v>168</v>
      </c>
      <c r="B108" s="15" t="s">
        <v>200</v>
      </c>
      <c r="C108" s="15">
        <v>99</v>
      </c>
      <c r="D108" s="18">
        <v>24.2</v>
      </c>
      <c r="E108" s="15">
        <v>26.1</v>
      </c>
      <c r="F108" s="15">
        <v>0</v>
      </c>
      <c r="G108" s="15">
        <v>35</v>
      </c>
      <c r="H108" s="17">
        <v>5</v>
      </c>
      <c r="I108" s="1">
        <v>11</v>
      </c>
      <c r="J108" s="1">
        <v>11</v>
      </c>
    </row>
    <row r="109" spans="1:10" ht="15.75" customHeight="1" x14ac:dyDescent="0.3">
      <c r="A109" s="15" t="s">
        <v>168</v>
      </c>
      <c r="B109" s="15" t="s">
        <v>200</v>
      </c>
      <c r="C109" s="15">
        <v>84</v>
      </c>
      <c r="D109" s="18">
        <v>0.17</v>
      </c>
      <c r="E109" s="15">
        <v>24</v>
      </c>
      <c r="F109" s="15">
        <v>0</v>
      </c>
      <c r="G109" s="15">
        <v>100</v>
      </c>
      <c r="H109" s="17">
        <v>5</v>
      </c>
      <c r="I109" s="1">
        <v>2</v>
      </c>
      <c r="J109" s="1">
        <v>2</v>
      </c>
    </row>
    <row r="110" spans="1:10" ht="15.75" customHeight="1" x14ac:dyDescent="0.3">
      <c r="A110" s="15" t="s">
        <v>168</v>
      </c>
      <c r="B110" s="15" t="s">
        <v>180</v>
      </c>
      <c r="C110" s="15">
        <v>97</v>
      </c>
      <c r="D110" s="18">
        <v>1.08</v>
      </c>
      <c r="E110" s="15">
        <v>25.4</v>
      </c>
      <c r="F110" s="15">
        <v>0</v>
      </c>
      <c r="G110" s="15">
        <v>100</v>
      </c>
      <c r="H110" s="17">
        <v>5</v>
      </c>
      <c r="I110" s="1">
        <v>6</v>
      </c>
      <c r="J110" s="1">
        <v>8</v>
      </c>
    </row>
    <row r="111" spans="1:10" ht="15.75" customHeight="1" x14ac:dyDescent="0.3">
      <c r="A111" s="15" t="s">
        <v>168</v>
      </c>
      <c r="B111" s="15" t="s">
        <v>180</v>
      </c>
      <c r="C111" s="15">
        <v>97</v>
      </c>
      <c r="D111" s="18">
        <v>1.08</v>
      </c>
      <c r="E111" s="15">
        <v>25.4</v>
      </c>
      <c r="F111" s="15">
        <v>0</v>
      </c>
      <c r="G111" s="15">
        <v>65</v>
      </c>
      <c r="H111" s="17">
        <v>5</v>
      </c>
      <c r="I111" s="1">
        <v>9</v>
      </c>
      <c r="J111" s="1">
        <v>9</v>
      </c>
    </row>
    <row r="112" spans="1:10" ht="15.75" customHeight="1" x14ac:dyDescent="0.3">
      <c r="A112" s="15" t="s">
        <v>168</v>
      </c>
      <c r="B112" s="1" t="s">
        <v>180</v>
      </c>
      <c r="C112" s="1">
        <v>80</v>
      </c>
      <c r="D112" s="46">
        <v>0.04</v>
      </c>
      <c r="E112" s="1">
        <v>25.3</v>
      </c>
      <c r="F112" s="1">
        <v>0</v>
      </c>
      <c r="G112" s="1">
        <v>100</v>
      </c>
      <c r="H112" s="2">
        <v>5</v>
      </c>
      <c r="I112" s="1">
        <v>0</v>
      </c>
      <c r="J112" s="1">
        <v>0</v>
      </c>
    </row>
    <row r="113" spans="1:10" ht="15.75" customHeight="1" x14ac:dyDescent="0.3">
      <c r="A113" s="15" t="s">
        <v>168</v>
      </c>
      <c r="B113" s="1" t="s">
        <v>181</v>
      </c>
      <c r="C113" s="1">
        <v>87</v>
      </c>
      <c r="D113" s="46">
        <v>9.8000000000000007</v>
      </c>
      <c r="E113" s="1">
        <v>34.5</v>
      </c>
      <c r="F113" s="1">
        <v>0</v>
      </c>
      <c r="G113" s="1">
        <v>90</v>
      </c>
      <c r="H113" s="2">
        <v>3</v>
      </c>
      <c r="I113" s="1">
        <v>4</v>
      </c>
      <c r="J113" s="1">
        <v>4</v>
      </c>
    </row>
    <row r="114" spans="1:10" ht="15.75" customHeight="1" x14ac:dyDescent="0.3">
      <c r="A114" s="15" t="s">
        <v>168</v>
      </c>
      <c r="B114" s="1" t="s">
        <v>181</v>
      </c>
      <c r="C114" s="1">
        <v>87</v>
      </c>
      <c r="D114" s="46">
        <v>9.8000000000000007</v>
      </c>
      <c r="E114" s="1">
        <v>34.5</v>
      </c>
      <c r="F114" s="1">
        <v>0</v>
      </c>
      <c r="G114" s="1">
        <v>0</v>
      </c>
      <c r="H114" s="2">
        <v>3</v>
      </c>
      <c r="I114" s="1">
        <v>3</v>
      </c>
      <c r="J114" s="1">
        <v>3</v>
      </c>
    </row>
    <row r="115" spans="1:10" ht="15.75" customHeight="1" x14ac:dyDescent="0.3">
      <c r="A115" s="15" t="s">
        <v>168</v>
      </c>
      <c r="B115" s="1" t="s">
        <v>181</v>
      </c>
      <c r="C115" s="1">
        <v>80</v>
      </c>
      <c r="D115" s="46">
        <v>1.5</v>
      </c>
      <c r="E115" s="1">
        <v>26.9</v>
      </c>
      <c r="F115" s="1">
        <v>0</v>
      </c>
      <c r="G115" s="1">
        <v>100</v>
      </c>
      <c r="H115" s="2">
        <v>3</v>
      </c>
      <c r="I115" s="1">
        <v>3</v>
      </c>
      <c r="J115" s="1">
        <v>4</v>
      </c>
    </row>
    <row r="116" spans="1:10" ht="15.75" customHeight="1" x14ac:dyDescent="0.3">
      <c r="A116" s="15" t="s">
        <v>168</v>
      </c>
      <c r="B116" s="1" t="s">
        <v>198</v>
      </c>
      <c r="C116" s="1">
        <v>81</v>
      </c>
      <c r="D116" s="46">
        <v>36.6</v>
      </c>
      <c r="E116" s="1">
        <v>31.4</v>
      </c>
      <c r="F116" s="1">
        <v>0.8</v>
      </c>
      <c r="G116" s="1">
        <v>96</v>
      </c>
      <c r="H116" s="2">
        <v>3</v>
      </c>
      <c r="I116" s="1">
        <v>7</v>
      </c>
      <c r="J116" s="1">
        <v>7</v>
      </c>
    </row>
    <row r="117" spans="1:10" ht="15.75" customHeight="1" x14ac:dyDescent="0.3">
      <c r="A117" s="15" t="s">
        <v>168</v>
      </c>
      <c r="B117" s="1" t="s">
        <v>198</v>
      </c>
      <c r="C117" s="1">
        <v>79</v>
      </c>
      <c r="D117" s="46">
        <v>13.35</v>
      </c>
      <c r="E117" s="1">
        <v>29.2</v>
      </c>
      <c r="F117" s="1">
        <v>0</v>
      </c>
      <c r="G117" s="1">
        <v>100</v>
      </c>
      <c r="H117" s="2">
        <v>3</v>
      </c>
      <c r="I117" s="1">
        <v>2</v>
      </c>
      <c r="J117" s="1">
        <v>2</v>
      </c>
    </row>
    <row r="118" spans="1:10" ht="15.75" customHeight="1" x14ac:dyDescent="0.3">
      <c r="A118" s="15" t="s">
        <v>168</v>
      </c>
      <c r="B118" s="1" t="s">
        <v>199</v>
      </c>
      <c r="C118" s="1">
        <v>92</v>
      </c>
      <c r="D118" s="46">
        <v>15.6</v>
      </c>
      <c r="E118" s="1">
        <v>23.5</v>
      </c>
      <c r="F118" s="1">
        <v>0.7</v>
      </c>
      <c r="G118" s="1">
        <v>2</v>
      </c>
      <c r="H118" s="2">
        <v>2</v>
      </c>
      <c r="I118" s="1">
        <v>1</v>
      </c>
      <c r="J118" s="1">
        <v>1</v>
      </c>
    </row>
    <row r="119" spans="1:10" ht="15.75" customHeight="1" x14ac:dyDescent="0.3">
      <c r="A119" s="15" t="s">
        <v>168</v>
      </c>
      <c r="B119" s="1" t="s">
        <v>199</v>
      </c>
      <c r="C119" s="1">
        <v>79</v>
      </c>
      <c r="D119" s="46">
        <v>7.6</v>
      </c>
      <c r="E119" s="1">
        <v>25.4</v>
      </c>
      <c r="F119" s="1">
        <v>0</v>
      </c>
      <c r="G119" s="1">
        <v>100</v>
      </c>
      <c r="H119" s="2">
        <v>2</v>
      </c>
      <c r="I119" s="1">
        <v>2</v>
      </c>
      <c r="J119" s="1">
        <v>5</v>
      </c>
    </row>
    <row r="120" spans="1:10" ht="15.75" customHeight="1" x14ac:dyDescent="0.3">
      <c r="A120" s="15" t="s">
        <v>168</v>
      </c>
      <c r="B120" s="1" t="s">
        <v>183</v>
      </c>
      <c r="C120" s="1">
        <v>89</v>
      </c>
      <c r="D120" s="46">
        <v>1.1000000000000001</v>
      </c>
      <c r="E120" s="1">
        <v>22.3</v>
      </c>
      <c r="F120" s="1">
        <v>0</v>
      </c>
      <c r="G120" s="1">
        <v>2</v>
      </c>
      <c r="H120" s="2">
        <v>3</v>
      </c>
      <c r="I120" s="1">
        <v>7</v>
      </c>
      <c r="J120" s="1">
        <v>10</v>
      </c>
    </row>
    <row r="121" spans="1:10" ht="15.75" customHeight="1" x14ac:dyDescent="0.3">
      <c r="A121" s="15" t="s">
        <v>168</v>
      </c>
      <c r="B121" s="1" t="s">
        <v>183</v>
      </c>
      <c r="C121" s="1">
        <v>89</v>
      </c>
      <c r="D121" s="46">
        <v>1</v>
      </c>
      <c r="E121" s="1">
        <v>22.2</v>
      </c>
      <c r="F121" s="1">
        <v>0</v>
      </c>
      <c r="G121" s="1">
        <v>100</v>
      </c>
      <c r="H121" s="2">
        <v>3</v>
      </c>
      <c r="I121" s="1">
        <v>4</v>
      </c>
      <c r="J121" s="1">
        <v>4</v>
      </c>
    </row>
    <row r="122" spans="1:10" ht="15.75" customHeight="1" x14ac:dyDescent="0.3">
      <c r="A122" s="15" t="s">
        <v>168</v>
      </c>
      <c r="B122" s="1" t="s">
        <v>183</v>
      </c>
      <c r="C122" s="1">
        <v>72</v>
      </c>
      <c r="D122" s="1">
        <v>0.75</v>
      </c>
      <c r="E122" s="1">
        <v>25</v>
      </c>
      <c r="F122" s="1">
        <v>0.9</v>
      </c>
      <c r="G122" s="1">
        <v>100</v>
      </c>
      <c r="H122" s="2">
        <v>3</v>
      </c>
      <c r="I122" s="1">
        <v>2</v>
      </c>
      <c r="J122" s="1">
        <v>3</v>
      </c>
    </row>
    <row r="123" spans="1:10" ht="15.75" customHeight="1" x14ac:dyDescent="0.3">
      <c r="A123" s="15" t="s">
        <v>168</v>
      </c>
      <c r="B123" s="1" t="s">
        <v>185</v>
      </c>
      <c r="C123" s="1">
        <v>60</v>
      </c>
      <c r="D123" s="46">
        <v>44</v>
      </c>
      <c r="E123" s="1">
        <v>32.6</v>
      </c>
      <c r="F123" s="1">
        <v>0</v>
      </c>
      <c r="G123" s="1">
        <v>85</v>
      </c>
      <c r="H123" s="2">
        <v>1</v>
      </c>
      <c r="I123" s="1">
        <v>2</v>
      </c>
      <c r="J123" s="1">
        <v>4</v>
      </c>
    </row>
    <row r="124" spans="1:10" ht="15.75" customHeight="1" x14ac:dyDescent="0.3">
      <c r="A124" s="15" t="s">
        <v>168</v>
      </c>
      <c r="B124" s="1" t="s">
        <v>185</v>
      </c>
      <c r="C124" s="1">
        <v>79</v>
      </c>
      <c r="D124" s="46">
        <v>39.200000000000003</v>
      </c>
      <c r="E124" s="1">
        <v>31.4</v>
      </c>
      <c r="F124" s="1">
        <v>0</v>
      </c>
      <c r="G124" s="1">
        <v>100</v>
      </c>
      <c r="H124" s="2">
        <v>1</v>
      </c>
      <c r="I124" s="1">
        <v>0</v>
      </c>
      <c r="J124" s="1">
        <v>0</v>
      </c>
    </row>
    <row r="125" spans="1:10" ht="15.75" customHeight="1" x14ac:dyDescent="0.3">
      <c r="A125" s="15" t="s">
        <v>168</v>
      </c>
      <c r="B125" s="1" t="s">
        <v>186</v>
      </c>
      <c r="C125" s="1">
        <v>76</v>
      </c>
      <c r="D125" s="46">
        <v>1.53</v>
      </c>
      <c r="E125" s="1">
        <v>25.4</v>
      </c>
      <c r="F125" s="1">
        <v>0</v>
      </c>
      <c r="G125" s="1">
        <v>100</v>
      </c>
      <c r="H125" s="2">
        <v>6</v>
      </c>
      <c r="I125" s="1">
        <v>4</v>
      </c>
      <c r="J125" s="1">
        <v>5</v>
      </c>
    </row>
    <row r="126" spans="1:10" ht="15.75" customHeight="1" x14ac:dyDescent="0.3">
      <c r="A126" s="1" t="s">
        <v>172</v>
      </c>
      <c r="B126" s="1" t="s">
        <v>176</v>
      </c>
      <c r="C126" s="1">
        <v>81</v>
      </c>
      <c r="D126" s="46">
        <v>1.6</v>
      </c>
      <c r="E126" s="1">
        <v>26.5</v>
      </c>
      <c r="F126" s="1">
        <v>0</v>
      </c>
      <c r="G126" s="1">
        <v>30</v>
      </c>
      <c r="H126" s="2">
        <v>4</v>
      </c>
      <c r="I126" s="1">
        <v>12</v>
      </c>
      <c r="J126" s="1">
        <v>18</v>
      </c>
    </row>
    <row r="127" spans="1:10" ht="15.75" customHeight="1" x14ac:dyDescent="0.3">
      <c r="A127" s="1" t="s">
        <v>172</v>
      </c>
      <c r="B127" s="1" t="s">
        <v>177</v>
      </c>
      <c r="C127" s="1">
        <v>96</v>
      </c>
      <c r="D127" s="46">
        <v>1.1299999999999999</v>
      </c>
      <c r="E127" s="1">
        <v>26.4</v>
      </c>
      <c r="F127" s="1">
        <v>0</v>
      </c>
      <c r="G127" s="1">
        <v>100</v>
      </c>
      <c r="H127" s="2">
        <v>3</v>
      </c>
      <c r="I127" s="1">
        <v>5</v>
      </c>
      <c r="J127" s="1">
        <v>5</v>
      </c>
    </row>
    <row r="128" spans="1:10" ht="15.75" customHeight="1" x14ac:dyDescent="0.3">
      <c r="A128" s="1" t="s">
        <v>172</v>
      </c>
      <c r="B128" s="1" t="s">
        <v>200</v>
      </c>
      <c r="C128" s="1">
        <v>99</v>
      </c>
      <c r="D128" s="46">
        <v>0.28000000000000003</v>
      </c>
      <c r="E128" s="1">
        <v>23.5</v>
      </c>
      <c r="F128" s="1">
        <v>0</v>
      </c>
      <c r="G128" s="1">
        <v>100</v>
      </c>
      <c r="H128" s="2">
        <v>5</v>
      </c>
      <c r="I128" s="1">
        <v>7</v>
      </c>
      <c r="J128" s="1">
        <v>10</v>
      </c>
    </row>
    <row r="129" spans="1:10" ht="15.75" customHeight="1" x14ac:dyDescent="0.3">
      <c r="A129" s="1" t="s">
        <v>172</v>
      </c>
      <c r="B129" s="1" t="s">
        <v>180</v>
      </c>
      <c r="C129" s="1">
        <v>96</v>
      </c>
      <c r="D129" s="46">
        <v>0.64</v>
      </c>
      <c r="E129" s="1">
        <v>24.9</v>
      </c>
      <c r="F129" s="1">
        <v>0</v>
      </c>
      <c r="G129" s="1">
        <v>100</v>
      </c>
      <c r="H129" s="2">
        <v>5</v>
      </c>
      <c r="I129" s="1">
        <v>9</v>
      </c>
      <c r="J129" s="1">
        <v>9</v>
      </c>
    </row>
    <row r="130" spans="1:10" ht="15.75" customHeight="1" x14ac:dyDescent="0.3">
      <c r="A130" s="1" t="s">
        <v>172</v>
      </c>
      <c r="B130" s="1" t="s">
        <v>181</v>
      </c>
      <c r="C130" s="1">
        <v>98</v>
      </c>
      <c r="D130" s="46">
        <v>2.2799999999999998</v>
      </c>
      <c r="E130" s="1">
        <v>23.7</v>
      </c>
      <c r="F130" s="1">
        <v>0</v>
      </c>
      <c r="G130" s="1">
        <v>100</v>
      </c>
      <c r="H130" s="2">
        <v>3</v>
      </c>
      <c r="I130" s="1">
        <v>4</v>
      </c>
      <c r="J130" s="1">
        <v>4</v>
      </c>
    </row>
    <row r="131" spans="1:10" ht="15.75" customHeight="1" x14ac:dyDescent="0.3">
      <c r="A131" s="1" t="s">
        <v>172</v>
      </c>
      <c r="B131" s="1" t="s">
        <v>198</v>
      </c>
      <c r="C131" s="1">
        <v>99</v>
      </c>
      <c r="D131" s="46">
        <v>7.2350000000000003</v>
      </c>
      <c r="E131" s="1">
        <v>24.6</v>
      </c>
      <c r="F131" s="1">
        <v>1.4</v>
      </c>
      <c r="G131" s="1">
        <v>100</v>
      </c>
      <c r="H131" s="2">
        <v>3</v>
      </c>
      <c r="I131" s="1">
        <v>10</v>
      </c>
      <c r="J131" s="1">
        <v>16</v>
      </c>
    </row>
    <row r="132" spans="1:10" ht="15.75" customHeight="1" x14ac:dyDescent="0.3">
      <c r="A132" s="1" t="s">
        <v>172</v>
      </c>
      <c r="B132" s="1" t="s">
        <v>199</v>
      </c>
      <c r="C132" s="1">
        <v>78</v>
      </c>
      <c r="D132" s="46">
        <v>17.850000000000001</v>
      </c>
      <c r="E132" s="1">
        <v>26.8</v>
      </c>
      <c r="F132" s="1">
        <v>0.7</v>
      </c>
      <c r="G132" s="1">
        <v>100</v>
      </c>
      <c r="H132" s="2">
        <v>2</v>
      </c>
      <c r="I132" s="1">
        <v>3</v>
      </c>
      <c r="J132" s="1">
        <v>3</v>
      </c>
    </row>
    <row r="133" spans="1:10" ht="15.75" customHeight="1" x14ac:dyDescent="0.3">
      <c r="A133" s="1" t="s">
        <v>172</v>
      </c>
      <c r="B133" s="1" t="s">
        <v>183</v>
      </c>
      <c r="C133" s="1">
        <v>92</v>
      </c>
      <c r="D133" s="46">
        <v>44.68</v>
      </c>
      <c r="E133" s="1">
        <v>23.2</v>
      </c>
      <c r="F133" s="1">
        <v>0.6</v>
      </c>
      <c r="G133" s="1">
        <v>0</v>
      </c>
      <c r="H133" s="2">
        <v>3</v>
      </c>
      <c r="I133" s="1">
        <v>8</v>
      </c>
      <c r="J133" s="1">
        <v>9</v>
      </c>
    </row>
    <row r="134" spans="1:10" ht="15.75" customHeight="1" x14ac:dyDescent="0.3">
      <c r="A134" s="1" t="s">
        <v>172</v>
      </c>
      <c r="B134" s="1" t="s">
        <v>183</v>
      </c>
      <c r="C134" s="1">
        <v>84</v>
      </c>
      <c r="D134" s="46">
        <v>0.5</v>
      </c>
      <c r="E134" s="1">
        <v>25.9</v>
      </c>
      <c r="F134" s="1">
        <v>0</v>
      </c>
      <c r="G134" s="1">
        <v>100</v>
      </c>
      <c r="H134" s="2">
        <v>3</v>
      </c>
      <c r="I134" s="1">
        <v>4</v>
      </c>
      <c r="J134" s="1">
        <v>4</v>
      </c>
    </row>
    <row r="135" spans="1:10" ht="15.75" customHeight="1" x14ac:dyDescent="0.3">
      <c r="A135" s="1" t="s">
        <v>172</v>
      </c>
      <c r="B135" s="1" t="s">
        <v>186</v>
      </c>
      <c r="C135" s="1">
        <v>83</v>
      </c>
      <c r="D135" s="46">
        <v>1.1299999999999999</v>
      </c>
      <c r="E135" s="1">
        <v>25.5</v>
      </c>
      <c r="F135" s="1">
        <v>0</v>
      </c>
      <c r="G135" s="1">
        <v>100</v>
      </c>
      <c r="H135" s="2">
        <v>6</v>
      </c>
      <c r="I135" s="1">
        <v>9</v>
      </c>
      <c r="J135" s="1">
        <v>19</v>
      </c>
    </row>
    <row r="136" spans="1:10" ht="15.75" customHeight="1" x14ac:dyDescent="0.3">
      <c r="D136" s="46"/>
    </row>
    <row r="137" spans="1:10" ht="15.75" customHeight="1" x14ac:dyDescent="0.3">
      <c r="D137" s="46"/>
    </row>
    <row r="138" spans="1:10" ht="15.75" customHeight="1" x14ac:dyDescent="0.3">
      <c r="D138" s="46"/>
    </row>
    <row r="139" spans="1:10" ht="15.75" customHeight="1" x14ac:dyDescent="0.3">
      <c r="D139" s="46"/>
    </row>
    <row r="140" spans="1:10" ht="15.75" customHeight="1" x14ac:dyDescent="0.3">
      <c r="D140" s="46"/>
    </row>
    <row r="141" spans="1:10" ht="15.75" customHeight="1" x14ac:dyDescent="0.3">
      <c r="D141" s="46"/>
    </row>
    <row r="142" spans="1:10" ht="15.75" customHeight="1" x14ac:dyDescent="0.3">
      <c r="D142" s="46"/>
    </row>
    <row r="143" spans="1:10" ht="15.75" customHeight="1" x14ac:dyDescent="0.3">
      <c r="D143" s="46"/>
    </row>
    <row r="144" spans="1:10" ht="15.75" customHeight="1" x14ac:dyDescent="0.3">
      <c r="D144" s="46"/>
    </row>
    <row r="145" spans="4:4" ht="15.75" customHeight="1" x14ac:dyDescent="0.3">
      <c r="D145" s="46"/>
    </row>
    <row r="146" spans="4:4" ht="15.75" customHeight="1" x14ac:dyDescent="0.3">
      <c r="D146" s="46"/>
    </row>
    <row r="147" spans="4:4" ht="15.75" customHeight="1" x14ac:dyDescent="0.3">
      <c r="D147" s="46"/>
    </row>
    <row r="148" spans="4:4" ht="15.75" customHeight="1" x14ac:dyDescent="0.3">
      <c r="D148" s="46"/>
    </row>
    <row r="149" spans="4:4" ht="15.75" customHeight="1" x14ac:dyDescent="0.3">
      <c r="D149" s="46"/>
    </row>
    <row r="150" spans="4:4" ht="15.75" customHeight="1" x14ac:dyDescent="0.3">
      <c r="D150" s="46"/>
    </row>
    <row r="151" spans="4:4" ht="15.75" customHeight="1" x14ac:dyDescent="0.3">
      <c r="D151" s="46"/>
    </row>
    <row r="152" spans="4:4" ht="15.75" customHeight="1" x14ac:dyDescent="0.3">
      <c r="D152" s="46"/>
    </row>
    <row r="153" spans="4:4" ht="15.75" customHeight="1" x14ac:dyDescent="0.3">
      <c r="D153" s="46"/>
    </row>
    <row r="154" spans="4:4" ht="15.75" customHeight="1" x14ac:dyDescent="0.3">
      <c r="D154" s="46"/>
    </row>
    <row r="155" spans="4:4" ht="15.75" customHeight="1" x14ac:dyDescent="0.3">
      <c r="D155" s="46"/>
    </row>
    <row r="156" spans="4:4" ht="15.75" customHeight="1" x14ac:dyDescent="0.3">
      <c r="D156" s="46"/>
    </row>
    <row r="157" spans="4:4" ht="15.75" customHeight="1" x14ac:dyDescent="0.3">
      <c r="D157" s="46"/>
    </row>
    <row r="158" spans="4:4" ht="15.75" customHeight="1" x14ac:dyDescent="0.3">
      <c r="D158" s="46"/>
    </row>
    <row r="159" spans="4:4" ht="15.75" customHeight="1" x14ac:dyDescent="0.3">
      <c r="D159" s="46"/>
    </row>
    <row r="160" spans="4:4" ht="15.75" customHeight="1" x14ac:dyDescent="0.3">
      <c r="D160" s="46"/>
    </row>
    <row r="161" spans="4:4" ht="15.75" customHeight="1" x14ac:dyDescent="0.3">
      <c r="D161" s="46"/>
    </row>
    <row r="162" spans="4:4" ht="15.75" customHeight="1" x14ac:dyDescent="0.3">
      <c r="D162" s="46"/>
    </row>
    <row r="163" spans="4:4" ht="15.75" customHeight="1" x14ac:dyDescent="0.3">
      <c r="D163" s="46"/>
    </row>
    <row r="164" spans="4:4" ht="15.75" customHeight="1" x14ac:dyDescent="0.3">
      <c r="D164" s="46"/>
    </row>
    <row r="165" spans="4:4" ht="15.75" customHeight="1" x14ac:dyDescent="0.3">
      <c r="D165" s="46"/>
    </row>
    <row r="166" spans="4:4" ht="15.75" customHeight="1" x14ac:dyDescent="0.3">
      <c r="D166" s="46"/>
    </row>
    <row r="167" spans="4:4" ht="15.75" customHeight="1" x14ac:dyDescent="0.3">
      <c r="D167" s="46"/>
    </row>
    <row r="168" spans="4:4" ht="15.75" customHeight="1" x14ac:dyDescent="0.3">
      <c r="D168" s="46"/>
    </row>
    <row r="169" spans="4:4" ht="15.75" customHeight="1" x14ac:dyDescent="0.3">
      <c r="D169" s="46"/>
    </row>
    <row r="170" spans="4:4" ht="15.75" customHeight="1" x14ac:dyDescent="0.3">
      <c r="D170" s="46"/>
    </row>
    <row r="171" spans="4:4" ht="15.75" customHeight="1" x14ac:dyDescent="0.3">
      <c r="D171" s="46"/>
    </row>
    <row r="172" spans="4:4" ht="15.75" customHeight="1" x14ac:dyDescent="0.3">
      <c r="D172" s="46"/>
    </row>
    <row r="173" spans="4:4" ht="15.75" customHeight="1" x14ac:dyDescent="0.3">
      <c r="D173" s="46"/>
    </row>
    <row r="174" spans="4:4" ht="15.75" customHeight="1" x14ac:dyDescent="0.3">
      <c r="D174" s="46"/>
    </row>
    <row r="175" spans="4:4" ht="15.75" customHeight="1" x14ac:dyDescent="0.3">
      <c r="D175" s="46"/>
    </row>
    <row r="176" spans="4:4" ht="15.75" customHeight="1" x14ac:dyDescent="0.3">
      <c r="D176" s="46"/>
    </row>
    <row r="177" spans="4:4" ht="15.75" customHeight="1" x14ac:dyDescent="0.3">
      <c r="D177" s="46"/>
    </row>
    <row r="178" spans="4:4" ht="15.75" customHeight="1" x14ac:dyDescent="0.3">
      <c r="D178" s="46"/>
    </row>
    <row r="179" spans="4:4" ht="15.75" customHeight="1" x14ac:dyDescent="0.3">
      <c r="D179" s="46"/>
    </row>
    <row r="180" spans="4:4" ht="15.75" customHeight="1" x14ac:dyDescent="0.3">
      <c r="D180" s="46"/>
    </row>
    <row r="181" spans="4:4" ht="15.75" customHeight="1" x14ac:dyDescent="0.3">
      <c r="D181" s="46"/>
    </row>
    <row r="182" spans="4:4" ht="15.75" customHeight="1" x14ac:dyDescent="0.3">
      <c r="D182" s="46"/>
    </row>
    <row r="183" spans="4:4" ht="15.75" customHeight="1" x14ac:dyDescent="0.3">
      <c r="D183" s="46"/>
    </row>
    <row r="184" spans="4:4" ht="15.75" customHeight="1" x14ac:dyDescent="0.3">
      <c r="D184" s="46"/>
    </row>
    <row r="185" spans="4:4" ht="15.75" customHeight="1" x14ac:dyDescent="0.3">
      <c r="D185" s="46"/>
    </row>
    <row r="186" spans="4:4" ht="15.75" customHeight="1" x14ac:dyDescent="0.3">
      <c r="D186" s="46"/>
    </row>
    <row r="187" spans="4:4" ht="15.75" customHeight="1" x14ac:dyDescent="0.3">
      <c r="D187" s="46"/>
    </row>
    <row r="188" spans="4:4" ht="15.75" customHeight="1" x14ac:dyDescent="0.3">
      <c r="D188" s="46"/>
    </row>
    <row r="189" spans="4:4" ht="15.75" customHeight="1" x14ac:dyDescent="0.3">
      <c r="D189" s="46"/>
    </row>
    <row r="190" spans="4:4" ht="15.75" customHeight="1" x14ac:dyDescent="0.3">
      <c r="D190" s="46"/>
    </row>
    <row r="191" spans="4:4" ht="15.75" customHeight="1" x14ac:dyDescent="0.3">
      <c r="D191" s="46"/>
    </row>
    <row r="192" spans="4:4" ht="15.75" customHeight="1" x14ac:dyDescent="0.3">
      <c r="D192" s="46"/>
    </row>
    <row r="193" spans="4:4" ht="15.75" customHeight="1" x14ac:dyDescent="0.3">
      <c r="D193" s="46"/>
    </row>
    <row r="194" spans="4:4" ht="15.75" customHeight="1" x14ac:dyDescent="0.3">
      <c r="D194" s="46"/>
    </row>
    <row r="195" spans="4:4" ht="15.75" customHeight="1" x14ac:dyDescent="0.3">
      <c r="D195" s="46"/>
    </row>
    <row r="196" spans="4:4" ht="15.75" customHeight="1" x14ac:dyDescent="0.3">
      <c r="D196" s="46"/>
    </row>
    <row r="197" spans="4:4" ht="15.75" customHeight="1" x14ac:dyDescent="0.3">
      <c r="D197" s="46"/>
    </row>
    <row r="198" spans="4:4" ht="15.75" customHeight="1" x14ac:dyDescent="0.3">
      <c r="D198" s="46"/>
    </row>
    <row r="199" spans="4:4" ht="15.75" customHeight="1" x14ac:dyDescent="0.3">
      <c r="D199" s="46"/>
    </row>
    <row r="200" spans="4:4" ht="15.75" customHeight="1" x14ac:dyDescent="0.3">
      <c r="D200" s="46"/>
    </row>
    <row r="201" spans="4:4" ht="15.75" customHeight="1" x14ac:dyDescent="0.3">
      <c r="D201" s="46"/>
    </row>
    <row r="202" spans="4:4" ht="15.75" customHeight="1" x14ac:dyDescent="0.3">
      <c r="D202" s="46"/>
    </row>
    <row r="203" spans="4:4" ht="15.75" customHeight="1" x14ac:dyDescent="0.3">
      <c r="D203" s="46"/>
    </row>
    <row r="204" spans="4:4" ht="15.75" customHeight="1" x14ac:dyDescent="0.3">
      <c r="D204" s="46"/>
    </row>
    <row r="205" spans="4:4" ht="15.75" customHeight="1" x14ac:dyDescent="0.3">
      <c r="D205" s="46"/>
    </row>
    <row r="206" spans="4:4" ht="15.75" customHeight="1" x14ac:dyDescent="0.3">
      <c r="D206" s="46"/>
    </row>
    <row r="207" spans="4:4" ht="15.75" customHeight="1" x14ac:dyDescent="0.3">
      <c r="D207" s="46"/>
    </row>
    <row r="208" spans="4:4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015"/>
  <sheetViews>
    <sheetView topLeftCell="A2" zoomScale="80" workbookViewId="0">
      <selection activeCell="N21" sqref="N21"/>
    </sheetView>
  </sheetViews>
  <sheetFormatPr defaultColWidth="12.77734375" defaultRowHeight="14.4" x14ac:dyDescent="0.3"/>
  <cols>
    <col min="1" max="1" width="7.21875" style="1" customWidth="1"/>
    <col min="2" max="2" width="14.77734375" style="1" customWidth="1"/>
    <col min="3" max="3" width="6.44140625" style="1" customWidth="1"/>
    <col min="4" max="4" width="8" style="1" customWidth="1"/>
    <col min="5" max="5" width="6.21875" style="1" customWidth="1"/>
    <col min="6" max="6" width="6" style="1" customWidth="1"/>
    <col min="7" max="7" width="10" style="1" customWidth="1"/>
    <col min="8" max="8" width="11.44140625" style="2" customWidth="1"/>
    <col min="9" max="16384" width="12.77734375" style="1"/>
  </cols>
  <sheetData>
    <row r="1" spans="1:10" ht="15" hidden="1" customHeight="1" x14ac:dyDescent="0.3">
      <c r="H1" s="3"/>
    </row>
    <row r="2" spans="1:10" ht="234.6" x14ac:dyDescent="0.3">
      <c r="A2" s="6" t="s">
        <v>7</v>
      </c>
      <c r="B2" s="6" t="s">
        <v>8</v>
      </c>
      <c r="C2" s="7" t="s">
        <v>14</v>
      </c>
      <c r="D2" s="9" t="s">
        <v>15</v>
      </c>
      <c r="E2" s="7" t="s">
        <v>16</v>
      </c>
      <c r="F2" s="7" t="s">
        <v>17</v>
      </c>
      <c r="G2" s="7" t="s">
        <v>18</v>
      </c>
      <c r="H2" s="8" t="s">
        <v>21</v>
      </c>
      <c r="I2" s="1" t="s">
        <v>174</v>
      </c>
      <c r="J2" s="1" t="s">
        <v>175</v>
      </c>
    </row>
    <row r="3" spans="1:10" ht="15.75" customHeight="1" x14ac:dyDescent="0.3">
      <c r="A3" s="15" t="s">
        <v>119</v>
      </c>
      <c r="B3" s="16" t="s">
        <v>177</v>
      </c>
      <c r="C3" s="15">
        <v>78</v>
      </c>
      <c r="D3" s="18">
        <v>1.915</v>
      </c>
      <c r="E3" s="15">
        <v>23.8</v>
      </c>
      <c r="F3" s="15">
        <v>0.8</v>
      </c>
      <c r="G3" s="15"/>
      <c r="H3" s="17">
        <v>3</v>
      </c>
      <c r="I3" s="1">
        <v>7</v>
      </c>
      <c r="J3" s="1">
        <v>14</v>
      </c>
    </row>
    <row r="4" spans="1:10" ht="15.75" customHeight="1" x14ac:dyDescent="0.3">
      <c r="A4" s="15" t="s">
        <v>119</v>
      </c>
      <c r="B4" s="16" t="s">
        <v>200</v>
      </c>
      <c r="C4" s="20">
        <v>80</v>
      </c>
      <c r="D4" s="18">
        <v>0.4</v>
      </c>
      <c r="E4" s="15">
        <v>32</v>
      </c>
      <c r="F4" s="15">
        <v>0</v>
      </c>
      <c r="G4" s="15"/>
      <c r="H4" s="17">
        <v>5</v>
      </c>
      <c r="I4" s="1">
        <v>3</v>
      </c>
      <c r="J4" s="1">
        <v>3</v>
      </c>
    </row>
    <row r="5" spans="1:10" ht="15.75" customHeight="1" x14ac:dyDescent="0.3">
      <c r="A5" s="15" t="s">
        <v>119</v>
      </c>
      <c r="B5" s="16" t="s">
        <v>200</v>
      </c>
      <c r="C5" s="20">
        <v>80</v>
      </c>
      <c r="D5" s="18">
        <v>0.52</v>
      </c>
      <c r="E5" s="15">
        <v>33</v>
      </c>
      <c r="F5" s="15">
        <v>0</v>
      </c>
      <c r="G5" s="15"/>
      <c r="H5" s="17">
        <v>5</v>
      </c>
      <c r="I5" s="1">
        <v>1</v>
      </c>
      <c r="J5" s="1">
        <v>1</v>
      </c>
    </row>
    <row r="6" spans="1:10" ht="15.75" customHeight="1" x14ac:dyDescent="0.3">
      <c r="A6" s="15" t="s">
        <v>119</v>
      </c>
      <c r="B6" s="16" t="s">
        <v>200</v>
      </c>
      <c r="C6" s="20">
        <v>80</v>
      </c>
      <c r="D6" s="18">
        <v>0.4</v>
      </c>
      <c r="E6" s="15">
        <v>36</v>
      </c>
      <c r="F6" s="15">
        <v>0</v>
      </c>
      <c r="G6" s="15"/>
      <c r="H6" s="17">
        <v>5</v>
      </c>
      <c r="I6" s="1">
        <v>1</v>
      </c>
      <c r="J6" s="1">
        <v>1</v>
      </c>
    </row>
    <row r="7" spans="1:10" ht="15.75" customHeight="1" x14ac:dyDescent="0.3">
      <c r="A7" s="15" t="s">
        <v>119</v>
      </c>
      <c r="B7" s="16" t="s">
        <v>200</v>
      </c>
      <c r="C7" s="20">
        <v>80</v>
      </c>
      <c r="D7" s="18">
        <v>0.4</v>
      </c>
      <c r="E7" s="15">
        <v>32</v>
      </c>
      <c r="F7" s="15">
        <v>0</v>
      </c>
      <c r="G7" s="15"/>
      <c r="H7" s="17">
        <v>5</v>
      </c>
      <c r="I7" s="1">
        <v>2</v>
      </c>
      <c r="J7" s="1">
        <v>2</v>
      </c>
    </row>
    <row r="8" spans="1:10" ht="15.75" customHeight="1" x14ac:dyDescent="0.3">
      <c r="A8" s="15" t="s">
        <v>119</v>
      </c>
      <c r="B8" s="16" t="s">
        <v>200</v>
      </c>
      <c r="C8" s="20">
        <v>80</v>
      </c>
      <c r="D8" s="18">
        <v>0.4</v>
      </c>
      <c r="E8" s="15">
        <v>33</v>
      </c>
      <c r="F8" s="15">
        <v>0</v>
      </c>
      <c r="G8" s="15"/>
      <c r="H8" s="17">
        <v>5</v>
      </c>
      <c r="I8" s="1">
        <v>1</v>
      </c>
      <c r="J8" s="1">
        <v>1</v>
      </c>
    </row>
    <row r="9" spans="1:10" ht="15.75" customHeight="1" x14ac:dyDescent="0.3">
      <c r="A9" s="15" t="s">
        <v>119</v>
      </c>
      <c r="B9" s="16" t="s">
        <v>200</v>
      </c>
      <c r="C9" s="20">
        <v>80</v>
      </c>
      <c r="D9" s="18">
        <v>0.51</v>
      </c>
      <c r="E9" s="15">
        <v>32</v>
      </c>
      <c r="F9" s="15">
        <v>0</v>
      </c>
      <c r="G9" s="15"/>
      <c r="H9" s="17">
        <v>5</v>
      </c>
      <c r="I9" s="1">
        <v>3</v>
      </c>
      <c r="J9" s="1">
        <v>3</v>
      </c>
    </row>
    <row r="10" spans="1:10" ht="15.75" customHeight="1" x14ac:dyDescent="0.3">
      <c r="A10" s="15" t="s">
        <v>119</v>
      </c>
      <c r="B10" s="16" t="s">
        <v>200</v>
      </c>
      <c r="C10" s="20">
        <v>80</v>
      </c>
      <c r="D10" s="18">
        <v>0.5</v>
      </c>
      <c r="E10" s="15">
        <v>23</v>
      </c>
      <c r="F10" s="15">
        <v>0</v>
      </c>
      <c r="G10" s="15"/>
      <c r="H10" s="17">
        <v>5</v>
      </c>
      <c r="I10" s="1">
        <v>1</v>
      </c>
      <c r="J10" s="1">
        <v>1</v>
      </c>
    </row>
    <row r="11" spans="1:10" ht="15.75" customHeight="1" x14ac:dyDescent="0.3">
      <c r="A11" s="15" t="s">
        <v>119</v>
      </c>
      <c r="B11" s="16" t="s">
        <v>200</v>
      </c>
      <c r="C11" s="15">
        <v>81</v>
      </c>
      <c r="D11" s="18">
        <v>2.0499999999999998</v>
      </c>
      <c r="E11" s="15">
        <v>24.9</v>
      </c>
      <c r="F11" s="15">
        <v>0</v>
      </c>
      <c r="G11" s="15"/>
      <c r="H11" s="17">
        <v>5</v>
      </c>
      <c r="I11" s="1">
        <v>3</v>
      </c>
      <c r="J11" s="1">
        <v>3</v>
      </c>
    </row>
    <row r="12" spans="1:10" ht="15.75" customHeight="1" x14ac:dyDescent="0.3">
      <c r="A12" s="15" t="s">
        <v>119</v>
      </c>
      <c r="B12" s="16" t="s">
        <v>180</v>
      </c>
      <c r="C12" s="15">
        <v>81</v>
      </c>
      <c r="D12" s="18">
        <v>1.2809999999999999</v>
      </c>
      <c r="E12" s="15">
        <v>24.9</v>
      </c>
      <c r="F12" s="15">
        <v>0.8</v>
      </c>
      <c r="G12" s="15"/>
      <c r="H12" s="17">
        <v>5</v>
      </c>
      <c r="I12" s="1">
        <v>3</v>
      </c>
      <c r="J12" s="1">
        <v>3</v>
      </c>
    </row>
    <row r="13" spans="1:10" ht="15.75" customHeight="1" x14ac:dyDescent="0.3">
      <c r="A13" s="15" t="s">
        <v>119</v>
      </c>
      <c r="B13" s="16" t="s">
        <v>180</v>
      </c>
      <c r="C13" s="18">
        <v>68.67</v>
      </c>
      <c r="D13" s="18">
        <v>94.13</v>
      </c>
      <c r="E13" s="15">
        <v>25</v>
      </c>
      <c r="F13" s="15">
        <v>1.2</v>
      </c>
      <c r="G13" s="15"/>
      <c r="H13" s="17">
        <v>5</v>
      </c>
      <c r="I13" s="1">
        <v>1</v>
      </c>
      <c r="J13" s="1">
        <v>1</v>
      </c>
    </row>
    <row r="14" spans="1:10" ht="15.75" customHeight="1" x14ac:dyDescent="0.3">
      <c r="A14" s="15" t="s">
        <v>119</v>
      </c>
      <c r="B14" s="16" t="s">
        <v>181</v>
      </c>
      <c r="C14" s="15">
        <v>80</v>
      </c>
      <c r="D14" s="18">
        <v>9.35</v>
      </c>
      <c r="E14" s="15">
        <v>25.5</v>
      </c>
      <c r="F14" s="15">
        <v>2.6</v>
      </c>
      <c r="G14" s="15"/>
      <c r="H14" s="17">
        <v>3</v>
      </c>
      <c r="I14" s="1">
        <v>3</v>
      </c>
      <c r="J14" s="1">
        <v>3</v>
      </c>
    </row>
    <row r="15" spans="1:10" ht="15.75" customHeight="1" x14ac:dyDescent="0.3">
      <c r="A15" s="15" t="s">
        <v>119</v>
      </c>
      <c r="B15" s="16" t="s">
        <v>181</v>
      </c>
      <c r="C15" s="15">
        <v>68.58</v>
      </c>
      <c r="D15" s="18">
        <v>6.6</v>
      </c>
      <c r="E15" s="15">
        <v>25.7</v>
      </c>
      <c r="F15" s="15">
        <v>2.1</v>
      </c>
      <c r="G15" s="15"/>
      <c r="H15" s="17">
        <v>3</v>
      </c>
      <c r="I15" s="1">
        <v>3</v>
      </c>
      <c r="J15" s="1">
        <v>3</v>
      </c>
    </row>
    <row r="16" spans="1:10" ht="15.75" customHeight="1" x14ac:dyDescent="0.3">
      <c r="A16" s="15" t="s">
        <v>119</v>
      </c>
      <c r="B16" s="16" t="s">
        <v>181</v>
      </c>
      <c r="C16" s="20">
        <v>70</v>
      </c>
      <c r="D16" s="18">
        <v>4.2</v>
      </c>
      <c r="E16" s="15">
        <v>23</v>
      </c>
      <c r="F16" s="15">
        <v>0</v>
      </c>
      <c r="G16" s="15"/>
      <c r="H16" s="17">
        <v>3</v>
      </c>
      <c r="I16" s="1">
        <v>2</v>
      </c>
      <c r="J16" s="1">
        <v>2</v>
      </c>
    </row>
    <row r="17" spans="1:10" ht="15.75" customHeight="1" x14ac:dyDescent="0.3">
      <c r="A17" s="15" t="s">
        <v>119</v>
      </c>
      <c r="B17" s="16" t="s">
        <v>198</v>
      </c>
      <c r="C17" s="20">
        <v>70</v>
      </c>
      <c r="D17" s="18">
        <v>4.2</v>
      </c>
      <c r="E17" s="15">
        <v>21</v>
      </c>
      <c r="F17" s="15">
        <v>0</v>
      </c>
      <c r="G17" s="15"/>
      <c r="H17" s="17">
        <v>3</v>
      </c>
      <c r="I17" s="1">
        <v>4</v>
      </c>
      <c r="J17" s="1">
        <v>4</v>
      </c>
    </row>
    <row r="18" spans="1:10" ht="15.75" customHeight="1" x14ac:dyDescent="0.3">
      <c r="A18" s="15" t="s">
        <v>119</v>
      </c>
      <c r="B18" s="16" t="s">
        <v>198</v>
      </c>
      <c r="C18" s="20">
        <v>70</v>
      </c>
      <c r="D18" s="18">
        <v>4.2</v>
      </c>
      <c r="E18" s="15">
        <v>20</v>
      </c>
      <c r="F18" s="15">
        <v>0</v>
      </c>
      <c r="G18" s="15"/>
      <c r="H18" s="17">
        <v>3</v>
      </c>
      <c r="I18" s="1">
        <v>1</v>
      </c>
      <c r="J18" s="1">
        <v>1</v>
      </c>
    </row>
    <row r="19" spans="1:10" ht="15.75" customHeight="1" x14ac:dyDescent="0.3">
      <c r="A19" s="15" t="s">
        <v>119</v>
      </c>
      <c r="B19" s="16" t="s">
        <v>198</v>
      </c>
      <c r="C19" s="20">
        <v>70</v>
      </c>
      <c r="D19" s="18">
        <v>4.2</v>
      </c>
      <c r="E19" s="15">
        <v>21</v>
      </c>
      <c r="F19" s="15">
        <v>0</v>
      </c>
      <c r="G19" s="15"/>
      <c r="H19" s="17">
        <v>3</v>
      </c>
      <c r="I19" s="1">
        <v>1</v>
      </c>
      <c r="J19" s="1">
        <v>1</v>
      </c>
    </row>
    <row r="20" spans="1:10" ht="15.75" customHeight="1" x14ac:dyDescent="0.3">
      <c r="A20" s="15" t="s">
        <v>119</v>
      </c>
      <c r="B20" s="16" t="s">
        <v>198</v>
      </c>
      <c r="C20" s="20">
        <v>70</v>
      </c>
      <c r="D20" s="18">
        <v>4.2</v>
      </c>
      <c r="E20" s="15">
        <v>22</v>
      </c>
      <c r="F20" s="15">
        <v>0</v>
      </c>
      <c r="G20" s="15"/>
      <c r="H20" s="17">
        <v>3</v>
      </c>
      <c r="I20" s="1">
        <v>5</v>
      </c>
      <c r="J20" s="1">
        <v>5</v>
      </c>
    </row>
    <row r="21" spans="1:10" ht="15.75" customHeight="1" x14ac:dyDescent="0.3">
      <c r="A21" s="15" t="s">
        <v>119</v>
      </c>
      <c r="B21" s="16" t="s">
        <v>198</v>
      </c>
      <c r="C21" s="20">
        <v>70</v>
      </c>
      <c r="D21" s="18">
        <v>4.2</v>
      </c>
      <c r="E21" s="15">
        <v>23</v>
      </c>
      <c r="F21" s="15">
        <v>0</v>
      </c>
      <c r="G21" s="15"/>
      <c r="H21" s="17">
        <v>3</v>
      </c>
      <c r="I21" s="1">
        <v>2</v>
      </c>
      <c r="J21" s="1">
        <v>2</v>
      </c>
    </row>
    <row r="22" spans="1:10" ht="15.75" customHeight="1" x14ac:dyDescent="0.3">
      <c r="A22" s="15" t="s">
        <v>119</v>
      </c>
      <c r="B22" s="16" t="s">
        <v>198</v>
      </c>
      <c r="C22" s="20">
        <v>70</v>
      </c>
      <c r="D22" s="18">
        <v>4.2</v>
      </c>
      <c r="E22" s="15">
        <v>22</v>
      </c>
      <c r="F22" s="15">
        <v>0</v>
      </c>
      <c r="G22" s="15"/>
      <c r="H22" s="17">
        <v>3</v>
      </c>
      <c r="I22" s="1">
        <v>1</v>
      </c>
      <c r="J22" s="1">
        <v>1</v>
      </c>
    </row>
    <row r="23" spans="1:10" ht="15.75" customHeight="1" x14ac:dyDescent="0.3">
      <c r="A23" s="15" t="s">
        <v>119</v>
      </c>
      <c r="B23" s="16" t="s">
        <v>198</v>
      </c>
      <c r="C23" s="20">
        <v>70</v>
      </c>
      <c r="D23" s="18">
        <v>4.2</v>
      </c>
      <c r="E23" s="15">
        <v>25</v>
      </c>
      <c r="F23" s="15">
        <v>0</v>
      </c>
      <c r="G23" s="15"/>
      <c r="H23" s="17">
        <v>3</v>
      </c>
      <c r="I23" s="1">
        <v>1</v>
      </c>
      <c r="J23" s="1">
        <v>1</v>
      </c>
    </row>
    <row r="24" spans="1:10" ht="15.75" customHeight="1" x14ac:dyDescent="0.3">
      <c r="A24" s="15" t="s">
        <v>119</v>
      </c>
      <c r="B24" s="16" t="s">
        <v>198</v>
      </c>
      <c r="C24" s="20">
        <v>70</v>
      </c>
      <c r="D24" s="18">
        <v>4.2</v>
      </c>
      <c r="E24" s="15">
        <v>23</v>
      </c>
      <c r="F24" s="15">
        <v>0</v>
      </c>
      <c r="G24" s="15"/>
      <c r="H24" s="17">
        <v>3</v>
      </c>
      <c r="I24" s="1">
        <v>1</v>
      </c>
      <c r="J24" s="1">
        <v>1</v>
      </c>
    </row>
    <row r="25" spans="1:10" ht="15.75" customHeight="1" x14ac:dyDescent="0.3">
      <c r="A25" s="15" t="s">
        <v>119</v>
      </c>
      <c r="B25" s="16" t="s">
        <v>198</v>
      </c>
      <c r="C25" s="20">
        <v>70</v>
      </c>
      <c r="D25" s="18">
        <v>4.2</v>
      </c>
      <c r="E25" s="15">
        <v>29</v>
      </c>
      <c r="F25" s="15">
        <v>0</v>
      </c>
      <c r="G25" s="15"/>
      <c r="H25" s="17">
        <v>3</v>
      </c>
      <c r="I25" s="1">
        <v>1</v>
      </c>
      <c r="J25" s="1">
        <v>1</v>
      </c>
    </row>
    <row r="26" spans="1:10" ht="15.75" customHeight="1" x14ac:dyDescent="0.3">
      <c r="A26" s="15" t="s">
        <v>119</v>
      </c>
      <c r="B26" s="16" t="s">
        <v>198</v>
      </c>
      <c r="C26" s="20">
        <v>70</v>
      </c>
      <c r="D26" s="18">
        <v>4.2</v>
      </c>
      <c r="E26" s="15">
        <v>23</v>
      </c>
      <c r="F26" s="15">
        <v>0</v>
      </c>
      <c r="G26" s="15"/>
      <c r="H26" s="17">
        <v>3</v>
      </c>
      <c r="I26" s="1">
        <v>1</v>
      </c>
      <c r="J26" s="1">
        <v>1</v>
      </c>
    </row>
    <row r="27" spans="1:10" ht="15.75" customHeight="1" x14ac:dyDescent="0.3">
      <c r="A27" s="15" t="s">
        <v>119</v>
      </c>
      <c r="B27" s="16" t="s">
        <v>198</v>
      </c>
      <c r="C27" s="20">
        <v>70</v>
      </c>
      <c r="D27" s="18">
        <v>4.2</v>
      </c>
      <c r="E27" s="15">
        <v>23</v>
      </c>
      <c r="F27" s="15">
        <v>0</v>
      </c>
      <c r="G27" s="15"/>
      <c r="H27" s="17">
        <v>3</v>
      </c>
      <c r="I27" s="1">
        <v>1</v>
      </c>
      <c r="J27" s="1">
        <v>1</v>
      </c>
    </row>
    <row r="28" spans="1:10" ht="15.75" customHeight="1" x14ac:dyDescent="0.3">
      <c r="A28" s="15" t="s">
        <v>119</v>
      </c>
      <c r="B28" s="16" t="s">
        <v>198</v>
      </c>
      <c r="C28" s="15">
        <v>69.17</v>
      </c>
      <c r="D28" s="18">
        <v>4.55</v>
      </c>
      <c r="E28" s="15">
        <v>27.5</v>
      </c>
      <c r="F28" s="15">
        <v>0.56999999999999995</v>
      </c>
      <c r="G28" s="15"/>
      <c r="H28" s="21">
        <v>3</v>
      </c>
      <c r="I28" s="1">
        <v>3</v>
      </c>
      <c r="J28" s="1">
        <v>3</v>
      </c>
    </row>
    <row r="29" spans="1:10" ht="15.75" customHeight="1" x14ac:dyDescent="0.3">
      <c r="A29" s="15" t="s">
        <v>119</v>
      </c>
      <c r="B29" s="16" t="s">
        <v>198</v>
      </c>
      <c r="C29" s="20">
        <v>69</v>
      </c>
      <c r="D29" s="18">
        <v>4.55</v>
      </c>
      <c r="E29" s="15">
        <v>21</v>
      </c>
      <c r="F29" s="15">
        <v>0</v>
      </c>
      <c r="G29" s="15"/>
      <c r="H29" s="21">
        <v>3</v>
      </c>
      <c r="I29" s="1">
        <v>1</v>
      </c>
      <c r="J29" s="1">
        <v>1</v>
      </c>
    </row>
    <row r="30" spans="1:10" ht="15.75" customHeight="1" x14ac:dyDescent="0.3">
      <c r="A30" s="15" t="s">
        <v>134</v>
      </c>
      <c r="B30" s="16" t="s">
        <v>176</v>
      </c>
      <c r="C30" s="15">
        <v>79</v>
      </c>
      <c r="D30" s="18">
        <v>0.309</v>
      </c>
      <c r="E30" s="15">
        <v>23.3</v>
      </c>
      <c r="F30" s="15">
        <v>0.5</v>
      </c>
      <c r="G30" s="15"/>
      <c r="H30" s="17">
        <v>4</v>
      </c>
      <c r="I30" s="1">
        <v>10</v>
      </c>
      <c r="J30" s="1">
        <v>10</v>
      </c>
    </row>
    <row r="31" spans="1:10" ht="15.75" customHeight="1" x14ac:dyDescent="0.3">
      <c r="A31" s="15" t="s">
        <v>134</v>
      </c>
      <c r="B31" s="16" t="s">
        <v>176</v>
      </c>
      <c r="C31" s="15">
        <v>80</v>
      </c>
      <c r="D31" s="18">
        <v>0.32</v>
      </c>
      <c r="E31" s="15">
        <v>24</v>
      </c>
      <c r="F31" s="15">
        <v>0</v>
      </c>
      <c r="G31" s="15"/>
      <c r="H31" s="17">
        <v>4</v>
      </c>
      <c r="I31" s="1">
        <v>7</v>
      </c>
      <c r="J31" s="1">
        <v>7</v>
      </c>
    </row>
    <row r="32" spans="1:10" ht="15.75" customHeight="1" x14ac:dyDescent="0.3">
      <c r="A32" s="15" t="s">
        <v>134</v>
      </c>
      <c r="B32" s="16" t="s">
        <v>177</v>
      </c>
      <c r="C32" s="15">
        <v>80</v>
      </c>
      <c r="D32" s="18">
        <v>1.85</v>
      </c>
      <c r="E32" s="15">
        <v>25.3</v>
      </c>
      <c r="F32" s="15">
        <v>0.8</v>
      </c>
      <c r="G32" s="15"/>
      <c r="H32" s="17">
        <v>3</v>
      </c>
      <c r="I32" s="1">
        <v>14</v>
      </c>
      <c r="J32" s="1">
        <v>17</v>
      </c>
    </row>
    <row r="33" spans="1:10" ht="15.75" customHeight="1" x14ac:dyDescent="0.3">
      <c r="A33" s="15" t="s">
        <v>134</v>
      </c>
      <c r="B33" s="23" t="s">
        <v>177</v>
      </c>
      <c r="C33" s="15">
        <v>58</v>
      </c>
      <c r="D33" s="18">
        <v>0.27</v>
      </c>
      <c r="E33" s="15">
        <v>26.8</v>
      </c>
      <c r="F33" s="15">
        <v>0.5</v>
      </c>
      <c r="G33" s="15"/>
      <c r="H33" s="17">
        <v>3</v>
      </c>
      <c r="I33" s="1">
        <v>5</v>
      </c>
      <c r="J33" s="1">
        <v>5</v>
      </c>
    </row>
    <row r="34" spans="1:10" ht="15.75" customHeight="1" x14ac:dyDescent="0.3">
      <c r="A34" s="15" t="s">
        <v>134</v>
      </c>
      <c r="B34" s="23" t="s">
        <v>200</v>
      </c>
      <c r="C34" s="20">
        <v>77</v>
      </c>
      <c r="D34" s="18">
        <v>0.28999999999999998</v>
      </c>
      <c r="E34" s="15">
        <v>22</v>
      </c>
      <c r="F34" s="15">
        <v>0</v>
      </c>
      <c r="G34" s="15"/>
      <c r="H34" s="17">
        <v>5</v>
      </c>
      <c r="I34" s="1">
        <v>2</v>
      </c>
      <c r="J34" s="1">
        <v>2</v>
      </c>
    </row>
    <row r="35" spans="1:10" ht="15.75" customHeight="1" x14ac:dyDescent="0.3">
      <c r="A35" s="15" t="s">
        <v>134</v>
      </c>
      <c r="B35" s="23" t="s">
        <v>200</v>
      </c>
      <c r="C35" s="15">
        <v>77</v>
      </c>
      <c r="D35" s="18">
        <v>0.28999999999999998</v>
      </c>
      <c r="E35" s="15">
        <v>25.9</v>
      </c>
      <c r="F35" s="15">
        <v>0</v>
      </c>
      <c r="G35" s="15"/>
      <c r="H35" s="17">
        <v>5</v>
      </c>
      <c r="I35" s="1">
        <v>12</v>
      </c>
      <c r="J35" s="1">
        <v>12</v>
      </c>
    </row>
    <row r="36" spans="1:10" ht="15.75" customHeight="1" x14ac:dyDescent="0.3">
      <c r="A36" s="15" t="s">
        <v>134</v>
      </c>
      <c r="B36" s="23" t="s">
        <v>200</v>
      </c>
      <c r="C36" s="15">
        <v>55</v>
      </c>
      <c r="D36" s="18">
        <v>4.9000000000000002E-2</v>
      </c>
      <c r="E36" s="15">
        <v>27.2</v>
      </c>
      <c r="F36" s="15">
        <v>0</v>
      </c>
      <c r="G36" s="15"/>
      <c r="H36" s="17">
        <v>5</v>
      </c>
      <c r="I36" s="1">
        <v>3</v>
      </c>
      <c r="J36" s="1">
        <v>3</v>
      </c>
    </row>
    <row r="37" spans="1:10" ht="15.75" customHeight="1" x14ac:dyDescent="0.3">
      <c r="A37" s="15" t="s">
        <v>134</v>
      </c>
      <c r="B37" s="23" t="s">
        <v>180</v>
      </c>
      <c r="C37" s="15">
        <v>76</v>
      </c>
      <c r="D37" s="18">
        <v>0.30399999999999999</v>
      </c>
      <c r="E37" s="15">
        <v>24.9</v>
      </c>
      <c r="F37" s="15">
        <v>2</v>
      </c>
      <c r="G37" s="15"/>
      <c r="H37" s="17">
        <v>5</v>
      </c>
      <c r="I37" s="1">
        <v>0</v>
      </c>
      <c r="J37" s="1">
        <v>0</v>
      </c>
    </row>
    <row r="38" spans="1:10" ht="15.75" customHeight="1" x14ac:dyDescent="0.3">
      <c r="A38" s="15" t="s">
        <v>134</v>
      </c>
      <c r="B38" s="23" t="s">
        <v>180</v>
      </c>
      <c r="C38" s="15">
        <v>47</v>
      </c>
      <c r="D38" s="18">
        <v>0.13600000000000001</v>
      </c>
      <c r="E38" s="15">
        <v>29.3</v>
      </c>
      <c r="F38" s="15">
        <v>0.7</v>
      </c>
      <c r="G38" s="15"/>
      <c r="H38" s="17">
        <v>5</v>
      </c>
      <c r="I38" s="1">
        <v>2</v>
      </c>
      <c r="J38" s="1">
        <v>3</v>
      </c>
    </row>
    <row r="39" spans="1:10" ht="15.75" customHeight="1" x14ac:dyDescent="0.3">
      <c r="A39" s="15" t="s">
        <v>134</v>
      </c>
      <c r="B39" s="23" t="s">
        <v>181</v>
      </c>
      <c r="C39" s="20">
        <v>63</v>
      </c>
      <c r="D39" s="18">
        <v>0.08</v>
      </c>
      <c r="E39" s="15">
        <v>21</v>
      </c>
      <c r="F39" s="15">
        <v>0</v>
      </c>
      <c r="G39" s="15"/>
      <c r="H39" s="17">
        <v>3</v>
      </c>
      <c r="I39" s="1">
        <v>1</v>
      </c>
      <c r="J39" s="1">
        <v>1</v>
      </c>
    </row>
    <row r="40" spans="1:10" ht="15.75" customHeight="1" x14ac:dyDescent="0.3">
      <c r="A40" s="15" t="s">
        <v>138</v>
      </c>
      <c r="B40" s="23" t="s">
        <v>181</v>
      </c>
      <c r="C40" s="15">
        <v>63</v>
      </c>
      <c r="D40" s="18">
        <v>6.6900000000000001E-2</v>
      </c>
      <c r="E40" s="15">
        <v>33.700000000000003</v>
      </c>
      <c r="F40" s="15">
        <v>2.4</v>
      </c>
      <c r="G40" s="15"/>
      <c r="H40" s="17">
        <v>3</v>
      </c>
      <c r="I40" s="1">
        <v>4</v>
      </c>
      <c r="J40" s="1">
        <v>4</v>
      </c>
    </row>
    <row r="41" spans="1:10" ht="15.75" customHeight="1" x14ac:dyDescent="0.3">
      <c r="A41" s="15" t="s">
        <v>134</v>
      </c>
      <c r="B41" s="23" t="s">
        <v>181</v>
      </c>
      <c r="C41" s="15">
        <v>44</v>
      </c>
      <c r="D41" s="18">
        <v>21.4</v>
      </c>
      <c r="E41" s="15">
        <v>34.4</v>
      </c>
      <c r="F41" s="15">
        <v>2</v>
      </c>
      <c r="G41" s="15"/>
      <c r="H41" s="17">
        <v>3</v>
      </c>
      <c r="I41" s="1">
        <v>4</v>
      </c>
      <c r="J41" s="1">
        <v>4</v>
      </c>
    </row>
    <row r="42" spans="1:10" ht="15.75" customHeight="1" x14ac:dyDescent="0.3">
      <c r="A42" s="15" t="s">
        <v>134</v>
      </c>
      <c r="B42" s="23" t="s">
        <v>198</v>
      </c>
      <c r="C42" s="15">
        <v>57</v>
      </c>
      <c r="D42" s="18">
        <v>32.799999999999997</v>
      </c>
      <c r="E42" s="15">
        <v>30.4</v>
      </c>
      <c r="F42" s="15">
        <v>3.9</v>
      </c>
      <c r="G42" s="15"/>
      <c r="H42" s="17">
        <v>3</v>
      </c>
      <c r="I42" s="1">
        <v>1</v>
      </c>
      <c r="J42" s="1">
        <v>1</v>
      </c>
    </row>
    <row r="43" spans="1:10" ht="15.75" customHeight="1" x14ac:dyDescent="0.3">
      <c r="A43" s="15" t="s">
        <v>134</v>
      </c>
      <c r="B43" s="15" t="s">
        <v>198</v>
      </c>
      <c r="C43" s="15">
        <v>28</v>
      </c>
      <c r="D43" s="18">
        <v>31.5</v>
      </c>
      <c r="E43" s="15">
        <v>43.8</v>
      </c>
      <c r="F43" s="15">
        <v>1.1000000000000001</v>
      </c>
      <c r="G43" s="15"/>
      <c r="H43" s="17">
        <v>3</v>
      </c>
      <c r="I43" s="1">
        <v>2</v>
      </c>
      <c r="J43" s="1">
        <v>2</v>
      </c>
    </row>
    <row r="44" spans="1:10" ht="15.75" customHeight="1" x14ac:dyDescent="0.3">
      <c r="A44" s="15" t="s">
        <v>141</v>
      </c>
      <c r="B44" s="26" t="s">
        <v>176</v>
      </c>
      <c r="C44" s="30">
        <v>95</v>
      </c>
      <c r="D44" s="29">
        <v>0.59</v>
      </c>
      <c r="E44" s="30">
        <v>23.4</v>
      </c>
      <c r="F44" s="30">
        <v>0</v>
      </c>
      <c r="G44" s="15"/>
      <c r="H44" s="21">
        <v>4</v>
      </c>
      <c r="I44" s="1">
        <v>9</v>
      </c>
      <c r="J44" s="1">
        <v>18</v>
      </c>
    </row>
    <row r="45" spans="1:10" ht="15.75" customHeight="1" x14ac:dyDescent="0.3">
      <c r="A45" s="15" t="s">
        <v>141</v>
      </c>
      <c r="B45" s="26" t="s">
        <v>177</v>
      </c>
      <c r="C45" s="30">
        <v>99</v>
      </c>
      <c r="D45" s="29">
        <v>34.6</v>
      </c>
      <c r="E45" s="30">
        <v>25.4</v>
      </c>
      <c r="F45" s="30">
        <v>2.2999999999999998</v>
      </c>
      <c r="G45" s="15"/>
      <c r="H45" s="21">
        <v>3</v>
      </c>
      <c r="I45" s="1">
        <v>11</v>
      </c>
      <c r="J45" s="1">
        <v>11</v>
      </c>
    </row>
    <row r="46" spans="1:10" ht="15.75" customHeight="1" x14ac:dyDescent="0.3">
      <c r="A46" s="15" t="s">
        <v>141</v>
      </c>
      <c r="B46" s="26" t="s">
        <v>200</v>
      </c>
      <c r="C46" s="33">
        <v>99</v>
      </c>
      <c r="D46" s="29">
        <v>0.42</v>
      </c>
      <c r="E46" s="30">
        <v>22</v>
      </c>
      <c r="F46" s="30">
        <v>0</v>
      </c>
      <c r="G46" s="15"/>
      <c r="H46" s="21">
        <v>5</v>
      </c>
      <c r="I46" s="1">
        <v>7</v>
      </c>
      <c r="J46" s="1">
        <v>10</v>
      </c>
    </row>
    <row r="47" spans="1:10" ht="15.75" customHeight="1" x14ac:dyDescent="0.3">
      <c r="A47" s="15" t="s">
        <v>141</v>
      </c>
      <c r="B47" s="26" t="s">
        <v>200</v>
      </c>
      <c r="C47" s="30">
        <v>99</v>
      </c>
      <c r="D47" s="34">
        <v>0.47249999999999998</v>
      </c>
      <c r="E47" s="30">
        <v>25.7</v>
      </c>
      <c r="F47" s="26">
        <v>0</v>
      </c>
      <c r="G47" s="15"/>
      <c r="H47" s="21">
        <v>5</v>
      </c>
      <c r="I47" s="1">
        <v>8</v>
      </c>
      <c r="J47" s="1">
        <v>9</v>
      </c>
    </row>
    <row r="48" spans="1:10" ht="15.75" customHeight="1" x14ac:dyDescent="0.3">
      <c r="A48" s="15" t="s">
        <v>141</v>
      </c>
      <c r="B48" s="26" t="s">
        <v>200</v>
      </c>
      <c r="C48" s="30">
        <v>99</v>
      </c>
      <c r="D48" s="29">
        <v>32.6</v>
      </c>
      <c r="E48" s="30">
        <v>23.7</v>
      </c>
      <c r="F48" s="26">
        <v>0</v>
      </c>
      <c r="G48" s="15"/>
      <c r="H48" s="21">
        <v>5</v>
      </c>
      <c r="I48" s="1">
        <v>3</v>
      </c>
      <c r="J48" s="1">
        <v>3</v>
      </c>
    </row>
    <row r="49" spans="1:10" ht="15.75" customHeight="1" x14ac:dyDescent="0.3">
      <c r="A49" s="15" t="s">
        <v>141</v>
      </c>
      <c r="B49" s="26" t="s">
        <v>180</v>
      </c>
      <c r="C49" s="30">
        <v>97</v>
      </c>
      <c r="D49" s="35">
        <v>0.53600000000000003</v>
      </c>
      <c r="E49" s="30">
        <v>24.9</v>
      </c>
      <c r="F49" s="30">
        <v>0</v>
      </c>
      <c r="G49" s="15"/>
      <c r="H49" s="21">
        <v>5</v>
      </c>
      <c r="I49" s="1">
        <v>5</v>
      </c>
      <c r="J49" s="1">
        <v>9</v>
      </c>
    </row>
    <row r="50" spans="1:10" ht="15.75" customHeight="1" x14ac:dyDescent="0.3">
      <c r="A50" s="15" t="s">
        <v>141</v>
      </c>
      <c r="B50" s="26" t="s">
        <v>180</v>
      </c>
      <c r="C50" s="30">
        <v>99</v>
      </c>
      <c r="D50" s="29">
        <v>47.9</v>
      </c>
      <c r="E50" s="30">
        <v>24.1</v>
      </c>
      <c r="F50" s="30">
        <v>0.5</v>
      </c>
      <c r="G50" s="15"/>
      <c r="H50" s="21">
        <v>5</v>
      </c>
      <c r="I50" s="1">
        <v>1</v>
      </c>
      <c r="J50" s="1">
        <v>1</v>
      </c>
    </row>
    <row r="51" spans="1:10" ht="15.75" customHeight="1" x14ac:dyDescent="0.3">
      <c r="A51" s="15" t="s">
        <v>141</v>
      </c>
      <c r="B51" s="26" t="s">
        <v>181</v>
      </c>
      <c r="C51" s="30">
        <v>99</v>
      </c>
      <c r="D51" s="29">
        <v>53.2</v>
      </c>
      <c r="E51" s="30">
        <v>27.5</v>
      </c>
      <c r="F51" s="30">
        <v>0</v>
      </c>
      <c r="G51" s="15"/>
      <c r="H51" s="21">
        <v>3</v>
      </c>
      <c r="I51" s="1">
        <v>4</v>
      </c>
      <c r="J51" s="1">
        <v>7</v>
      </c>
    </row>
    <row r="52" spans="1:10" ht="15.75" customHeight="1" x14ac:dyDescent="0.3">
      <c r="A52" s="15" t="s">
        <v>141</v>
      </c>
      <c r="B52" s="26" t="s">
        <v>181</v>
      </c>
      <c r="C52" s="30">
        <v>99</v>
      </c>
      <c r="D52" s="29">
        <v>8.23</v>
      </c>
      <c r="E52" s="30">
        <v>23.7</v>
      </c>
      <c r="F52" s="30">
        <v>0</v>
      </c>
      <c r="G52" s="15"/>
      <c r="H52" s="21">
        <v>3</v>
      </c>
      <c r="I52" s="1">
        <v>2</v>
      </c>
      <c r="J52" s="1">
        <v>4</v>
      </c>
    </row>
    <row r="53" spans="1:10" ht="15.75" customHeight="1" x14ac:dyDescent="0.3">
      <c r="A53" s="15" t="s">
        <v>141</v>
      </c>
      <c r="B53" s="26" t="s">
        <v>198</v>
      </c>
      <c r="C53" s="30">
        <v>77</v>
      </c>
      <c r="D53" s="29">
        <v>8.5399999999999991</v>
      </c>
      <c r="E53" s="30">
        <v>28</v>
      </c>
      <c r="F53" s="30">
        <v>1.75</v>
      </c>
      <c r="G53" s="15"/>
      <c r="H53" s="21">
        <v>3</v>
      </c>
      <c r="I53" s="1">
        <v>6</v>
      </c>
      <c r="J53" s="1">
        <v>12</v>
      </c>
    </row>
    <row r="54" spans="1:10" ht="15.75" customHeight="1" x14ac:dyDescent="0.3">
      <c r="A54" s="15" t="s">
        <v>141</v>
      </c>
      <c r="B54" s="26" t="s">
        <v>198</v>
      </c>
      <c r="C54" s="30">
        <v>99</v>
      </c>
      <c r="D54" s="29">
        <v>7.51</v>
      </c>
      <c r="E54" s="30">
        <v>23.7</v>
      </c>
      <c r="F54" s="30">
        <v>0</v>
      </c>
      <c r="G54" s="15"/>
      <c r="H54" s="21">
        <v>3</v>
      </c>
      <c r="I54" s="1">
        <v>4</v>
      </c>
      <c r="J54" s="1">
        <v>15</v>
      </c>
    </row>
    <row r="55" spans="1:10" ht="15.75" customHeight="1" x14ac:dyDescent="0.3">
      <c r="A55" s="15" t="s">
        <v>141</v>
      </c>
      <c r="B55" s="27" t="s">
        <v>183</v>
      </c>
      <c r="C55" s="30">
        <v>79</v>
      </c>
      <c r="D55" s="29">
        <v>73.7</v>
      </c>
      <c r="E55" s="30">
        <v>29.1</v>
      </c>
      <c r="F55" s="30">
        <v>1</v>
      </c>
      <c r="G55" s="15"/>
      <c r="H55" s="21">
        <v>3</v>
      </c>
      <c r="I55" s="1">
        <v>0</v>
      </c>
      <c r="J55" s="1">
        <v>0</v>
      </c>
    </row>
    <row r="56" spans="1:10" ht="15.75" customHeight="1" x14ac:dyDescent="0.3">
      <c r="A56" s="15" t="s">
        <v>141</v>
      </c>
      <c r="B56" s="27" t="s">
        <v>186</v>
      </c>
      <c r="C56" s="30">
        <v>75</v>
      </c>
      <c r="D56" s="35">
        <v>0.71899999999999997</v>
      </c>
      <c r="E56" s="30">
        <v>25.8</v>
      </c>
      <c r="F56" s="30">
        <v>0</v>
      </c>
      <c r="G56" s="15"/>
      <c r="H56" s="21">
        <v>6</v>
      </c>
      <c r="I56" s="1">
        <v>0</v>
      </c>
      <c r="J56" s="1">
        <v>0</v>
      </c>
    </row>
    <row r="57" spans="1:10" ht="15.75" customHeight="1" x14ac:dyDescent="0.3">
      <c r="A57" s="15" t="s">
        <v>146</v>
      </c>
      <c r="B57" s="23" t="s">
        <v>176</v>
      </c>
      <c r="C57" s="15">
        <v>99</v>
      </c>
      <c r="D57" s="36">
        <v>0.27700000000000002</v>
      </c>
      <c r="E57" s="15">
        <v>26.4</v>
      </c>
      <c r="F57" s="15">
        <v>0</v>
      </c>
      <c r="G57" s="15">
        <v>100</v>
      </c>
      <c r="H57" s="17">
        <v>4</v>
      </c>
      <c r="I57" s="1">
        <v>6</v>
      </c>
      <c r="J57" s="1">
        <v>22</v>
      </c>
    </row>
    <row r="58" spans="1:10" ht="15.75" customHeight="1" x14ac:dyDescent="0.3">
      <c r="A58" s="15" t="s">
        <v>146</v>
      </c>
      <c r="B58" s="23" t="s">
        <v>177</v>
      </c>
      <c r="C58" s="15">
        <v>92</v>
      </c>
      <c r="D58" s="18">
        <v>0.78</v>
      </c>
      <c r="E58" s="15">
        <v>24.6</v>
      </c>
      <c r="F58" s="15">
        <v>0</v>
      </c>
      <c r="G58" s="15">
        <v>5</v>
      </c>
      <c r="H58" s="17">
        <v>3</v>
      </c>
      <c r="I58" s="1">
        <v>9</v>
      </c>
      <c r="J58" s="1">
        <v>14</v>
      </c>
    </row>
    <row r="59" spans="1:10" ht="15.75" customHeight="1" x14ac:dyDescent="0.3">
      <c r="A59" s="15" t="s">
        <v>146</v>
      </c>
      <c r="B59" s="23" t="s">
        <v>200</v>
      </c>
      <c r="C59" s="15">
        <v>94</v>
      </c>
      <c r="D59" s="36">
        <v>0.50800000000000001</v>
      </c>
      <c r="E59" s="15">
        <v>24.8</v>
      </c>
      <c r="F59" s="15">
        <v>0</v>
      </c>
      <c r="G59" s="15">
        <v>5</v>
      </c>
      <c r="H59" s="17">
        <v>5</v>
      </c>
      <c r="I59" s="1">
        <v>8</v>
      </c>
      <c r="J59" s="1">
        <v>8</v>
      </c>
    </row>
    <row r="60" spans="1:10" ht="15.75" customHeight="1" x14ac:dyDescent="0.3">
      <c r="A60" s="15" t="s">
        <v>146</v>
      </c>
      <c r="B60" s="23" t="s">
        <v>200</v>
      </c>
      <c r="C60" s="15">
        <v>94</v>
      </c>
      <c r="D60" s="36">
        <v>0.5</v>
      </c>
      <c r="E60" s="15">
        <v>24.8</v>
      </c>
      <c r="F60" s="15">
        <v>0</v>
      </c>
      <c r="G60" s="15">
        <v>100</v>
      </c>
      <c r="H60" s="17">
        <v>5</v>
      </c>
      <c r="I60" s="1">
        <v>2</v>
      </c>
      <c r="J60" s="1">
        <v>6</v>
      </c>
    </row>
    <row r="61" spans="1:10" ht="15.75" customHeight="1" x14ac:dyDescent="0.3">
      <c r="A61" s="15" t="s">
        <v>146</v>
      </c>
      <c r="B61" s="23" t="s">
        <v>200</v>
      </c>
      <c r="C61" s="20">
        <v>94</v>
      </c>
      <c r="D61" s="36">
        <v>0.5</v>
      </c>
      <c r="E61" s="15">
        <v>23</v>
      </c>
      <c r="F61" s="15">
        <v>0</v>
      </c>
      <c r="G61" s="15">
        <v>100</v>
      </c>
      <c r="H61" s="17">
        <v>5</v>
      </c>
      <c r="I61" s="1">
        <v>5</v>
      </c>
      <c r="J61" s="1">
        <v>5</v>
      </c>
    </row>
    <row r="62" spans="1:10" ht="15.75" customHeight="1" x14ac:dyDescent="0.3">
      <c r="A62" s="15" t="s">
        <v>146</v>
      </c>
      <c r="B62" s="23" t="s">
        <v>200</v>
      </c>
      <c r="C62" s="20">
        <v>94</v>
      </c>
      <c r="D62" s="36">
        <v>0.5</v>
      </c>
      <c r="E62" s="15">
        <v>22</v>
      </c>
      <c r="F62" s="15">
        <v>0</v>
      </c>
      <c r="G62" s="15">
        <v>100</v>
      </c>
      <c r="H62" s="17">
        <v>5</v>
      </c>
      <c r="I62" s="1">
        <v>1</v>
      </c>
      <c r="J62" s="1">
        <v>1</v>
      </c>
    </row>
    <row r="63" spans="1:10" ht="15.75" customHeight="1" x14ac:dyDescent="0.3">
      <c r="A63" s="15" t="s">
        <v>146</v>
      </c>
      <c r="B63" s="23" t="s">
        <v>181</v>
      </c>
      <c r="C63" s="15">
        <v>99</v>
      </c>
      <c r="D63" s="18">
        <v>7.59</v>
      </c>
      <c r="E63" s="15">
        <v>23.9</v>
      </c>
      <c r="F63" s="15">
        <v>0</v>
      </c>
      <c r="G63" s="15">
        <v>100</v>
      </c>
      <c r="H63" s="17">
        <v>3</v>
      </c>
      <c r="I63" s="1">
        <v>5</v>
      </c>
      <c r="J63" s="1">
        <v>6</v>
      </c>
    </row>
    <row r="64" spans="1:10" ht="15.75" customHeight="1" x14ac:dyDescent="0.3">
      <c r="A64" s="15" t="s">
        <v>146</v>
      </c>
      <c r="B64" s="23" t="s">
        <v>198</v>
      </c>
      <c r="C64" s="15">
        <v>99</v>
      </c>
      <c r="D64" s="18">
        <v>13.05</v>
      </c>
      <c r="E64" s="15">
        <v>25.9</v>
      </c>
      <c r="F64" s="15">
        <v>0.45</v>
      </c>
      <c r="G64" s="15">
        <v>100</v>
      </c>
      <c r="H64" s="17">
        <v>3</v>
      </c>
      <c r="I64" s="1">
        <v>4</v>
      </c>
      <c r="J64" s="1">
        <v>4</v>
      </c>
    </row>
    <row r="65" spans="1:10" ht="15.75" customHeight="1" x14ac:dyDescent="0.3">
      <c r="A65" s="15" t="s">
        <v>146</v>
      </c>
      <c r="B65" s="23" t="s">
        <v>183</v>
      </c>
      <c r="C65" s="15">
        <v>79</v>
      </c>
      <c r="D65" s="18">
        <v>15.5</v>
      </c>
      <c r="E65" s="15">
        <v>28.3</v>
      </c>
      <c r="F65" s="15">
        <v>0</v>
      </c>
      <c r="G65" s="15">
        <v>100</v>
      </c>
      <c r="H65" s="17">
        <v>3</v>
      </c>
      <c r="I65" s="1">
        <v>3</v>
      </c>
      <c r="J65" s="1">
        <v>3</v>
      </c>
    </row>
    <row r="66" spans="1:10" ht="15.75" customHeight="1" x14ac:dyDescent="0.3">
      <c r="A66" s="15" t="s">
        <v>146</v>
      </c>
      <c r="B66" s="23" t="s">
        <v>183</v>
      </c>
      <c r="C66" s="15">
        <v>79</v>
      </c>
      <c r="D66" s="18">
        <v>4.87</v>
      </c>
      <c r="E66" s="15">
        <v>25.2</v>
      </c>
      <c r="F66" s="15">
        <v>0</v>
      </c>
      <c r="G66" s="15">
        <v>100</v>
      </c>
      <c r="H66" s="17">
        <v>3</v>
      </c>
      <c r="I66" s="1">
        <v>0</v>
      </c>
      <c r="J66" s="1">
        <v>0</v>
      </c>
    </row>
    <row r="67" spans="1:10" ht="15.75" customHeight="1" x14ac:dyDescent="0.3">
      <c r="A67" s="15" t="s">
        <v>146</v>
      </c>
      <c r="B67" s="23" t="s">
        <v>186</v>
      </c>
      <c r="C67" s="15">
        <v>79</v>
      </c>
      <c r="D67" s="18">
        <v>0.56999999999999995</v>
      </c>
      <c r="E67" s="15">
        <v>24.8</v>
      </c>
      <c r="F67" s="15">
        <v>0</v>
      </c>
      <c r="G67" s="15">
        <v>100</v>
      </c>
      <c r="H67" s="17">
        <v>6</v>
      </c>
      <c r="I67" s="1">
        <v>3</v>
      </c>
      <c r="J67" s="1">
        <v>4</v>
      </c>
    </row>
    <row r="68" spans="1:10" ht="15.75" customHeight="1" x14ac:dyDescent="0.3">
      <c r="A68" s="15" t="s">
        <v>146</v>
      </c>
      <c r="B68" s="23" t="s">
        <v>186</v>
      </c>
      <c r="C68" s="15">
        <v>96</v>
      </c>
      <c r="D68" s="18">
        <v>15.05</v>
      </c>
      <c r="E68" s="15">
        <v>30.2</v>
      </c>
      <c r="F68" s="15">
        <v>0</v>
      </c>
      <c r="G68" s="15">
        <v>100</v>
      </c>
      <c r="H68" s="17">
        <v>6</v>
      </c>
      <c r="I68" s="1">
        <v>2</v>
      </c>
      <c r="J68" s="1">
        <v>6</v>
      </c>
    </row>
    <row r="69" spans="1:10" ht="15.75" customHeight="1" x14ac:dyDescent="0.3">
      <c r="A69" s="15" t="s">
        <v>146</v>
      </c>
      <c r="B69" s="15" t="s">
        <v>186</v>
      </c>
      <c r="C69" s="15">
        <v>57</v>
      </c>
      <c r="D69" s="18">
        <v>153.19999999999999</v>
      </c>
      <c r="E69" s="15">
        <v>30.2</v>
      </c>
      <c r="F69" s="15">
        <v>0.4</v>
      </c>
      <c r="G69" s="15">
        <v>100</v>
      </c>
      <c r="H69" s="17">
        <v>6</v>
      </c>
      <c r="I69" s="1">
        <v>2</v>
      </c>
      <c r="J69" s="1">
        <v>3</v>
      </c>
    </row>
    <row r="70" spans="1:10" ht="15.75" customHeight="1" x14ac:dyDescent="0.3">
      <c r="A70" s="15" t="s">
        <v>153</v>
      </c>
      <c r="B70" s="23" t="s">
        <v>176</v>
      </c>
      <c r="C70" s="15">
        <v>98</v>
      </c>
      <c r="D70" s="18">
        <v>7.54</v>
      </c>
      <c r="E70" s="15">
        <v>25.8</v>
      </c>
      <c r="F70" s="15">
        <v>0</v>
      </c>
      <c r="G70" s="15">
        <v>100</v>
      </c>
      <c r="H70" s="17">
        <v>4</v>
      </c>
      <c r="I70" s="1">
        <v>5</v>
      </c>
      <c r="J70" s="1">
        <v>7</v>
      </c>
    </row>
    <row r="71" spans="1:10" ht="15.75" customHeight="1" x14ac:dyDescent="0.3">
      <c r="A71" s="15" t="s">
        <v>153</v>
      </c>
      <c r="B71" s="23" t="s">
        <v>176</v>
      </c>
      <c r="C71" s="15">
        <v>99</v>
      </c>
      <c r="D71" s="18">
        <v>6.06</v>
      </c>
      <c r="E71" s="15">
        <v>25.35</v>
      </c>
      <c r="F71" s="15">
        <v>0</v>
      </c>
      <c r="G71" s="15">
        <v>100</v>
      </c>
      <c r="H71" s="17">
        <v>4</v>
      </c>
      <c r="I71" s="1">
        <v>9</v>
      </c>
      <c r="J71" s="1">
        <v>9</v>
      </c>
    </row>
    <row r="72" spans="1:10" ht="15.75" customHeight="1" x14ac:dyDescent="0.3">
      <c r="A72" s="15" t="s">
        <v>153</v>
      </c>
      <c r="B72" s="23" t="s">
        <v>177</v>
      </c>
      <c r="C72" s="15">
        <v>98</v>
      </c>
      <c r="D72" s="18">
        <v>0.77</v>
      </c>
      <c r="E72" s="15">
        <v>22.6</v>
      </c>
      <c r="F72" s="15">
        <v>0</v>
      </c>
      <c r="G72" s="15">
        <v>100</v>
      </c>
      <c r="H72" s="17">
        <v>3</v>
      </c>
      <c r="I72" s="1">
        <v>8</v>
      </c>
      <c r="J72" s="1">
        <v>14</v>
      </c>
    </row>
    <row r="73" spans="1:10" ht="15.75" customHeight="1" x14ac:dyDescent="0.3">
      <c r="A73" s="15" t="s">
        <v>153</v>
      </c>
      <c r="B73" s="23" t="s">
        <v>177</v>
      </c>
      <c r="C73" s="15">
        <v>82</v>
      </c>
      <c r="D73" s="36">
        <v>0.19800000000000001</v>
      </c>
      <c r="E73" s="15">
        <v>24.3</v>
      </c>
      <c r="F73" s="15">
        <v>0</v>
      </c>
      <c r="G73" s="15">
        <v>20</v>
      </c>
      <c r="H73" s="17">
        <v>3</v>
      </c>
      <c r="I73" s="1">
        <v>9</v>
      </c>
      <c r="J73" s="1">
        <v>12</v>
      </c>
    </row>
    <row r="74" spans="1:10" ht="15.75" customHeight="1" x14ac:dyDescent="0.3">
      <c r="A74" s="15" t="s">
        <v>153</v>
      </c>
      <c r="B74" s="23" t="s">
        <v>200</v>
      </c>
      <c r="C74" s="15">
        <v>98</v>
      </c>
      <c r="D74" s="18">
        <v>3.69</v>
      </c>
      <c r="E74" s="15">
        <v>22.35</v>
      </c>
      <c r="F74" s="15">
        <v>0</v>
      </c>
      <c r="G74" s="15">
        <v>0</v>
      </c>
      <c r="H74" s="17">
        <v>5</v>
      </c>
      <c r="I74" s="1">
        <v>3</v>
      </c>
      <c r="J74" s="1">
        <v>7</v>
      </c>
    </row>
    <row r="75" spans="1:10" ht="15.75" customHeight="1" x14ac:dyDescent="0.3">
      <c r="A75" s="15" t="s">
        <v>153</v>
      </c>
      <c r="B75" s="23" t="s">
        <v>200</v>
      </c>
      <c r="C75" s="15">
        <v>98</v>
      </c>
      <c r="D75" s="18">
        <v>3.69</v>
      </c>
      <c r="E75" s="15">
        <v>22.35</v>
      </c>
      <c r="F75" s="15">
        <v>0</v>
      </c>
      <c r="G75" s="15">
        <v>0</v>
      </c>
      <c r="H75" s="17">
        <v>5</v>
      </c>
      <c r="I75" s="1">
        <v>13</v>
      </c>
      <c r="J75" s="1">
        <v>14</v>
      </c>
    </row>
    <row r="76" spans="1:10" ht="15.75" customHeight="1" x14ac:dyDescent="0.3">
      <c r="A76" s="15" t="s">
        <v>153</v>
      </c>
      <c r="B76" s="23" t="s">
        <v>200</v>
      </c>
      <c r="C76" s="15">
        <v>90</v>
      </c>
      <c r="D76" s="36">
        <v>3.5000000000000003E-2</v>
      </c>
      <c r="E76" s="15">
        <v>24.2</v>
      </c>
      <c r="F76" s="15">
        <v>0</v>
      </c>
      <c r="G76" s="15">
        <v>20</v>
      </c>
      <c r="H76" s="17">
        <v>5</v>
      </c>
      <c r="I76" s="1">
        <v>1</v>
      </c>
      <c r="J76" s="1">
        <v>1</v>
      </c>
    </row>
    <row r="77" spans="1:10" ht="15.75" customHeight="1" x14ac:dyDescent="0.3">
      <c r="A77" s="15" t="s">
        <v>153</v>
      </c>
      <c r="B77" s="23" t="s">
        <v>200</v>
      </c>
      <c r="C77" s="15">
        <v>61</v>
      </c>
      <c r="D77" s="36">
        <v>9.4E-2</v>
      </c>
      <c r="E77" s="15">
        <v>25.5</v>
      </c>
      <c r="F77" s="15">
        <v>0</v>
      </c>
      <c r="G77" s="15">
        <v>15</v>
      </c>
      <c r="H77" s="17">
        <v>5</v>
      </c>
      <c r="I77" s="1">
        <v>6</v>
      </c>
      <c r="J77" s="1">
        <v>8</v>
      </c>
    </row>
    <row r="78" spans="1:10" ht="15.75" customHeight="1" x14ac:dyDescent="0.3">
      <c r="A78" s="15" t="s">
        <v>153</v>
      </c>
      <c r="B78" s="23" t="s">
        <v>200</v>
      </c>
      <c r="C78" s="15">
        <v>65</v>
      </c>
      <c r="D78" s="36">
        <v>3.5000000000000003E-2</v>
      </c>
      <c r="E78" s="15">
        <v>25.7</v>
      </c>
      <c r="F78" s="15">
        <v>0</v>
      </c>
      <c r="G78" s="15">
        <v>100</v>
      </c>
      <c r="H78" s="17">
        <v>5</v>
      </c>
      <c r="I78" s="1">
        <v>3</v>
      </c>
      <c r="J78" s="1">
        <v>3</v>
      </c>
    </row>
    <row r="79" spans="1:10" ht="15.75" customHeight="1" x14ac:dyDescent="0.3">
      <c r="A79" s="15" t="s">
        <v>153</v>
      </c>
      <c r="B79" s="23" t="s">
        <v>180</v>
      </c>
      <c r="C79" s="15">
        <v>85</v>
      </c>
      <c r="D79" s="18">
        <v>3.81</v>
      </c>
      <c r="E79" s="15">
        <v>25</v>
      </c>
      <c r="F79" s="15">
        <v>0</v>
      </c>
      <c r="G79" s="15">
        <v>78.33</v>
      </c>
      <c r="H79" s="17">
        <v>5</v>
      </c>
      <c r="I79" s="1">
        <v>3</v>
      </c>
      <c r="J79" s="1">
        <v>3</v>
      </c>
    </row>
    <row r="80" spans="1:10" ht="15.75" customHeight="1" x14ac:dyDescent="0.3">
      <c r="A80" s="15" t="s">
        <v>153</v>
      </c>
      <c r="B80" s="23" t="s">
        <v>180</v>
      </c>
      <c r="C80" s="15">
        <v>61</v>
      </c>
      <c r="D80" s="18">
        <v>4.78</v>
      </c>
      <c r="E80" s="15">
        <v>28.7</v>
      </c>
      <c r="F80" s="15">
        <v>0</v>
      </c>
      <c r="G80" s="15">
        <v>100</v>
      </c>
      <c r="H80" s="17">
        <v>5</v>
      </c>
      <c r="I80" s="1">
        <v>0</v>
      </c>
      <c r="J80" s="1">
        <v>0</v>
      </c>
    </row>
    <row r="81" spans="1:10" ht="15.75" customHeight="1" x14ac:dyDescent="0.3">
      <c r="A81" s="15" t="s">
        <v>153</v>
      </c>
      <c r="B81" s="23" t="s">
        <v>180</v>
      </c>
      <c r="C81" s="15">
        <v>47</v>
      </c>
      <c r="D81" s="36">
        <v>0.74399999999999999</v>
      </c>
      <c r="E81" s="15">
        <v>29.9</v>
      </c>
      <c r="F81" s="15">
        <v>0</v>
      </c>
      <c r="G81" s="15">
        <v>2</v>
      </c>
      <c r="H81" s="17">
        <v>5</v>
      </c>
      <c r="I81" s="1">
        <v>2</v>
      </c>
      <c r="J81" s="1">
        <v>2</v>
      </c>
    </row>
    <row r="82" spans="1:10" ht="15.75" customHeight="1" x14ac:dyDescent="0.3">
      <c r="A82" s="15" t="s">
        <v>153</v>
      </c>
      <c r="B82" s="23" t="s">
        <v>180</v>
      </c>
      <c r="C82" s="15">
        <v>50</v>
      </c>
      <c r="D82" s="36">
        <v>0.7</v>
      </c>
      <c r="E82" s="15">
        <v>26.3</v>
      </c>
      <c r="F82" s="15">
        <v>0</v>
      </c>
      <c r="G82" s="15">
        <v>100</v>
      </c>
      <c r="H82" s="17">
        <v>5</v>
      </c>
      <c r="I82" s="1">
        <v>2</v>
      </c>
      <c r="J82" s="1">
        <v>5</v>
      </c>
    </row>
    <row r="83" spans="1:10" ht="15.75" customHeight="1" x14ac:dyDescent="0.3">
      <c r="A83" s="15" t="s">
        <v>153</v>
      </c>
      <c r="B83" s="23" t="s">
        <v>181</v>
      </c>
      <c r="C83" s="15">
        <v>85</v>
      </c>
      <c r="D83" s="18">
        <v>13.84</v>
      </c>
      <c r="E83" s="15">
        <v>26.7</v>
      </c>
      <c r="F83" s="15">
        <v>0</v>
      </c>
      <c r="G83" s="15">
        <v>100</v>
      </c>
      <c r="H83" s="17">
        <v>3</v>
      </c>
      <c r="I83" s="1">
        <v>4</v>
      </c>
      <c r="J83" s="1">
        <v>6</v>
      </c>
    </row>
    <row r="84" spans="1:10" ht="15.75" customHeight="1" x14ac:dyDescent="0.3">
      <c r="A84" s="15" t="s">
        <v>153</v>
      </c>
      <c r="B84" s="23" t="s">
        <v>181</v>
      </c>
      <c r="C84" s="15">
        <v>55</v>
      </c>
      <c r="D84" s="18">
        <v>55.3</v>
      </c>
      <c r="E84" s="15">
        <v>30.2</v>
      </c>
      <c r="F84" s="15">
        <v>0</v>
      </c>
      <c r="G84" s="15">
        <v>100</v>
      </c>
      <c r="H84" s="17">
        <v>3</v>
      </c>
      <c r="I84" s="1">
        <v>0</v>
      </c>
      <c r="J84" s="1">
        <v>0</v>
      </c>
    </row>
    <row r="85" spans="1:10" ht="15.75" customHeight="1" x14ac:dyDescent="0.3">
      <c r="A85" s="15" t="s">
        <v>153</v>
      </c>
      <c r="B85" s="23" t="s">
        <v>181</v>
      </c>
      <c r="C85" s="15">
        <v>51</v>
      </c>
      <c r="D85" s="18">
        <v>26.78</v>
      </c>
      <c r="E85" s="15">
        <v>30.7</v>
      </c>
      <c r="F85" s="15">
        <v>0</v>
      </c>
      <c r="G85" s="15">
        <v>23.33</v>
      </c>
      <c r="H85" s="17">
        <v>3</v>
      </c>
      <c r="I85" s="1">
        <v>2</v>
      </c>
      <c r="J85" s="1">
        <v>2</v>
      </c>
    </row>
    <row r="86" spans="1:10" ht="15.75" customHeight="1" x14ac:dyDescent="0.3">
      <c r="A86" s="15" t="s">
        <v>153</v>
      </c>
      <c r="B86" s="23" t="s">
        <v>198</v>
      </c>
      <c r="C86" s="15">
        <v>90</v>
      </c>
      <c r="D86" s="18">
        <v>8.44</v>
      </c>
      <c r="E86" s="15">
        <v>27.4</v>
      </c>
      <c r="F86" s="15">
        <v>0.8</v>
      </c>
      <c r="G86" s="15">
        <v>100</v>
      </c>
      <c r="H86" s="17">
        <v>3</v>
      </c>
      <c r="I86" s="1">
        <v>12</v>
      </c>
      <c r="J86" s="1">
        <v>17</v>
      </c>
    </row>
    <row r="87" spans="1:10" ht="15.75" customHeight="1" x14ac:dyDescent="0.3">
      <c r="A87" s="15" t="s">
        <v>153</v>
      </c>
      <c r="B87" s="16" t="s">
        <v>198</v>
      </c>
      <c r="C87" s="15">
        <v>58</v>
      </c>
      <c r="D87" s="18">
        <v>30.1</v>
      </c>
      <c r="E87" s="15">
        <v>29.1</v>
      </c>
      <c r="F87" s="15">
        <v>0</v>
      </c>
      <c r="G87" s="15">
        <v>98.75</v>
      </c>
      <c r="H87" s="17">
        <v>3</v>
      </c>
      <c r="I87" s="1">
        <v>2</v>
      </c>
      <c r="J87" s="1">
        <v>2</v>
      </c>
    </row>
    <row r="88" spans="1:10" ht="15.75" customHeight="1" x14ac:dyDescent="0.3">
      <c r="A88" s="15" t="s">
        <v>153</v>
      </c>
      <c r="B88" s="23" t="s">
        <v>183</v>
      </c>
      <c r="C88" s="15">
        <v>95</v>
      </c>
      <c r="D88" s="18">
        <v>10.69</v>
      </c>
      <c r="E88" s="15">
        <v>22.8</v>
      </c>
      <c r="F88" s="15">
        <v>1.2</v>
      </c>
      <c r="G88" s="15">
        <v>100</v>
      </c>
      <c r="H88" s="17">
        <v>3</v>
      </c>
      <c r="I88" s="1">
        <v>4</v>
      </c>
      <c r="J88" s="1">
        <v>7</v>
      </c>
    </row>
    <row r="89" spans="1:10" ht="15.75" customHeight="1" x14ac:dyDescent="0.3">
      <c r="A89" s="15" t="s">
        <v>153</v>
      </c>
      <c r="B89" s="23" t="s">
        <v>183</v>
      </c>
      <c r="C89" s="15">
        <v>95</v>
      </c>
      <c r="D89" s="18">
        <v>5.99</v>
      </c>
      <c r="E89" s="15">
        <v>25.7</v>
      </c>
      <c r="F89" s="15">
        <v>0</v>
      </c>
      <c r="G89" s="15">
        <v>100</v>
      </c>
      <c r="H89" s="17">
        <v>3</v>
      </c>
      <c r="I89" s="1">
        <v>5</v>
      </c>
      <c r="J89" s="1">
        <v>7</v>
      </c>
    </row>
    <row r="90" spans="1:10" ht="15.75" customHeight="1" x14ac:dyDescent="0.3">
      <c r="A90" s="15" t="s">
        <v>153</v>
      </c>
      <c r="B90" s="16" t="s">
        <v>183</v>
      </c>
      <c r="C90" s="15">
        <v>98</v>
      </c>
      <c r="D90" s="18">
        <v>3.61</v>
      </c>
      <c r="E90" s="15">
        <v>23</v>
      </c>
      <c r="F90" s="15">
        <v>0</v>
      </c>
      <c r="G90" s="15">
        <v>100</v>
      </c>
      <c r="H90" s="17">
        <v>3</v>
      </c>
      <c r="I90" s="1">
        <v>0</v>
      </c>
      <c r="J90" s="1">
        <v>0</v>
      </c>
    </row>
    <row r="91" spans="1:10" ht="15.75" customHeight="1" x14ac:dyDescent="0.3">
      <c r="A91" s="15" t="s">
        <v>153</v>
      </c>
      <c r="B91" s="23" t="s">
        <v>183</v>
      </c>
      <c r="C91" s="15">
        <v>80</v>
      </c>
      <c r="D91" s="18">
        <v>6.89</v>
      </c>
      <c r="E91" s="15">
        <v>24.3</v>
      </c>
      <c r="F91" s="15">
        <v>0.87</v>
      </c>
      <c r="G91" s="15">
        <v>100</v>
      </c>
      <c r="H91" s="17">
        <v>3</v>
      </c>
      <c r="I91" s="1">
        <v>2</v>
      </c>
      <c r="J91" s="1">
        <v>2</v>
      </c>
    </row>
    <row r="92" spans="1:10" ht="15.75" customHeight="1" x14ac:dyDescent="0.3">
      <c r="A92" s="15" t="s">
        <v>153</v>
      </c>
      <c r="B92" s="23" t="s">
        <v>186</v>
      </c>
      <c r="C92" s="15">
        <v>95</v>
      </c>
      <c r="D92" s="18">
        <v>1.44</v>
      </c>
      <c r="E92" s="15">
        <v>25.1</v>
      </c>
      <c r="F92" s="15">
        <v>0</v>
      </c>
      <c r="G92" s="15">
        <v>100</v>
      </c>
      <c r="H92" s="17">
        <v>6</v>
      </c>
      <c r="I92" s="1">
        <v>2</v>
      </c>
      <c r="J92" s="1">
        <v>7</v>
      </c>
    </row>
    <row r="93" spans="1:10" ht="15.75" customHeight="1" x14ac:dyDescent="0.3">
      <c r="A93" s="15" t="s">
        <v>153</v>
      </c>
      <c r="B93" s="23" t="s">
        <v>186</v>
      </c>
      <c r="C93" s="15">
        <v>99</v>
      </c>
      <c r="D93" s="18">
        <v>0.54</v>
      </c>
      <c r="E93" s="15">
        <v>21.9</v>
      </c>
      <c r="F93" s="15">
        <v>0</v>
      </c>
      <c r="G93" s="15">
        <v>100</v>
      </c>
      <c r="H93" s="17">
        <v>6</v>
      </c>
      <c r="I93" s="1">
        <v>3</v>
      </c>
      <c r="J93" s="1">
        <v>3</v>
      </c>
    </row>
    <row r="94" spans="1:10" ht="15.75" customHeight="1" x14ac:dyDescent="0.3">
      <c r="A94" s="15" t="s">
        <v>153</v>
      </c>
      <c r="B94" s="23" t="s">
        <v>186</v>
      </c>
      <c r="C94" s="15">
        <v>99</v>
      </c>
      <c r="D94" s="18">
        <v>0.63</v>
      </c>
      <c r="E94" s="15">
        <v>25.1</v>
      </c>
      <c r="F94" s="15">
        <v>0</v>
      </c>
      <c r="G94" s="15">
        <v>100</v>
      </c>
      <c r="H94" s="17">
        <v>6</v>
      </c>
      <c r="I94" s="1">
        <v>3</v>
      </c>
      <c r="J94" s="1">
        <v>8</v>
      </c>
    </row>
    <row r="95" spans="1:10" ht="15.75" customHeight="1" x14ac:dyDescent="0.3">
      <c r="A95" s="15" t="s">
        <v>153</v>
      </c>
      <c r="B95" s="23" t="s">
        <v>186</v>
      </c>
      <c r="C95" s="15">
        <v>99</v>
      </c>
      <c r="D95" s="18">
        <v>1.67</v>
      </c>
      <c r="E95" s="15">
        <v>25.2</v>
      </c>
      <c r="F95" s="15">
        <v>0</v>
      </c>
      <c r="G95" s="15">
        <v>100</v>
      </c>
      <c r="H95" s="17">
        <v>6</v>
      </c>
      <c r="I95" s="1">
        <v>3</v>
      </c>
      <c r="J95" s="1">
        <v>4</v>
      </c>
    </row>
    <row r="96" spans="1:10" ht="15.75" customHeight="1" x14ac:dyDescent="0.3">
      <c r="A96" s="15" t="s">
        <v>158</v>
      </c>
      <c r="B96" s="23" t="s">
        <v>176</v>
      </c>
      <c r="C96" s="15">
        <v>96</v>
      </c>
      <c r="D96" s="18">
        <v>1.1399999999999999</v>
      </c>
      <c r="E96" s="15">
        <v>26.4</v>
      </c>
      <c r="F96" s="15">
        <v>0</v>
      </c>
      <c r="G96" s="15">
        <v>22</v>
      </c>
      <c r="H96" s="17">
        <v>4</v>
      </c>
      <c r="I96" s="1">
        <v>4</v>
      </c>
      <c r="J96" s="1">
        <v>7</v>
      </c>
    </row>
    <row r="97" spans="1:10" ht="15.75" customHeight="1" x14ac:dyDescent="0.3">
      <c r="A97" s="15" t="s">
        <v>158</v>
      </c>
      <c r="B97" s="23" t="s">
        <v>176</v>
      </c>
      <c r="C97" s="15">
        <v>99</v>
      </c>
      <c r="D97" s="18">
        <v>8.51</v>
      </c>
      <c r="E97" s="15">
        <v>26.5</v>
      </c>
      <c r="F97" s="15">
        <v>0</v>
      </c>
      <c r="G97" s="15">
        <v>36.659999999999997</v>
      </c>
      <c r="H97" s="17">
        <v>4</v>
      </c>
      <c r="I97" s="1">
        <v>9</v>
      </c>
      <c r="J97" s="1">
        <v>9</v>
      </c>
    </row>
    <row r="98" spans="1:10" ht="15.75" customHeight="1" x14ac:dyDescent="0.3">
      <c r="A98" s="15" t="s">
        <v>158</v>
      </c>
      <c r="B98" s="23" t="s">
        <v>176</v>
      </c>
      <c r="C98" s="15">
        <v>99</v>
      </c>
      <c r="D98" s="18">
        <v>8.52</v>
      </c>
      <c r="E98" s="15">
        <v>26.5</v>
      </c>
      <c r="F98" s="15">
        <v>0</v>
      </c>
      <c r="G98" s="15">
        <v>100</v>
      </c>
      <c r="H98" s="17">
        <v>4</v>
      </c>
      <c r="I98" s="1">
        <v>5</v>
      </c>
      <c r="J98" s="1">
        <v>6</v>
      </c>
    </row>
    <row r="99" spans="1:10" ht="15.75" customHeight="1" x14ac:dyDescent="0.3">
      <c r="A99" s="15" t="s">
        <v>158</v>
      </c>
      <c r="B99" s="23" t="s">
        <v>178</v>
      </c>
      <c r="C99" s="15">
        <v>99</v>
      </c>
      <c r="D99" s="18">
        <v>6.93</v>
      </c>
      <c r="E99" s="15">
        <v>23.5</v>
      </c>
      <c r="F99" s="15">
        <v>0</v>
      </c>
      <c r="G99" s="15">
        <v>98</v>
      </c>
      <c r="H99" s="17">
        <v>3</v>
      </c>
      <c r="I99" s="1">
        <v>7</v>
      </c>
      <c r="J99" s="1">
        <v>7</v>
      </c>
    </row>
    <row r="100" spans="1:10" ht="15.75" customHeight="1" x14ac:dyDescent="0.3">
      <c r="A100" s="15" t="s">
        <v>158</v>
      </c>
      <c r="B100" s="23" t="s">
        <v>178</v>
      </c>
      <c r="C100" s="15">
        <v>99</v>
      </c>
      <c r="D100" s="18">
        <v>6.8</v>
      </c>
      <c r="E100" s="15">
        <v>23.5</v>
      </c>
      <c r="F100" s="15">
        <v>0</v>
      </c>
      <c r="G100" s="15">
        <v>100</v>
      </c>
      <c r="H100" s="17">
        <v>3</v>
      </c>
      <c r="I100" s="1">
        <v>1</v>
      </c>
      <c r="J100" s="1">
        <v>1</v>
      </c>
    </row>
    <row r="101" spans="1:10" ht="15.75" customHeight="1" x14ac:dyDescent="0.3">
      <c r="A101" s="15" t="s">
        <v>158</v>
      </c>
      <c r="B101" s="23" t="s">
        <v>200</v>
      </c>
      <c r="C101" s="15">
        <v>89</v>
      </c>
      <c r="D101" s="18">
        <v>2.74</v>
      </c>
      <c r="E101" s="15">
        <v>23.5</v>
      </c>
      <c r="F101" s="15">
        <v>0</v>
      </c>
      <c r="G101" s="15">
        <v>0</v>
      </c>
      <c r="H101" s="17">
        <v>5</v>
      </c>
      <c r="I101" s="1">
        <v>13</v>
      </c>
      <c r="J101" s="1">
        <v>16</v>
      </c>
    </row>
    <row r="102" spans="1:10" ht="15.75" customHeight="1" x14ac:dyDescent="0.3">
      <c r="A102" s="15" t="s">
        <v>158</v>
      </c>
      <c r="B102" s="23" t="s">
        <v>200</v>
      </c>
      <c r="C102" s="15">
        <v>99</v>
      </c>
      <c r="D102" s="18">
        <v>0.32</v>
      </c>
      <c r="E102" s="15">
        <v>21.5</v>
      </c>
      <c r="F102" s="15">
        <v>0</v>
      </c>
      <c r="G102" s="15">
        <v>100</v>
      </c>
      <c r="H102" s="17">
        <v>5</v>
      </c>
      <c r="I102" s="1">
        <v>3</v>
      </c>
      <c r="J102" s="1">
        <v>3</v>
      </c>
    </row>
    <row r="103" spans="1:10" ht="15.75" customHeight="1" x14ac:dyDescent="0.3">
      <c r="A103" s="15" t="s">
        <v>158</v>
      </c>
      <c r="B103" s="23" t="s">
        <v>200</v>
      </c>
      <c r="C103" s="15">
        <v>87</v>
      </c>
      <c r="D103" s="18">
        <v>0.03</v>
      </c>
      <c r="E103" s="15">
        <v>23.2</v>
      </c>
      <c r="F103" s="15">
        <v>0</v>
      </c>
      <c r="G103" s="15">
        <v>100</v>
      </c>
      <c r="H103" s="17">
        <v>5</v>
      </c>
      <c r="I103" s="1">
        <v>3</v>
      </c>
      <c r="J103" s="1">
        <v>3</v>
      </c>
    </row>
    <row r="104" spans="1:10" ht="15.75" customHeight="1" x14ac:dyDescent="0.3">
      <c r="A104" s="15" t="s">
        <v>158</v>
      </c>
      <c r="B104" s="23" t="s">
        <v>200</v>
      </c>
      <c r="C104" s="15">
        <v>85</v>
      </c>
      <c r="D104" s="18">
        <v>0.04</v>
      </c>
      <c r="E104" s="15">
        <v>23.2</v>
      </c>
      <c r="F104" s="15">
        <v>0</v>
      </c>
      <c r="G104" s="15">
        <v>50</v>
      </c>
      <c r="H104" s="17">
        <v>5</v>
      </c>
      <c r="I104" s="1">
        <v>1</v>
      </c>
      <c r="J104" s="1">
        <v>1</v>
      </c>
    </row>
    <row r="105" spans="1:10" ht="15.75" customHeight="1" x14ac:dyDescent="0.3">
      <c r="A105" s="15" t="s">
        <v>158</v>
      </c>
      <c r="B105" s="23" t="s">
        <v>180</v>
      </c>
      <c r="C105" s="15">
        <v>88</v>
      </c>
      <c r="D105" s="18">
        <v>0.69</v>
      </c>
      <c r="E105" s="15">
        <v>23.4</v>
      </c>
      <c r="F105" s="15">
        <v>6</v>
      </c>
      <c r="G105" s="15">
        <v>100</v>
      </c>
      <c r="H105" s="17">
        <v>5</v>
      </c>
      <c r="I105" s="1">
        <v>8</v>
      </c>
      <c r="J105" s="1">
        <v>9</v>
      </c>
    </row>
    <row r="106" spans="1:10" ht="15.75" customHeight="1" x14ac:dyDescent="0.3">
      <c r="A106" s="15" t="s">
        <v>158</v>
      </c>
      <c r="B106" s="23" t="s">
        <v>180</v>
      </c>
      <c r="C106" s="15">
        <v>88</v>
      </c>
      <c r="D106" s="18">
        <v>1.86</v>
      </c>
      <c r="E106" s="15">
        <v>27.2</v>
      </c>
      <c r="F106" s="15">
        <v>0.6</v>
      </c>
      <c r="G106" s="15">
        <v>100</v>
      </c>
      <c r="H106" s="17">
        <v>5</v>
      </c>
      <c r="I106" s="1">
        <v>4</v>
      </c>
      <c r="J106" s="1">
        <v>4</v>
      </c>
    </row>
    <row r="107" spans="1:10" ht="15.75" customHeight="1" x14ac:dyDescent="0.3">
      <c r="A107" s="15" t="s">
        <v>158</v>
      </c>
      <c r="B107" s="23" t="s">
        <v>181</v>
      </c>
      <c r="C107" s="15">
        <v>80</v>
      </c>
      <c r="D107" s="18">
        <v>51.6</v>
      </c>
      <c r="E107" s="15">
        <v>28.7</v>
      </c>
      <c r="F107" s="15">
        <v>2.5</v>
      </c>
      <c r="G107" s="15">
        <v>0</v>
      </c>
      <c r="H107" s="17">
        <v>3</v>
      </c>
      <c r="I107" s="1">
        <v>5</v>
      </c>
      <c r="J107" s="1">
        <v>5</v>
      </c>
    </row>
    <row r="108" spans="1:10" ht="15.75" customHeight="1" x14ac:dyDescent="0.3">
      <c r="A108" s="15" t="s">
        <v>158</v>
      </c>
      <c r="B108" s="23" t="s">
        <v>198</v>
      </c>
      <c r="C108" s="15">
        <v>71</v>
      </c>
      <c r="D108" s="18">
        <v>7.17</v>
      </c>
      <c r="E108" s="15">
        <v>26.1</v>
      </c>
      <c r="F108" s="15">
        <v>1.9</v>
      </c>
      <c r="G108" s="15">
        <v>0</v>
      </c>
      <c r="H108" s="17">
        <v>3</v>
      </c>
      <c r="I108" s="1">
        <v>9</v>
      </c>
      <c r="J108" s="1">
        <v>11</v>
      </c>
    </row>
    <row r="109" spans="1:10" ht="15.75" customHeight="1" x14ac:dyDescent="0.3">
      <c r="A109" s="15" t="s">
        <v>158</v>
      </c>
      <c r="B109" s="23" t="s">
        <v>198</v>
      </c>
      <c r="C109" s="15">
        <v>74</v>
      </c>
      <c r="D109" s="18">
        <v>7.5</v>
      </c>
      <c r="E109" s="15">
        <v>26</v>
      </c>
      <c r="F109" s="15">
        <v>0</v>
      </c>
      <c r="G109" s="15">
        <v>100</v>
      </c>
      <c r="H109" s="17">
        <v>3</v>
      </c>
      <c r="I109" s="1">
        <v>1</v>
      </c>
      <c r="J109" s="1">
        <v>1</v>
      </c>
    </row>
    <row r="110" spans="1:10" ht="15.75" customHeight="1" x14ac:dyDescent="0.3">
      <c r="A110" s="15" t="s">
        <v>158</v>
      </c>
      <c r="B110" s="23" t="s">
        <v>198</v>
      </c>
      <c r="C110" s="15">
        <v>54</v>
      </c>
      <c r="D110" s="18">
        <v>10.85</v>
      </c>
      <c r="E110" s="15">
        <v>28.3</v>
      </c>
      <c r="F110" s="15">
        <v>1.45</v>
      </c>
      <c r="G110" s="15">
        <v>35</v>
      </c>
      <c r="H110" s="17">
        <v>3</v>
      </c>
      <c r="I110" s="1">
        <v>4</v>
      </c>
      <c r="J110" s="1">
        <v>4</v>
      </c>
    </row>
    <row r="111" spans="1:10" ht="15.75" customHeight="1" x14ac:dyDescent="0.3">
      <c r="A111" s="15" t="s">
        <v>158</v>
      </c>
      <c r="B111" s="23" t="s">
        <v>183</v>
      </c>
      <c r="C111" s="15">
        <v>77</v>
      </c>
      <c r="D111" s="18">
        <v>19</v>
      </c>
      <c r="E111" s="15">
        <v>23.9</v>
      </c>
      <c r="F111" s="15">
        <v>0</v>
      </c>
      <c r="G111" s="15">
        <v>100</v>
      </c>
      <c r="H111" s="17">
        <v>3</v>
      </c>
      <c r="I111" s="1">
        <v>4</v>
      </c>
      <c r="J111" s="1">
        <v>13</v>
      </c>
    </row>
    <row r="112" spans="1:10" ht="15.75" customHeight="1" x14ac:dyDescent="0.3">
      <c r="A112" s="15" t="s">
        <v>158</v>
      </c>
      <c r="B112" s="23" t="s">
        <v>183</v>
      </c>
      <c r="C112" s="15">
        <v>99</v>
      </c>
      <c r="D112" s="18">
        <v>29.59</v>
      </c>
      <c r="E112" s="15">
        <v>24.9</v>
      </c>
      <c r="F112" s="15">
        <v>0.65</v>
      </c>
      <c r="G112" s="15">
        <v>99</v>
      </c>
      <c r="H112" s="17">
        <v>3</v>
      </c>
      <c r="I112" s="1">
        <v>4</v>
      </c>
      <c r="J112" s="1">
        <v>7</v>
      </c>
    </row>
    <row r="113" spans="1:10" ht="15.75" customHeight="1" x14ac:dyDescent="0.3">
      <c r="A113" s="15" t="s">
        <v>158</v>
      </c>
      <c r="B113" s="23" t="s">
        <v>183</v>
      </c>
      <c r="C113" s="15">
        <v>74</v>
      </c>
      <c r="D113" s="18">
        <v>1.52</v>
      </c>
      <c r="E113" s="15">
        <v>19.829999999999998</v>
      </c>
      <c r="F113" s="15">
        <v>0.85</v>
      </c>
      <c r="G113" s="15">
        <v>100</v>
      </c>
      <c r="H113" s="17">
        <v>3</v>
      </c>
      <c r="I113" s="1">
        <v>2</v>
      </c>
      <c r="J113" s="1">
        <v>2</v>
      </c>
    </row>
    <row r="114" spans="1:10" ht="15.75" customHeight="1" x14ac:dyDescent="0.3">
      <c r="A114" s="15" t="s">
        <v>158</v>
      </c>
      <c r="B114" s="23" t="s">
        <v>186</v>
      </c>
      <c r="C114" s="15">
        <v>95</v>
      </c>
      <c r="D114" s="18">
        <v>0.4</v>
      </c>
      <c r="E114" s="15">
        <v>17.100000000000001</v>
      </c>
      <c r="F114" s="15">
        <v>0</v>
      </c>
      <c r="G114" s="15">
        <v>0</v>
      </c>
      <c r="H114" s="17">
        <v>6</v>
      </c>
      <c r="I114" s="1">
        <v>10</v>
      </c>
      <c r="J114" s="1">
        <v>33</v>
      </c>
    </row>
    <row r="115" spans="1:10" ht="15.75" customHeight="1" x14ac:dyDescent="0.3">
      <c r="A115" s="15" t="s">
        <v>158</v>
      </c>
      <c r="B115" s="23" t="s">
        <v>186</v>
      </c>
      <c r="C115" s="15">
        <v>95</v>
      </c>
      <c r="D115" s="18">
        <v>0.42</v>
      </c>
      <c r="E115" s="15">
        <v>17.2</v>
      </c>
      <c r="F115" s="15">
        <v>0</v>
      </c>
      <c r="G115" s="15">
        <v>100</v>
      </c>
      <c r="H115" s="17">
        <v>6</v>
      </c>
      <c r="I115" s="1">
        <v>1</v>
      </c>
      <c r="J115" s="1">
        <v>1</v>
      </c>
    </row>
    <row r="116" spans="1:10" ht="15.75" customHeight="1" x14ac:dyDescent="0.3">
      <c r="A116" s="15" t="s">
        <v>158</v>
      </c>
      <c r="B116" s="23" t="s">
        <v>186</v>
      </c>
      <c r="C116" s="15">
        <v>95</v>
      </c>
      <c r="D116" s="18">
        <v>0.41</v>
      </c>
      <c r="E116" s="15">
        <v>17.100000000000001</v>
      </c>
      <c r="F116" s="15">
        <v>0</v>
      </c>
      <c r="G116" s="15">
        <v>100</v>
      </c>
      <c r="H116" s="17">
        <v>6</v>
      </c>
      <c r="I116" s="1">
        <v>8</v>
      </c>
      <c r="J116" s="1">
        <v>11</v>
      </c>
    </row>
    <row r="117" spans="1:10" ht="15.75" customHeight="1" x14ac:dyDescent="0.3">
      <c r="A117" s="15" t="s">
        <v>158</v>
      </c>
      <c r="B117" s="23" t="s">
        <v>186</v>
      </c>
      <c r="C117" s="15">
        <v>87</v>
      </c>
      <c r="D117" s="18">
        <v>0.16</v>
      </c>
      <c r="E117" s="15">
        <v>20.2</v>
      </c>
      <c r="F117" s="15">
        <v>0</v>
      </c>
      <c r="G117" s="15">
        <v>100</v>
      </c>
      <c r="H117" s="17">
        <v>6</v>
      </c>
      <c r="I117" s="1">
        <v>6</v>
      </c>
      <c r="J117" s="1">
        <v>6</v>
      </c>
    </row>
    <row r="118" spans="1:10" ht="15.75" customHeight="1" x14ac:dyDescent="0.3">
      <c r="A118" s="15" t="s">
        <v>164</v>
      </c>
      <c r="B118" s="23" t="s">
        <v>176</v>
      </c>
      <c r="C118" s="15">
        <v>89</v>
      </c>
      <c r="D118" s="18">
        <v>1.36</v>
      </c>
      <c r="E118" s="15">
        <v>23.18</v>
      </c>
      <c r="F118" s="15">
        <v>0</v>
      </c>
      <c r="G118" s="15">
        <v>100</v>
      </c>
      <c r="H118" s="17">
        <v>4</v>
      </c>
      <c r="I118" s="1">
        <v>8</v>
      </c>
      <c r="J118" s="1">
        <v>11</v>
      </c>
    </row>
    <row r="119" spans="1:10" ht="15.75" customHeight="1" x14ac:dyDescent="0.3">
      <c r="A119" s="15" t="s">
        <v>164</v>
      </c>
      <c r="B119" s="23" t="s">
        <v>177</v>
      </c>
      <c r="C119" s="15">
        <v>94</v>
      </c>
      <c r="D119" s="18">
        <v>7.68</v>
      </c>
      <c r="E119" s="15">
        <v>26.7</v>
      </c>
      <c r="F119" s="15">
        <v>0.75</v>
      </c>
      <c r="G119" s="15">
        <v>100</v>
      </c>
      <c r="H119" s="17">
        <v>3</v>
      </c>
      <c r="I119" s="1">
        <v>6</v>
      </c>
      <c r="J119" s="1">
        <v>8</v>
      </c>
    </row>
    <row r="120" spans="1:10" ht="15.75" customHeight="1" x14ac:dyDescent="0.3">
      <c r="A120" s="15" t="s">
        <v>164</v>
      </c>
      <c r="B120" s="23" t="s">
        <v>177</v>
      </c>
      <c r="C120" s="15">
        <v>90</v>
      </c>
      <c r="D120" s="18">
        <v>1.5</v>
      </c>
      <c r="E120" s="15">
        <v>23.4</v>
      </c>
      <c r="F120" s="15">
        <v>0</v>
      </c>
      <c r="G120" s="15">
        <v>100</v>
      </c>
      <c r="H120" s="17">
        <v>3</v>
      </c>
      <c r="I120" s="1">
        <v>1</v>
      </c>
      <c r="J120" s="1">
        <v>1</v>
      </c>
    </row>
    <row r="121" spans="1:10" ht="15.75" customHeight="1" x14ac:dyDescent="0.3">
      <c r="A121" s="15" t="s">
        <v>164</v>
      </c>
      <c r="B121" s="23" t="s">
        <v>200</v>
      </c>
      <c r="C121" s="15">
        <v>91</v>
      </c>
      <c r="D121" s="18">
        <v>1.1499999999999999</v>
      </c>
      <c r="E121" s="15">
        <v>24.4</v>
      </c>
      <c r="F121" s="15">
        <v>0</v>
      </c>
      <c r="G121" s="15">
        <v>100</v>
      </c>
      <c r="H121" s="17">
        <v>5</v>
      </c>
      <c r="I121" s="1">
        <v>8</v>
      </c>
      <c r="J121" s="1">
        <v>8</v>
      </c>
    </row>
    <row r="122" spans="1:10" ht="15.75" customHeight="1" x14ac:dyDescent="0.3">
      <c r="A122" s="15" t="s">
        <v>164</v>
      </c>
      <c r="B122" s="23" t="s">
        <v>200</v>
      </c>
      <c r="C122" s="15">
        <v>94</v>
      </c>
      <c r="D122" s="18">
        <v>1.2</v>
      </c>
      <c r="E122" s="15">
        <v>24.4</v>
      </c>
      <c r="F122" s="15">
        <v>0</v>
      </c>
      <c r="G122" s="15">
        <v>100</v>
      </c>
      <c r="H122" s="17">
        <v>5</v>
      </c>
      <c r="I122" s="1">
        <v>1</v>
      </c>
      <c r="J122" s="1">
        <v>1</v>
      </c>
    </row>
    <row r="123" spans="1:10" ht="15.75" customHeight="1" x14ac:dyDescent="0.3">
      <c r="A123" s="15" t="s">
        <v>164</v>
      </c>
      <c r="B123" s="23" t="s">
        <v>200</v>
      </c>
      <c r="C123" s="15">
        <v>85</v>
      </c>
      <c r="D123" s="18">
        <v>1.3</v>
      </c>
      <c r="E123" s="15">
        <v>24.4</v>
      </c>
      <c r="F123" s="15">
        <v>0</v>
      </c>
      <c r="G123" s="15">
        <v>100</v>
      </c>
      <c r="H123" s="17">
        <v>5</v>
      </c>
      <c r="I123" s="1">
        <v>8</v>
      </c>
      <c r="J123" s="1">
        <v>8</v>
      </c>
    </row>
    <row r="124" spans="1:10" ht="15.75" customHeight="1" x14ac:dyDescent="0.3">
      <c r="A124" s="15" t="s">
        <v>164</v>
      </c>
      <c r="B124" s="23" t="s">
        <v>180</v>
      </c>
      <c r="C124" s="15">
        <v>91</v>
      </c>
      <c r="D124" s="18">
        <v>0.57999999999999996</v>
      </c>
      <c r="E124" s="15">
        <v>26.4</v>
      </c>
      <c r="F124" s="15">
        <v>0</v>
      </c>
      <c r="G124" s="15">
        <v>100</v>
      </c>
      <c r="H124" s="17">
        <v>5</v>
      </c>
      <c r="I124" s="1">
        <v>10</v>
      </c>
      <c r="J124" s="1">
        <v>10</v>
      </c>
    </row>
    <row r="125" spans="1:10" ht="15.75" customHeight="1" x14ac:dyDescent="0.3">
      <c r="A125" s="15" t="s">
        <v>164</v>
      </c>
      <c r="B125" s="23" t="s">
        <v>180</v>
      </c>
      <c r="C125" s="15">
        <v>91</v>
      </c>
      <c r="D125" s="18">
        <v>0.81</v>
      </c>
      <c r="E125" s="15">
        <v>23.28</v>
      </c>
      <c r="F125" s="15">
        <v>0</v>
      </c>
      <c r="G125" s="15">
        <v>100</v>
      </c>
      <c r="H125" s="17">
        <v>5</v>
      </c>
      <c r="I125" s="1">
        <v>5</v>
      </c>
      <c r="J125" s="1">
        <v>5</v>
      </c>
    </row>
    <row r="126" spans="1:10" ht="15.75" customHeight="1" x14ac:dyDescent="0.3">
      <c r="A126" s="15" t="s">
        <v>164</v>
      </c>
      <c r="B126" s="23" t="s">
        <v>181</v>
      </c>
      <c r="C126" s="15">
        <v>91</v>
      </c>
      <c r="D126" s="18">
        <v>0.81</v>
      </c>
      <c r="E126" s="15">
        <v>23.3</v>
      </c>
      <c r="F126" s="15">
        <v>0</v>
      </c>
      <c r="G126" s="15">
        <v>100</v>
      </c>
      <c r="H126" s="17">
        <v>3</v>
      </c>
      <c r="I126" s="1">
        <v>1</v>
      </c>
      <c r="J126" s="1">
        <v>2</v>
      </c>
    </row>
    <row r="127" spans="1:10" ht="15.75" customHeight="1" x14ac:dyDescent="0.3">
      <c r="A127" s="15" t="s">
        <v>164</v>
      </c>
      <c r="B127" s="23" t="s">
        <v>181</v>
      </c>
      <c r="C127" s="15">
        <v>99</v>
      </c>
      <c r="D127" s="18">
        <v>85.6</v>
      </c>
      <c r="E127" s="15">
        <v>28.5</v>
      </c>
      <c r="F127" s="15">
        <v>1.2</v>
      </c>
      <c r="G127" s="15">
        <v>100</v>
      </c>
      <c r="H127" s="17">
        <v>3</v>
      </c>
      <c r="I127" s="1">
        <v>1</v>
      </c>
      <c r="J127" s="1">
        <v>1</v>
      </c>
    </row>
    <row r="128" spans="1:10" ht="15.75" customHeight="1" x14ac:dyDescent="0.3">
      <c r="A128" s="15" t="s">
        <v>164</v>
      </c>
      <c r="B128" s="23" t="s">
        <v>181</v>
      </c>
      <c r="C128" s="15">
        <v>91</v>
      </c>
      <c r="D128" s="18">
        <v>13.15</v>
      </c>
      <c r="E128" s="15">
        <v>26.13</v>
      </c>
      <c r="F128" s="15">
        <v>0</v>
      </c>
      <c r="G128" s="15">
        <v>100</v>
      </c>
      <c r="H128" s="17">
        <v>3</v>
      </c>
      <c r="I128" s="1">
        <v>3</v>
      </c>
      <c r="J128" s="1">
        <v>3</v>
      </c>
    </row>
    <row r="129" spans="1:10" ht="15.75" customHeight="1" x14ac:dyDescent="0.3">
      <c r="A129" s="15" t="s">
        <v>164</v>
      </c>
      <c r="B129" s="23" t="s">
        <v>198</v>
      </c>
      <c r="C129" s="15">
        <v>75</v>
      </c>
      <c r="D129" s="18">
        <v>17.2</v>
      </c>
      <c r="E129" s="15">
        <v>28</v>
      </c>
      <c r="F129" s="15">
        <v>0</v>
      </c>
      <c r="G129" s="15">
        <v>100</v>
      </c>
      <c r="H129" s="17">
        <v>3</v>
      </c>
      <c r="I129" s="1">
        <v>2</v>
      </c>
      <c r="J129" s="1">
        <v>2</v>
      </c>
    </row>
    <row r="130" spans="1:10" s="44" customFormat="1" ht="15.75" customHeight="1" x14ac:dyDescent="0.3">
      <c r="A130" s="39" t="s">
        <v>164</v>
      </c>
      <c r="B130" s="40" t="s">
        <v>198</v>
      </c>
      <c r="C130" s="39">
        <v>93</v>
      </c>
      <c r="D130" s="42">
        <v>14.5</v>
      </c>
      <c r="E130" s="39">
        <v>28.73</v>
      </c>
      <c r="F130" s="39">
        <v>0</v>
      </c>
      <c r="G130" s="39">
        <v>100</v>
      </c>
      <c r="H130" s="43">
        <v>3</v>
      </c>
      <c r="I130" s="44">
        <v>6</v>
      </c>
      <c r="J130" s="44">
        <v>9</v>
      </c>
    </row>
    <row r="131" spans="1:10" ht="15.75" customHeight="1" x14ac:dyDescent="0.3">
      <c r="A131" s="15" t="s">
        <v>164</v>
      </c>
      <c r="B131" s="23" t="s">
        <v>198</v>
      </c>
      <c r="C131" s="15">
        <v>74</v>
      </c>
      <c r="D131" s="18">
        <v>18</v>
      </c>
      <c r="E131" s="15">
        <v>28</v>
      </c>
      <c r="F131" s="15">
        <v>0</v>
      </c>
      <c r="G131" s="15">
        <v>2</v>
      </c>
      <c r="H131" s="17">
        <v>3</v>
      </c>
      <c r="I131" s="1">
        <v>2</v>
      </c>
      <c r="J131" s="1">
        <v>2</v>
      </c>
    </row>
    <row r="132" spans="1:10" ht="15.75" customHeight="1" x14ac:dyDescent="0.3">
      <c r="A132" s="15" t="s">
        <v>164</v>
      </c>
      <c r="B132" s="23" t="s">
        <v>183</v>
      </c>
      <c r="C132" s="15">
        <v>89</v>
      </c>
      <c r="D132" s="18">
        <v>7.61</v>
      </c>
      <c r="E132" s="15">
        <v>23.8</v>
      </c>
      <c r="F132" s="15">
        <v>0.75</v>
      </c>
      <c r="G132" s="15">
        <v>100</v>
      </c>
      <c r="H132" s="17">
        <v>3</v>
      </c>
      <c r="I132" s="1">
        <v>5</v>
      </c>
      <c r="J132" s="1">
        <v>10</v>
      </c>
    </row>
    <row r="133" spans="1:10" ht="15.75" customHeight="1" x14ac:dyDescent="0.3">
      <c r="A133" s="15" t="s">
        <v>164</v>
      </c>
      <c r="B133" s="23" t="s">
        <v>183</v>
      </c>
      <c r="C133" s="15">
        <v>81</v>
      </c>
      <c r="D133" s="18">
        <v>5.23</v>
      </c>
      <c r="E133" s="15">
        <v>27.03</v>
      </c>
      <c r="F133" s="15">
        <v>0</v>
      </c>
      <c r="G133" s="15">
        <v>100</v>
      </c>
      <c r="H133" s="17">
        <v>3</v>
      </c>
      <c r="I133" s="1">
        <v>4</v>
      </c>
      <c r="J133" s="1">
        <v>5</v>
      </c>
    </row>
    <row r="134" spans="1:10" ht="15.75" customHeight="1" x14ac:dyDescent="0.3">
      <c r="A134" s="15" t="s">
        <v>164</v>
      </c>
      <c r="B134" s="23" t="s">
        <v>186</v>
      </c>
      <c r="C134" s="15">
        <v>86</v>
      </c>
      <c r="D134" s="18">
        <v>0.14000000000000001</v>
      </c>
      <c r="E134" s="15">
        <v>18.55</v>
      </c>
      <c r="F134" s="15">
        <v>0</v>
      </c>
      <c r="G134" s="15">
        <v>100</v>
      </c>
      <c r="H134" s="17">
        <v>6</v>
      </c>
      <c r="I134" s="1">
        <v>5</v>
      </c>
      <c r="J134" s="1">
        <v>5</v>
      </c>
    </row>
    <row r="135" spans="1:10" ht="15.75" customHeight="1" x14ac:dyDescent="0.3">
      <c r="A135" s="15" t="s">
        <v>164</v>
      </c>
      <c r="B135" s="23" t="s">
        <v>186</v>
      </c>
      <c r="C135" s="15">
        <v>87</v>
      </c>
      <c r="D135" s="18">
        <v>0.15</v>
      </c>
      <c r="E135" s="15">
        <v>15.2</v>
      </c>
      <c r="F135" s="15">
        <v>0</v>
      </c>
      <c r="G135" s="15">
        <v>100</v>
      </c>
      <c r="H135" s="17">
        <v>6</v>
      </c>
      <c r="I135" s="1">
        <v>3</v>
      </c>
      <c r="J135" s="1">
        <v>3</v>
      </c>
    </row>
    <row r="136" spans="1:10" ht="15.75" customHeight="1" x14ac:dyDescent="0.3">
      <c r="A136" s="15" t="s">
        <v>164</v>
      </c>
      <c r="B136" s="23" t="s">
        <v>186</v>
      </c>
      <c r="C136" s="15">
        <v>83</v>
      </c>
      <c r="D136" s="18">
        <v>0.20499999999999999</v>
      </c>
      <c r="E136" s="15">
        <v>24.8</v>
      </c>
      <c r="F136" s="15">
        <v>0</v>
      </c>
      <c r="G136" s="15">
        <v>100</v>
      </c>
      <c r="H136" s="17">
        <v>6</v>
      </c>
      <c r="I136" s="1">
        <v>0</v>
      </c>
      <c r="J136" s="1">
        <v>0</v>
      </c>
    </row>
    <row r="137" spans="1:10" ht="15.75" customHeight="1" x14ac:dyDescent="0.3">
      <c r="A137" s="15" t="s">
        <v>168</v>
      </c>
      <c r="B137" s="15" t="s">
        <v>176</v>
      </c>
      <c r="C137" s="15">
        <v>92</v>
      </c>
      <c r="D137" s="18">
        <v>0.14000000000000001</v>
      </c>
      <c r="E137" s="15">
        <v>22.5</v>
      </c>
      <c r="F137" s="15">
        <v>0</v>
      </c>
      <c r="G137" s="15">
        <v>100</v>
      </c>
      <c r="H137" s="17">
        <v>4</v>
      </c>
      <c r="I137" s="1">
        <v>6</v>
      </c>
      <c r="J137" s="1">
        <v>11</v>
      </c>
    </row>
    <row r="138" spans="1:10" ht="15.75" customHeight="1" x14ac:dyDescent="0.3">
      <c r="A138" s="15" t="s">
        <v>168</v>
      </c>
      <c r="B138" s="15" t="s">
        <v>176</v>
      </c>
      <c r="C138" s="15">
        <v>92</v>
      </c>
      <c r="D138" s="18">
        <v>0.14000000000000001</v>
      </c>
      <c r="E138" s="15">
        <v>22.5</v>
      </c>
      <c r="F138" s="15">
        <v>0</v>
      </c>
      <c r="G138" s="15">
        <v>60</v>
      </c>
      <c r="H138" s="17">
        <v>4</v>
      </c>
      <c r="I138" s="1">
        <v>1</v>
      </c>
      <c r="J138" s="1">
        <v>2</v>
      </c>
    </row>
    <row r="139" spans="1:10" ht="15.75" customHeight="1" x14ac:dyDescent="0.3">
      <c r="A139" s="15" t="s">
        <v>168</v>
      </c>
      <c r="B139" s="15" t="s">
        <v>177</v>
      </c>
      <c r="C139" s="15">
        <v>97</v>
      </c>
      <c r="D139" s="18">
        <v>4.5999999999999996</v>
      </c>
      <c r="E139" s="15">
        <v>24.3</v>
      </c>
      <c r="F139" s="15">
        <v>0</v>
      </c>
      <c r="G139" s="15">
        <v>100</v>
      </c>
      <c r="H139" s="17">
        <v>3</v>
      </c>
      <c r="I139" s="1">
        <v>17</v>
      </c>
      <c r="J139" s="1">
        <v>24</v>
      </c>
    </row>
    <row r="140" spans="1:10" ht="15.75" customHeight="1" x14ac:dyDescent="0.3">
      <c r="A140" s="15" t="s">
        <v>168</v>
      </c>
      <c r="B140" s="15" t="s">
        <v>200</v>
      </c>
      <c r="C140" s="15">
        <v>99</v>
      </c>
      <c r="D140" s="18">
        <v>24.2</v>
      </c>
      <c r="E140" s="15">
        <v>26.1</v>
      </c>
      <c r="F140" s="15">
        <v>0</v>
      </c>
      <c r="G140" s="15">
        <v>60</v>
      </c>
      <c r="H140" s="17">
        <v>5</v>
      </c>
      <c r="I140" s="1">
        <v>1</v>
      </c>
      <c r="J140" s="1">
        <v>1</v>
      </c>
    </row>
    <row r="141" spans="1:10" ht="15.75" customHeight="1" x14ac:dyDescent="0.3">
      <c r="A141" s="15" t="s">
        <v>168</v>
      </c>
      <c r="B141" s="15" t="s">
        <v>200</v>
      </c>
      <c r="C141" s="15">
        <v>99</v>
      </c>
      <c r="D141" s="18">
        <v>24.2</v>
      </c>
      <c r="E141" s="15">
        <v>26.1</v>
      </c>
      <c r="F141" s="15">
        <v>0</v>
      </c>
      <c r="G141" s="15">
        <v>35</v>
      </c>
      <c r="H141" s="17">
        <v>5</v>
      </c>
      <c r="I141" s="1">
        <v>11</v>
      </c>
      <c r="J141" s="1">
        <v>11</v>
      </c>
    </row>
    <row r="142" spans="1:10" ht="15.75" customHeight="1" x14ac:dyDescent="0.3">
      <c r="A142" s="15" t="s">
        <v>168</v>
      </c>
      <c r="B142" s="15" t="s">
        <v>200</v>
      </c>
      <c r="C142" s="15">
        <v>84</v>
      </c>
      <c r="D142" s="18">
        <v>0.17</v>
      </c>
      <c r="E142" s="15">
        <v>24</v>
      </c>
      <c r="F142" s="15">
        <v>0</v>
      </c>
      <c r="G142" s="15">
        <v>100</v>
      </c>
      <c r="H142" s="17">
        <v>5</v>
      </c>
      <c r="I142" s="1">
        <v>2</v>
      </c>
      <c r="J142" s="1">
        <v>2</v>
      </c>
    </row>
    <row r="143" spans="1:10" ht="15.75" customHeight="1" x14ac:dyDescent="0.3">
      <c r="A143" s="15" t="s">
        <v>168</v>
      </c>
      <c r="B143" s="15" t="s">
        <v>180</v>
      </c>
      <c r="C143" s="15">
        <v>97</v>
      </c>
      <c r="D143" s="18">
        <v>1.08</v>
      </c>
      <c r="E143" s="15">
        <v>25.4</v>
      </c>
      <c r="F143" s="15">
        <v>0</v>
      </c>
      <c r="G143" s="15">
        <v>100</v>
      </c>
      <c r="H143" s="17">
        <v>5</v>
      </c>
      <c r="I143" s="1">
        <v>6</v>
      </c>
      <c r="J143" s="1">
        <v>8</v>
      </c>
    </row>
    <row r="144" spans="1:10" ht="15.75" customHeight="1" x14ac:dyDescent="0.3">
      <c r="A144" s="15" t="s">
        <v>168</v>
      </c>
      <c r="B144" s="15" t="s">
        <v>180</v>
      </c>
      <c r="C144" s="15">
        <v>97</v>
      </c>
      <c r="D144" s="18">
        <v>1.08</v>
      </c>
      <c r="E144" s="15">
        <v>25.4</v>
      </c>
      <c r="F144" s="15">
        <v>0</v>
      </c>
      <c r="G144" s="15">
        <v>65</v>
      </c>
      <c r="H144" s="17">
        <v>5</v>
      </c>
      <c r="I144" s="1">
        <v>9</v>
      </c>
      <c r="J144" s="1">
        <v>9</v>
      </c>
    </row>
    <row r="145" spans="1:10" ht="15.75" customHeight="1" x14ac:dyDescent="0.3">
      <c r="A145" s="15" t="s">
        <v>168</v>
      </c>
      <c r="B145" s="1" t="s">
        <v>180</v>
      </c>
      <c r="C145" s="1">
        <v>80</v>
      </c>
      <c r="D145" s="46">
        <v>0.04</v>
      </c>
      <c r="E145" s="1">
        <v>25.3</v>
      </c>
      <c r="F145" s="1">
        <v>0</v>
      </c>
      <c r="G145" s="1">
        <v>100</v>
      </c>
      <c r="H145" s="2">
        <v>5</v>
      </c>
      <c r="I145" s="1">
        <v>0</v>
      </c>
      <c r="J145" s="1">
        <v>0</v>
      </c>
    </row>
    <row r="146" spans="1:10" ht="15.75" customHeight="1" x14ac:dyDescent="0.3">
      <c r="A146" s="15" t="s">
        <v>168</v>
      </c>
      <c r="B146" s="1" t="s">
        <v>181</v>
      </c>
      <c r="C146" s="1">
        <v>87</v>
      </c>
      <c r="D146" s="46">
        <v>9.8000000000000007</v>
      </c>
      <c r="E146" s="1">
        <v>34.5</v>
      </c>
      <c r="F146" s="1">
        <v>0</v>
      </c>
      <c r="G146" s="1">
        <v>90</v>
      </c>
      <c r="H146" s="2">
        <v>3</v>
      </c>
      <c r="I146" s="1">
        <v>4</v>
      </c>
      <c r="J146" s="1">
        <v>4</v>
      </c>
    </row>
    <row r="147" spans="1:10" ht="15.75" customHeight="1" x14ac:dyDescent="0.3">
      <c r="A147" s="15" t="s">
        <v>168</v>
      </c>
      <c r="B147" s="1" t="s">
        <v>181</v>
      </c>
      <c r="C147" s="1">
        <v>87</v>
      </c>
      <c r="D147" s="46">
        <v>9.8000000000000007</v>
      </c>
      <c r="E147" s="1">
        <v>34.5</v>
      </c>
      <c r="F147" s="1">
        <v>0</v>
      </c>
      <c r="G147" s="1">
        <v>0</v>
      </c>
      <c r="H147" s="2">
        <v>3</v>
      </c>
      <c r="I147" s="1">
        <v>3</v>
      </c>
      <c r="J147" s="1">
        <v>3</v>
      </c>
    </row>
    <row r="148" spans="1:10" ht="15.75" customHeight="1" x14ac:dyDescent="0.3">
      <c r="A148" s="15" t="s">
        <v>168</v>
      </c>
      <c r="B148" s="1" t="s">
        <v>181</v>
      </c>
      <c r="C148" s="1">
        <v>80</v>
      </c>
      <c r="D148" s="46">
        <v>1.5</v>
      </c>
      <c r="E148" s="1">
        <v>26.9</v>
      </c>
      <c r="F148" s="1">
        <v>0</v>
      </c>
      <c r="G148" s="1">
        <v>100</v>
      </c>
      <c r="H148" s="2">
        <v>3</v>
      </c>
      <c r="I148" s="1">
        <v>3</v>
      </c>
      <c r="J148" s="1">
        <v>4</v>
      </c>
    </row>
    <row r="149" spans="1:10" ht="15.75" customHeight="1" x14ac:dyDescent="0.3">
      <c r="A149" s="15" t="s">
        <v>168</v>
      </c>
      <c r="B149" s="1" t="s">
        <v>198</v>
      </c>
      <c r="C149" s="1">
        <v>81</v>
      </c>
      <c r="D149" s="46">
        <v>36.6</v>
      </c>
      <c r="E149" s="1">
        <v>31.4</v>
      </c>
      <c r="F149" s="1">
        <v>0.8</v>
      </c>
      <c r="G149" s="1">
        <v>96</v>
      </c>
      <c r="H149" s="2">
        <v>3</v>
      </c>
      <c r="I149" s="1">
        <v>7</v>
      </c>
      <c r="J149" s="1">
        <v>7</v>
      </c>
    </row>
    <row r="150" spans="1:10" ht="15.75" customHeight="1" x14ac:dyDescent="0.3">
      <c r="A150" s="15" t="s">
        <v>168</v>
      </c>
      <c r="B150" s="1" t="s">
        <v>198</v>
      </c>
      <c r="C150" s="1">
        <v>79</v>
      </c>
      <c r="D150" s="46">
        <v>13.35</v>
      </c>
      <c r="E150" s="1">
        <v>29.2</v>
      </c>
      <c r="F150" s="1">
        <v>0</v>
      </c>
      <c r="G150" s="1">
        <v>100</v>
      </c>
      <c r="H150" s="2">
        <v>3</v>
      </c>
      <c r="I150" s="1">
        <v>2</v>
      </c>
      <c r="J150" s="1">
        <v>2</v>
      </c>
    </row>
    <row r="151" spans="1:10" ht="15.75" customHeight="1" x14ac:dyDescent="0.3">
      <c r="A151" s="15" t="s">
        <v>168</v>
      </c>
      <c r="B151" s="1" t="s">
        <v>183</v>
      </c>
      <c r="C151" s="1">
        <v>89</v>
      </c>
      <c r="D151" s="46">
        <v>1.1000000000000001</v>
      </c>
      <c r="E151" s="1">
        <v>22.3</v>
      </c>
      <c r="F151" s="1">
        <v>0</v>
      </c>
      <c r="G151" s="1">
        <v>2</v>
      </c>
      <c r="H151" s="2">
        <v>3</v>
      </c>
      <c r="I151" s="1">
        <v>7</v>
      </c>
      <c r="J151" s="1">
        <v>10</v>
      </c>
    </row>
    <row r="152" spans="1:10" ht="15.75" customHeight="1" x14ac:dyDescent="0.3">
      <c r="A152" s="15" t="s">
        <v>168</v>
      </c>
      <c r="B152" s="1" t="s">
        <v>183</v>
      </c>
      <c r="C152" s="1">
        <v>89</v>
      </c>
      <c r="D152" s="46">
        <v>1</v>
      </c>
      <c r="E152" s="1">
        <v>22.2</v>
      </c>
      <c r="F152" s="1">
        <v>0</v>
      </c>
      <c r="G152" s="1">
        <v>100</v>
      </c>
      <c r="H152" s="2">
        <v>3</v>
      </c>
      <c r="I152" s="1">
        <v>4</v>
      </c>
      <c r="J152" s="1">
        <v>4</v>
      </c>
    </row>
    <row r="153" spans="1:10" ht="15.75" customHeight="1" x14ac:dyDescent="0.3">
      <c r="A153" s="15" t="s">
        <v>168</v>
      </c>
      <c r="B153" s="1" t="s">
        <v>183</v>
      </c>
      <c r="C153" s="1">
        <v>72</v>
      </c>
      <c r="D153" s="1">
        <v>0.75</v>
      </c>
      <c r="E153" s="1">
        <v>25</v>
      </c>
      <c r="F153" s="1">
        <v>0.9</v>
      </c>
      <c r="G153" s="1">
        <v>100</v>
      </c>
      <c r="H153" s="2">
        <v>3</v>
      </c>
      <c r="I153" s="1">
        <v>2</v>
      </c>
      <c r="J153" s="1">
        <v>3</v>
      </c>
    </row>
    <row r="154" spans="1:10" ht="15.75" customHeight="1" x14ac:dyDescent="0.3">
      <c r="A154" s="15" t="s">
        <v>168</v>
      </c>
      <c r="B154" s="1" t="s">
        <v>186</v>
      </c>
      <c r="C154" s="1">
        <v>76</v>
      </c>
      <c r="D154" s="46">
        <v>1.53</v>
      </c>
      <c r="E154" s="1">
        <v>25.4</v>
      </c>
      <c r="F154" s="1">
        <v>0</v>
      </c>
      <c r="G154" s="1">
        <v>100</v>
      </c>
      <c r="H154" s="2">
        <v>6</v>
      </c>
      <c r="I154" s="1">
        <v>4</v>
      </c>
      <c r="J154" s="1">
        <v>5</v>
      </c>
    </row>
    <row r="155" spans="1:10" ht="15.75" customHeight="1" x14ac:dyDescent="0.3">
      <c r="A155" s="1" t="s">
        <v>172</v>
      </c>
      <c r="B155" s="1" t="s">
        <v>176</v>
      </c>
      <c r="C155" s="1">
        <v>81</v>
      </c>
      <c r="D155" s="46">
        <v>1.6</v>
      </c>
      <c r="E155" s="1">
        <v>26.5</v>
      </c>
      <c r="F155" s="1">
        <v>0</v>
      </c>
      <c r="G155" s="1">
        <v>30</v>
      </c>
      <c r="H155" s="2">
        <v>4</v>
      </c>
      <c r="I155" s="1">
        <v>12</v>
      </c>
      <c r="J155" s="1">
        <v>18</v>
      </c>
    </row>
    <row r="156" spans="1:10" ht="15.75" customHeight="1" x14ac:dyDescent="0.3">
      <c r="A156" s="1" t="s">
        <v>172</v>
      </c>
      <c r="B156" s="1" t="s">
        <v>177</v>
      </c>
      <c r="C156" s="1">
        <v>96</v>
      </c>
      <c r="D156" s="46">
        <v>1.1299999999999999</v>
      </c>
      <c r="E156" s="1">
        <v>26.4</v>
      </c>
      <c r="F156" s="1">
        <v>0</v>
      </c>
      <c r="G156" s="1">
        <v>100</v>
      </c>
      <c r="H156" s="2">
        <v>3</v>
      </c>
      <c r="I156" s="1">
        <v>5</v>
      </c>
      <c r="J156" s="1">
        <v>5</v>
      </c>
    </row>
    <row r="157" spans="1:10" ht="15.75" customHeight="1" x14ac:dyDescent="0.3">
      <c r="A157" s="1" t="s">
        <v>172</v>
      </c>
      <c r="B157" s="1" t="s">
        <v>200</v>
      </c>
      <c r="C157" s="1">
        <v>99</v>
      </c>
      <c r="D157" s="46">
        <v>0.28000000000000003</v>
      </c>
      <c r="E157" s="1">
        <v>23.5</v>
      </c>
      <c r="F157" s="1">
        <v>0</v>
      </c>
      <c r="G157" s="1">
        <v>100</v>
      </c>
      <c r="H157" s="2">
        <v>5</v>
      </c>
      <c r="I157" s="1">
        <v>7</v>
      </c>
      <c r="J157" s="1">
        <v>10</v>
      </c>
    </row>
    <row r="158" spans="1:10" ht="15.75" customHeight="1" x14ac:dyDescent="0.3">
      <c r="A158" s="1" t="s">
        <v>172</v>
      </c>
      <c r="B158" s="1" t="s">
        <v>180</v>
      </c>
      <c r="C158" s="1">
        <v>96</v>
      </c>
      <c r="D158" s="46">
        <v>0.64</v>
      </c>
      <c r="E158" s="1">
        <v>24.9</v>
      </c>
      <c r="F158" s="1">
        <v>0</v>
      </c>
      <c r="G158" s="1">
        <v>100</v>
      </c>
      <c r="H158" s="2">
        <v>5</v>
      </c>
      <c r="I158" s="1">
        <v>9</v>
      </c>
      <c r="J158" s="1">
        <v>9</v>
      </c>
    </row>
    <row r="159" spans="1:10" ht="15.75" customHeight="1" x14ac:dyDescent="0.3">
      <c r="A159" s="1" t="s">
        <v>172</v>
      </c>
      <c r="B159" s="1" t="s">
        <v>181</v>
      </c>
      <c r="C159" s="1">
        <v>98</v>
      </c>
      <c r="D159" s="46">
        <v>2.2799999999999998</v>
      </c>
      <c r="E159" s="1">
        <v>23.7</v>
      </c>
      <c r="F159" s="1">
        <v>0</v>
      </c>
      <c r="G159" s="1">
        <v>100</v>
      </c>
      <c r="H159" s="2">
        <v>3</v>
      </c>
      <c r="I159" s="1">
        <v>4</v>
      </c>
      <c r="J159" s="1">
        <v>4</v>
      </c>
    </row>
    <row r="160" spans="1:10" ht="15.75" customHeight="1" x14ac:dyDescent="0.3">
      <c r="A160" s="1" t="s">
        <v>172</v>
      </c>
      <c r="B160" s="1" t="s">
        <v>198</v>
      </c>
      <c r="C160" s="1">
        <v>99</v>
      </c>
      <c r="D160" s="46">
        <v>7.2350000000000003</v>
      </c>
      <c r="E160" s="1">
        <v>24.6</v>
      </c>
      <c r="F160" s="1">
        <v>1.4</v>
      </c>
      <c r="G160" s="1">
        <v>100</v>
      </c>
      <c r="H160" s="2">
        <v>3</v>
      </c>
      <c r="I160" s="1">
        <v>10</v>
      </c>
      <c r="J160" s="1">
        <v>16</v>
      </c>
    </row>
    <row r="161" spans="1:10" ht="15.75" customHeight="1" x14ac:dyDescent="0.3">
      <c r="A161" s="1" t="s">
        <v>172</v>
      </c>
      <c r="B161" s="1" t="s">
        <v>183</v>
      </c>
      <c r="C161" s="1">
        <v>92</v>
      </c>
      <c r="D161" s="46">
        <v>44.68</v>
      </c>
      <c r="E161" s="1">
        <v>23.2</v>
      </c>
      <c r="F161" s="1">
        <v>0.6</v>
      </c>
      <c r="G161" s="1">
        <v>0</v>
      </c>
      <c r="H161" s="2">
        <v>3</v>
      </c>
      <c r="I161" s="1">
        <v>8</v>
      </c>
      <c r="J161" s="1">
        <v>9</v>
      </c>
    </row>
    <row r="162" spans="1:10" ht="15.75" customHeight="1" x14ac:dyDescent="0.3">
      <c r="A162" s="1" t="s">
        <v>172</v>
      </c>
      <c r="B162" s="1" t="s">
        <v>183</v>
      </c>
      <c r="C162" s="1">
        <v>84</v>
      </c>
      <c r="D162" s="46">
        <v>0.5</v>
      </c>
      <c r="E162" s="1">
        <v>25.9</v>
      </c>
      <c r="F162" s="1">
        <v>0</v>
      </c>
      <c r="G162" s="1">
        <v>100</v>
      </c>
      <c r="H162" s="2">
        <v>3</v>
      </c>
      <c r="I162" s="1">
        <v>4</v>
      </c>
      <c r="J162" s="1">
        <v>4</v>
      </c>
    </row>
    <row r="163" spans="1:10" ht="15.75" customHeight="1" x14ac:dyDescent="0.3">
      <c r="A163" s="1" t="s">
        <v>172</v>
      </c>
      <c r="B163" s="1" t="s">
        <v>186</v>
      </c>
      <c r="C163" s="1">
        <v>83</v>
      </c>
      <c r="D163" s="46">
        <v>1.1299999999999999</v>
      </c>
      <c r="E163" s="1">
        <v>25.5</v>
      </c>
      <c r="F163" s="1">
        <v>0</v>
      </c>
      <c r="G163" s="1">
        <v>100</v>
      </c>
      <c r="H163" s="2">
        <v>6</v>
      </c>
      <c r="I163" s="1">
        <v>9</v>
      </c>
      <c r="J163" s="1">
        <v>19</v>
      </c>
    </row>
    <row r="164" spans="1:10" ht="15.75" customHeight="1" x14ac:dyDescent="0.3">
      <c r="D164" s="46"/>
    </row>
    <row r="165" spans="1:10" ht="15.75" customHeight="1" x14ac:dyDescent="0.3">
      <c r="D165" s="46"/>
    </row>
    <row r="166" spans="1:10" ht="15.75" customHeight="1" x14ac:dyDescent="0.3">
      <c r="D166" s="46"/>
    </row>
    <row r="167" spans="1:10" ht="15.75" customHeight="1" x14ac:dyDescent="0.3">
      <c r="D167" s="46"/>
    </row>
    <row r="168" spans="1:10" ht="15.75" customHeight="1" x14ac:dyDescent="0.3">
      <c r="D168" s="46"/>
    </row>
    <row r="169" spans="1:10" ht="15.75" customHeight="1" x14ac:dyDescent="0.3">
      <c r="D169" s="46"/>
    </row>
    <row r="170" spans="1:10" ht="15.75" customHeight="1" x14ac:dyDescent="0.3">
      <c r="D170" s="46"/>
    </row>
    <row r="171" spans="1:10" ht="15.75" customHeight="1" x14ac:dyDescent="0.3">
      <c r="D171" s="46"/>
    </row>
    <row r="172" spans="1:10" ht="15.75" customHeight="1" x14ac:dyDescent="0.3">
      <c r="D172" s="46"/>
    </row>
    <row r="173" spans="1:10" ht="15.75" customHeight="1" x14ac:dyDescent="0.3">
      <c r="D173" s="46"/>
    </row>
    <row r="174" spans="1:10" ht="15.75" customHeight="1" x14ac:dyDescent="0.3">
      <c r="D174" s="46"/>
    </row>
    <row r="175" spans="1:10" ht="15.75" customHeight="1" x14ac:dyDescent="0.3">
      <c r="D175" s="46"/>
    </row>
    <row r="176" spans="1:10" ht="15.75" customHeight="1" x14ac:dyDescent="0.3">
      <c r="D176" s="46"/>
    </row>
    <row r="177" spans="4:4" ht="15.75" customHeight="1" x14ac:dyDescent="0.3">
      <c r="D177" s="46"/>
    </row>
    <row r="178" spans="4:4" ht="15.75" customHeight="1" x14ac:dyDescent="0.3">
      <c r="D178" s="46"/>
    </row>
    <row r="179" spans="4:4" ht="15.75" customHeight="1" x14ac:dyDescent="0.3">
      <c r="D179" s="46"/>
    </row>
    <row r="180" spans="4:4" ht="15.75" customHeight="1" x14ac:dyDescent="0.3">
      <c r="D180" s="46"/>
    </row>
    <row r="181" spans="4:4" ht="15.75" customHeight="1" x14ac:dyDescent="0.3">
      <c r="D181" s="46"/>
    </row>
    <row r="182" spans="4:4" ht="15.75" customHeight="1" x14ac:dyDescent="0.3">
      <c r="D182" s="46"/>
    </row>
    <row r="183" spans="4:4" ht="15.75" customHeight="1" x14ac:dyDescent="0.3">
      <c r="D183" s="46"/>
    </row>
    <row r="184" spans="4:4" ht="15.75" customHeight="1" x14ac:dyDescent="0.3">
      <c r="D184" s="46"/>
    </row>
    <row r="185" spans="4:4" ht="15.75" customHeight="1" x14ac:dyDescent="0.3">
      <c r="D185" s="46"/>
    </row>
    <row r="186" spans="4:4" ht="15.75" customHeight="1" x14ac:dyDescent="0.3">
      <c r="D186" s="46"/>
    </row>
    <row r="187" spans="4:4" ht="15.75" customHeight="1" x14ac:dyDescent="0.3">
      <c r="D187" s="46"/>
    </row>
    <row r="188" spans="4:4" ht="15.75" customHeight="1" x14ac:dyDescent="0.3">
      <c r="D188" s="46"/>
    </row>
    <row r="189" spans="4:4" ht="15.75" customHeight="1" x14ac:dyDescent="0.3">
      <c r="D189" s="46"/>
    </row>
    <row r="190" spans="4:4" ht="15.75" customHeight="1" x14ac:dyDescent="0.3">
      <c r="D190" s="46"/>
    </row>
    <row r="191" spans="4:4" ht="15.75" customHeight="1" x14ac:dyDescent="0.3">
      <c r="D191" s="46"/>
    </row>
    <row r="192" spans="4:4" ht="15.75" customHeight="1" x14ac:dyDescent="0.3">
      <c r="D192" s="46"/>
    </row>
    <row r="193" spans="4:4" ht="15.75" customHeight="1" x14ac:dyDescent="0.3">
      <c r="D193" s="46"/>
    </row>
    <row r="194" spans="4:4" ht="15.75" customHeight="1" x14ac:dyDescent="0.3">
      <c r="D194" s="46"/>
    </row>
    <row r="195" spans="4:4" ht="15.75" customHeight="1" x14ac:dyDescent="0.3">
      <c r="D195" s="46"/>
    </row>
    <row r="196" spans="4:4" ht="15.75" customHeight="1" x14ac:dyDescent="0.3">
      <c r="D196" s="46"/>
    </row>
    <row r="197" spans="4:4" ht="15.75" customHeight="1" x14ac:dyDescent="0.3">
      <c r="D197" s="46"/>
    </row>
    <row r="198" spans="4:4" ht="15.75" customHeight="1" x14ac:dyDescent="0.3">
      <c r="D198" s="46"/>
    </row>
    <row r="199" spans="4:4" ht="15.75" customHeight="1" x14ac:dyDescent="0.3">
      <c r="D199" s="46"/>
    </row>
    <row r="200" spans="4:4" ht="15.75" customHeight="1" x14ac:dyDescent="0.3">
      <c r="D200" s="46"/>
    </row>
    <row r="201" spans="4:4" ht="15.75" customHeight="1" x14ac:dyDescent="0.3">
      <c r="D201" s="46"/>
    </row>
    <row r="202" spans="4:4" ht="15.75" customHeight="1" x14ac:dyDescent="0.3">
      <c r="D202" s="46"/>
    </row>
    <row r="203" spans="4:4" ht="15.75" customHeight="1" x14ac:dyDescent="0.3">
      <c r="D203" s="46"/>
    </row>
    <row r="204" spans="4:4" ht="15.75" customHeight="1" x14ac:dyDescent="0.3">
      <c r="D204" s="46"/>
    </row>
    <row r="205" spans="4:4" ht="15.75" customHeight="1" x14ac:dyDescent="0.3">
      <c r="D205" s="46"/>
    </row>
    <row r="206" spans="4:4" ht="15.75" customHeight="1" x14ac:dyDescent="0.3">
      <c r="D206" s="46"/>
    </row>
    <row r="207" spans="4:4" ht="15.75" customHeight="1" x14ac:dyDescent="0.3">
      <c r="D207" s="46"/>
    </row>
    <row r="208" spans="4:4" ht="15.75" customHeight="1" x14ac:dyDescent="0.3">
      <c r="D208" s="46"/>
    </row>
    <row r="209" spans="4:4" ht="15.75" customHeight="1" x14ac:dyDescent="0.3">
      <c r="D209" s="46"/>
    </row>
    <row r="210" spans="4:4" ht="15.75" customHeight="1" x14ac:dyDescent="0.3">
      <c r="D210" s="46"/>
    </row>
    <row r="211" spans="4:4" ht="15.75" customHeight="1" x14ac:dyDescent="0.3">
      <c r="D211" s="46"/>
    </row>
    <row r="212" spans="4:4" ht="15.75" customHeight="1" x14ac:dyDescent="0.3">
      <c r="D212" s="46"/>
    </row>
    <row r="213" spans="4:4" ht="15.75" customHeight="1" x14ac:dyDescent="0.3">
      <c r="D213" s="46"/>
    </row>
    <row r="214" spans="4:4" ht="15.75" customHeight="1" x14ac:dyDescent="0.3">
      <c r="D214" s="46"/>
    </row>
    <row r="215" spans="4:4" ht="15.75" customHeight="1" x14ac:dyDescent="0.3">
      <c r="D215" s="46"/>
    </row>
    <row r="216" spans="4:4" ht="15.75" customHeight="1" x14ac:dyDescent="0.3">
      <c r="D216" s="46"/>
    </row>
    <row r="217" spans="4:4" ht="15.75" customHeight="1" x14ac:dyDescent="0.3">
      <c r="D217" s="46"/>
    </row>
    <row r="218" spans="4:4" ht="15.75" customHeight="1" x14ac:dyDescent="0.3">
      <c r="D218" s="46"/>
    </row>
    <row r="219" spans="4:4" ht="15.75" customHeight="1" x14ac:dyDescent="0.3">
      <c r="D219" s="46"/>
    </row>
    <row r="220" spans="4:4" ht="15.75" customHeight="1" x14ac:dyDescent="0.3">
      <c r="D220" s="46"/>
    </row>
    <row r="221" spans="4:4" ht="15.75" customHeight="1" x14ac:dyDescent="0.3">
      <c r="D221" s="46"/>
    </row>
    <row r="222" spans="4:4" ht="15.75" customHeight="1" x14ac:dyDescent="0.3">
      <c r="D222" s="46"/>
    </row>
    <row r="223" spans="4:4" ht="15.75" customHeight="1" x14ac:dyDescent="0.3">
      <c r="D223" s="46"/>
    </row>
    <row r="224" spans="4:4" ht="15.75" customHeight="1" x14ac:dyDescent="0.3">
      <c r="D224" s="46"/>
    </row>
    <row r="225" spans="4:4" ht="15.75" customHeight="1" x14ac:dyDescent="0.3">
      <c r="D225" s="46"/>
    </row>
    <row r="226" spans="4:4" ht="15.75" customHeight="1" x14ac:dyDescent="0.3">
      <c r="D226" s="46"/>
    </row>
    <row r="227" spans="4:4" ht="15.75" customHeight="1" x14ac:dyDescent="0.3">
      <c r="D227" s="46"/>
    </row>
    <row r="228" spans="4:4" ht="15.75" customHeight="1" x14ac:dyDescent="0.3">
      <c r="D228" s="46"/>
    </row>
    <row r="229" spans="4:4" ht="15.75" customHeight="1" x14ac:dyDescent="0.3">
      <c r="D229" s="46"/>
    </row>
    <row r="230" spans="4:4" ht="15.75" customHeight="1" x14ac:dyDescent="0.3">
      <c r="D230" s="46"/>
    </row>
    <row r="231" spans="4:4" ht="15.75" customHeight="1" x14ac:dyDescent="0.3">
      <c r="D231" s="46"/>
    </row>
    <row r="232" spans="4:4" ht="15.75" customHeight="1" x14ac:dyDescent="0.3">
      <c r="D232" s="46"/>
    </row>
    <row r="233" spans="4:4" ht="15.75" customHeight="1" x14ac:dyDescent="0.3">
      <c r="D233" s="46"/>
    </row>
    <row r="234" spans="4:4" ht="15.75" customHeight="1" x14ac:dyDescent="0.3">
      <c r="D234" s="46"/>
    </row>
    <row r="235" spans="4:4" ht="15.75" customHeight="1" x14ac:dyDescent="0.3">
      <c r="D235" s="46"/>
    </row>
    <row r="236" spans="4:4" ht="15.75" customHeight="1" x14ac:dyDescent="0.3"/>
    <row r="237" spans="4:4" ht="15.75" customHeight="1" x14ac:dyDescent="0.3"/>
    <row r="238" spans="4:4" ht="15.75" customHeight="1" x14ac:dyDescent="0.3"/>
    <row r="239" spans="4:4" ht="15.75" customHeight="1" x14ac:dyDescent="0.3"/>
    <row r="240" spans="4:4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  <row r="1009" ht="15.75" customHeight="1" x14ac:dyDescent="0.3"/>
    <row r="1010" ht="15.75" customHeight="1" x14ac:dyDescent="0.3"/>
    <row r="1011" ht="15.75" customHeight="1" x14ac:dyDescent="0.3"/>
    <row r="1012" ht="15.75" customHeight="1" x14ac:dyDescent="0.3"/>
    <row r="1013" ht="15.75" customHeight="1" x14ac:dyDescent="0.3"/>
    <row r="1014" ht="15.75" customHeight="1" x14ac:dyDescent="0.3"/>
    <row r="1015" ht="15.75" customHeight="1" x14ac:dyDescent="0.3"/>
  </sheetData>
  <autoFilter ref="A2:J2" xr:uid="{00000000-0009-0000-0000-00000D000000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961"/>
  <sheetViews>
    <sheetView topLeftCell="A2" zoomScale="80" workbookViewId="0">
      <selection activeCell="W2" sqref="M2:W2"/>
    </sheetView>
  </sheetViews>
  <sheetFormatPr defaultColWidth="12.77734375" defaultRowHeight="14.4" x14ac:dyDescent="0.3"/>
  <cols>
    <col min="1" max="1" width="7.21875" style="1" customWidth="1"/>
    <col min="2" max="2" width="14.77734375" style="1" customWidth="1"/>
    <col min="3" max="3" width="6.44140625" style="1" customWidth="1"/>
    <col min="4" max="4" width="8" style="1" customWidth="1"/>
    <col min="5" max="5" width="6.21875" style="1" customWidth="1"/>
    <col min="6" max="6" width="6" style="1" customWidth="1"/>
    <col min="7" max="7" width="10" style="1" customWidth="1"/>
    <col min="8" max="8" width="11.44140625" style="2" customWidth="1"/>
    <col min="9" max="16384" width="12.77734375" style="1"/>
  </cols>
  <sheetData>
    <row r="1" spans="1:10" ht="15" hidden="1" customHeight="1" x14ac:dyDescent="0.3">
      <c r="H1" s="3"/>
    </row>
    <row r="2" spans="1:10" ht="120.6" x14ac:dyDescent="0.3">
      <c r="A2" s="6" t="s">
        <v>196</v>
      </c>
      <c r="B2" s="6" t="s">
        <v>187</v>
      </c>
      <c r="C2" s="7" t="s">
        <v>188</v>
      </c>
      <c r="D2" s="9" t="s">
        <v>189</v>
      </c>
      <c r="E2" s="7" t="s">
        <v>190</v>
      </c>
      <c r="F2" s="7" t="s">
        <v>191</v>
      </c>
      <c r="G2" s="7" t="s">
        <v>192</v>
      </c>
      <c r="H2" s="8" t="s">
        <v>194</v>
      </c>
      <c r="I2" s="1" t="s">
        <v>195</v>
      </c>
      <c r="J2" s="1" t="s">
        <v>175</v>
      </c>
    </row>
    <row r="3" spans="1:10" ht="15.75" customHeight="1" x14ac:dyDescent="0.3">
      <c r="A3" s="15" t="s">
        <v>146</v>
      </c>
      <c r="B3" s="23" t="s">
        <v>176</v>
      </c>
      <c r="C3" s="15">
        <v>99</v>
      </c>
      <c r="D3" s="36">
        <v>0.27700000000000002</v>
      </c>
      <c r="E3" s="15">
        <v>26.4</v>
      </c>
      <c r="F3" s="15">
        <v>0</v>
      </c>
      <c r="G3" s="15">
        <v>100</v>
      </c>
      <c r="H3" s="17">
        <v>4</v>
      </c>
      <c r="I3" s="1">
        <v>6</v>
      </c>
      <c r="J3" s="1">
        <v>22</v>
      </c>
    </row>
    <row r="4" spans="1:10" ht="15.75" customHeight="1" x14ac:dyDescent="0.3">
      <c r="A4" s="15" t="s">
        <v>146</v>
      </c>
      <c r="B4" s="23" t="s">
        <v>177</v>
      </c>
      <c r="C4" s="15">
        <v>92</v>
      </c>
      <c r="D4" s="18">
        <v>0.78</v>
      </c>
      <c r="E4" s="15">
        <v>24.6</v>
      </c>
      <c r="F4" s="15">
        <v>0</v>
      </c>
      <c r="G4" s="15">
        <v>5</v>
      </c>
      <c r="H4" s="17">
        <v>3</v>
      </c>
      <c r="I4" s="1">
        <v>9</v>
      </c>
      <c r="J4" s="1">
        <v>14</v>
      </c>
    </row>
    <row r="5" spans="1:10" ht="15.75" customHeight="1" x14ac:dyDescent="0.3">
      <c r="A5" s="15" t="s">
        <v>146</v>
      </c>
      <c r="B5" s="23" t="s">
        <v>200</v>
      </c>
      <c r="C5" s="15">
        <v>94</v>
      </c>
      <c r="D5" s="36">
        <v>0.50800000000000001</v>
      </c>
      <c r="E5" s="15">
        <v>24.8</v>
      </c>
      <c r="F5" s="15">
        <v>0</v>
      </c>
      <c r="G5" s="15">
        <v>5</v>
      </c>
      <c r="H5" s="17">
        <v>5</v>
      </c>
      <c r="I5" s="1">
        <v>8</v>
      </c>
      <c r="J5" s="1">
        <v>8</v>
      </c>
    </row>
    <row r="6" spans="1:10" ht="15.75" customHeight="1" x14ac:dyDescent="0.3">
      <c r="A6" s="15" t="s">
        <v>146</v>
      </c>
      <c r="B6" s="23" t="s">
        <v>200</v>
      </c>
      <c r="C6" s="15">
        <v>94</v>
      </c>
      <c r="D6" s="36">
        <v>0.5</v>
      </c>
      <c r="E6" s="15">
        <v>24.8</v>
      </c>
      <c r="F6" s="15">
        <v>0</v>
      </c>
      <c r="G6" s="15">
        <v>100</v>
      </c>
      <c r="H6" s="17">
        <v>5</v>
      </c>
      <c r="I6" s="1">
        <v>2</v>
      </c>
      <c r="J6" s="1">
        <v>6</v>
      </c>
    </row>
    <row r="7" spans="1:10" ht="15.75" customHeight="1" x14ac:dyDescent="0.3">
      <c r="A7" s="15" t="s">
        <v>146</v>
      </c>
      <c r="B7" s="23" t="s">
        <v>200</v>
      </c>
      <c r="C7" s="20">
        <v>94</v>
      </c>
      <c r="D7" s="36">
        <v>0.5</v>
      </c>
      <c r="E7" s="15">
        <v>23</v>
      </c>
      <c r="F7" s="15">
        <v>0</v>
      </c>
      <c r="G7" s="15">
        <v>100</v>
      </c>
      <c r="H7" s="17">
        <v>5</v>
      </c>
      <c r="I7" s="1">
        <v>5</v>
      </c>
      <c r="J7" s="1">
        <v>5</v>
      </c>
    </row>
    <row r="8" spans="1:10" ht="15.75" customHeight="1" x14ac:dyDescent="0.3">
      <c r="A8" s="15" t="s">
        <v>146</v>
      </c>
      <c r="B8" s="23" t="s">
        <v>200</v>
      </c>
      <c r="C8" s="20">
        <v>94</v>
      </c>
      <c r="D8" s="36">
        <v>0.5</v>
      </c>
      <c r="E8" s="15">
        <v>22</v>
      </c>
      <c r="F8" s="15">
        <v>0</v>
      </c>
      <c r="G8" s="15">
        <v>100</v>
      </c>
      <c r="H8" s="17">
        <v>5</v>
      </c>
      <c r="I8" s="1">
        <v>1</v>
      </c>
      <c r="J8" s="1">
        <v>1</v>
      </c>
    </row>
    <row r="9" spans="1:10" ht="15.75" customHeight="1" x14ac:dyDescent="0.3">
      <c r="A9" s="15" t="s">
        <v>146</v>
      </c>
      <c r="B9" s="23" t="s">
        <v>181</v>
      </c>
      <c r="C9" s="15">
        <v>99</v>
      </c>
      <c r="D9" s="18">
        <v>7.59</v>
      </c>
      <c r="E9" s="15">
        <v>23.9</v>
      </c>
      <c r="F9" s="15">
        <v>0</v>
      </c>
      <c r="G9" s="15">
        <v>100</v>
      </c>
      <c r="H9" s="17">
        <v>3</v>
      </c>
      <c r="I9" s="1">
        <v>5</v>
      </c>
      <c r="J9" s="1">
        <v>6</v>
      </c>
    </row>
    <row r="10" spans="1:10" ht="15.75" customHeight="1" x14ac:dyDescent="0.3">
      <c r="A10" s="15" t="s">
        <v>146</v>
      </c>
      <c r="B10" s="23" t="s">
        <v>198</v>
      </c>
      <c r="C10" s="15">
        <v>99</v>
      </c>
      <c r="D10" s="18">
        <v>13.05</v>
      </c>
      <c r="E10" s="15">
        <v>25.9</v>
      </c>
      <c r="F10" s="15">
        <v>0.45</v>
      </c>
      <c r="G10" s="15">
        <v>100</v>
      </c>
      <c r="H10" s="17">
        <v>3</v>
      </c>
      <c r="I10" s="1">
        <v>4</v>
      </c>
      <c r="J10" s="1">
        <v>4</v>
      </c>
    </row>
    <row r="11" spans="1:10" ht="15.75" customHeight="1" x14ac:dyDescent="0.3">
      <c r="A11" s="15" t="s">
        <v>146</v>
      </c>
      <c r="B11" s="23" t="s">
        <v>183</v>
      </c>
      <c r="C11" s="15">
        <v>79</v>
      </c>
      <c r="D11" s="18">
        <v>15.5</v>
      </c>
      <c r="E11" s="15">
        <v>28.3</v>
      </c>
      <c r="F11" s="15">
        <v>0</v>
      </c>
      <c r="G11" s="15">
        <v>100</v>
      </c>
      <c r="H11" s="17">
        <v>3</v>
      </c>
      <c r="I11" s="1">
        <v>3</v>
      </c>
      <c r="J11" s="1">
        <v>3</v>
      </c>
    </row>
    <row r="12" spans="1:10" ht="15.75" customHeight="1" x14ac:dyDescent="0.3">
      <c r="A12" s="15" t="s">
        <v>146</v>
      </c>
      <c r="B12" s="23" t="s">
        <v>183</v>
      </c>
      <c r="C12" s="15">
        <v>79</v>
      </c>
      <c r="D12" s="18">
        <v>4.87</v>
      </c>
      <c r="E12" s="15">
        <v>25.2</v>
      </c>
      <c r="F12" s="15">
        <v>0</v>
      </c>
      <c r="G12" s="15">
        <v>100</v>
      </c>
      <c r="H12" s="17">
        <v>3</v>
      </c>
      <c r="I12" s="1">
        <v>0</v>
      </c>
      <c r="J12" s="1">
        <v>0</v>
      </c>
    </row>
    <row r="13" spans="1:10" ht="15.75" customHeight="1" x14ac:dyDescent="0.3">
      <c r="A13" s="15" t="s">
        <v>146</v>
      </c>
      <c r="B13" s="23" t="s">
        <v>186</v>
      </c>
      <c r="C13" s="15">
        <v>79</v>
      </c>
      <c r="D13" s="18">
        <v>0.56999999999999995</v>
      </c>
      <c r="E13" s="15">
        <v>24.8</v>
      </c>
      <c r="F13" s="15">
        <v>0</v>
      </c>
      <c r="G13" s="15">
        <v>100</v>
      </c>
      <c r="H13" s="17">
        <v>6</v>
      </c>
      <c r="I13" s="1">
        <v>3</v>
      </c>
      <c r="J13" s="1">
        <v>4</v>
      </c>
    </row>
    <row r="14" spans="1:10" ht="15.75" customHeight="1" x14ac:dyDescent="0.3">
      <c r="A14" s="15" t="s">
        <v>146</v>
      </c>
      <c r="B14" s="23" t="s">
        <v>186</v>
      </c>
      <c r="C14" s="15">
        <v>96</v>
      </c>
      <c r="D14" s="18">
        <v>15.05</v>
      </c>
      <c r="E14" s="15">
        <v>30.2</v>
      </c>
      <c r="F14" s="15">
        <v>0</v>
      </c>
      <c r="G14" s="15">
        <v>100</v>
      </c>
      <c r="H14" s="17">
        <v>6</v>
      </c>
      <c r="I14" s="1">
        <v>2</v>
      </c>
      <c r="J14" s="1">
        <v>6</v>
      </c>
    </row>
    <row r="15" spans="1:10" ht="15.75" customHeight="1" x14ac:dyDescent="0.3">
      <c r="A15" s="15" t="s">
        <v>146</v>
      </c>
      <c r="B15" s="15" t="s">
        <v>186</v>
      </c>
      <c r="C15" s="15">
        <v>57</v>
      </c>
      <c r="D15" s="18">
        <v>153.19999999999999</v>
      </c>
      <c r="E15" s="15">
        <v>30.2</v>
      </c>
      <c r="F15" s="15">
        <v>0.4</v>
      </c>
      <c r="G15" s="15">
        <v>100</v>
      </c>
      <c r="H15" s="17">
        <v>6</v>
      </c>
      <c r="I15" s="1">
        <v>2</v>
      </c>
      <c r="J15" s="1">
        <v>3</v>
      </c>
    </row>
    <row r="16" spans="1:10" ht="15.75" customHeight="1" x14ac:dyDescent="0.3">
      <c r="A16" s="15" t="s">
        <v>153</v>
      </c>
      <c r="B16" s="23" t="s">
        <v>176</v>
      </c>
      <c r="C16" s="15">
        <v>98</v>
      </c>
      <c r="D16" s="18">
        <v>7.54</v>
      </c>
      <c r="E16" s="15">
        <v>25.8</v>
      </c>
      <c r="F16" s="15">
        <v>0</v>
      </c>
      <c r="G16" s="15">
        <v>100</v>
      </c>
      <c r="H16" s="17">
        <v>4</v>
      </c>
      <c r="I16" s="1">
        <v>5</v>
      </c>
      <c r="J16" s="1">
        <v>7</v>
      </c>
    </row>
    <row r="17" spans="1:10" ht="15.75" customHeight="1" x14ac:dyDescent="0.3">
      <c r="A17" s="15" t="s">
        <v>153</v>
      </c>
      <c r="B17" s="23" t="s">
        <v>176</v>
      </c>
      <c r="C17" s="15">
        <v>99</v>
      </c>
      <c r="D17" s="18">
        <v>6.06</v>
      </c>
      <c r="E17" s="15">
        <v>25.35</v>
      </c>
      <c r="F17" s="15">
        <v>0</v>
      </c>
      <c r="G17" s="15">
        <v>100</v>
      </c>
      <c r="H17" s="17">
        <v>4</v>
      </c>
      <c r="I17" s="1">
        <v>9</v>
      </c>
      <c r="J17" s="1">
        <v>9</v>
      </c>
    </row>
    <row r="18" spans="1:10" ht="15.75" customHeight="1" x14ac:dyDescent="0.3">
      <c r="A18" s="15" t="s">
        <v>153</v>
      </c>
      <c r="B18" s="23" t="s">
        <v>177</v>
      </c>
      <c r="C18" s="15">
        <v>98</v>
      </c>
      <c r="D18" s="18">
        <v>0.77</v>
      </c>
      <c r="E18" s="15">
        <v>22.6</v>
      </c>
      <c r="F18" s="15">
        <v>0</v>
      </c>
      <c r="G18" s="15">
        <v>100</v>
      </c>
      <c r="H18" s="17">
        <v>3</v>
      </c>
      <c r="I18" s="1">
        <v>8</v>
      </c>
      <c r="J18" s="1">
        <v>14</v>
      </c>
    </row>
    <row r="19" spans="1:10" ht="15.75" customHeight="1" x14ac:dyDescent="0.3">
      <c r="A19" s="15" t="s">
        <v>153</v>
      </c>
      <c r="B19" s="23" t="s">
        <v>177</v>
      </c>
      <c r="C19" s="15">
        <v>82</v>
      </c>
      <c r="D19" s="36">
        <v>0.19800000000000001</v>
      </c>
      <c r="E19" s="15">
        <v>24.3</v>
      </c>
      <c r="F19" s="15">
        <v>0</v>
      </c>
      <c r="G19" s="15">
        <v>20</v>
      </c>
      <c r="H19" s="17">
        <v>3</v>
      </c>
      <c r="I19" s="1">
        <v>9</v>
      </c>
      <c r="J19" s="1">
        <v>12</v>
      </c>
    </row>
    <row r="20" spans="1:10" ht="15.75" customHeight="1" x14ac:dyDescent="0.3">
      <c r="A20" s="15" t="s">
        <v>153</v>
      </c>
      <c r="B20" s="23" t="s">
        <v>200</v>
      </c>
      <c r="C20" s="15">
        <v>98</v>
      </c>
      <c r="D20" s="18">
        <v>3.69</v>
      </c>
      <c r="E20" s="15">
        <v>22.35</v>
      </c>
      <c r="F20" s="15">
        <v>0</v>
      </c>
      <c r="G20" s="15">
        <v>0</v>
      </c>
      <c r="H20" s="17">
        <v>5</v>
      </c>
      <c r="I20" s="1">
        <v>3</v>
      </c>
      <c r="J20" s="1">
        <v>7</v>
      </c>
    </row>
    <row r="21" spans="1:10" ht="15.75" customHeight="1" x14ac:dyDescent="0.3">
      <c r="A21" s="15" t="s">
        <v>153</v>
      </c>
      <c r="B21" s="23" t="s">
        <v>200</v>
      </c>
      <c r="C21" s="15">
        <v>98</v>
      </c>
      <c r="D21" s="18">
        <v>3.69</v>
      </c>
      <c r="E21" s="15">
        <v>22.35</v>
      </c>
      <c r="F21" s="15">
        <v>0</v>
      </c>
      <c r="G21" s="15">
        <v>0</v>
      </c>
      <c r="H21" s="17">
        <v>5</v>
      </c>
      <c r="I21" s="1">
        <v>13</v>
      </c>
      <c r="J21" s="1">
        <v>14</v>
      </c>
    </row>
    <row r="22" spans="1:10" ht="15.75" customHeight="1" x14ac:dyDescent="0.3">
      <c r="A22" s="15" t="s">
        <v>153</v>
      </c>
      <c r="B22" s="23" t="s">
        <v>200</v>
      </c>
      <c r="C22" s="15">
        <v>90</v>
      </c>
      <c r="D22" s="36">
        <v>3.5000000000000003E-2</v>
      </c>
      <c r="E22" s="15">
        <v>24.2</v>
      </c>
      <c r="F22" s="15">
        <v>0</v>
      </c>
      <c r="G22" s="15">
        <v>20</v>
      </c>
      <c r="H22" s="17">
        <v>5</v>
      </c>
      <c r="I22" s="1">
        <v>1</v>
      </c>
      <c r="J22" s="1">
        <v>1</v>
      </c>
    </row>
    <row r="23" spans="1:10" ht="15.75" customHeight="1" x14ac:dyDescent="0.3">
      <c r="A23" s="15" t="s">
        <v>153</v>
      </c>
      <c r="B23" s="23" t="s">
        <v>200</v>
      </c>
      <c r="C23" s="15">
        <v>61</v>
      </c>
      <c r="D23" s="36">
        <v>9.4E-2</v>
      </c>
      <c r="E23" s="15">
        <v>25.5</v>
      </c>
      <c r="F23" s="15">
        <v>0</v>
      </c>
      <c r="G23" s="15">
        <v>15</v>
      </c>
      <c r="H23" s="17">
        <v>5</v>
      </c>
      <c r="I23" s="1">
        <v>6</v>
      </c>
      <c r="J23" s="1">
        <v>8</v>
      </c>
    </row>
    <row r="24" spans="1:10" ht="15.75" customHeight="1" x14ac:dyDescent="0.3">
      <c r="A24" s="15" t="s">
        <v>153</v>
      </c>
      <c r="B24" s="23" t="s">
        <v>200</v>
      </c>
      <c r="C24" s="15">
        <v>65</v>
      </c>
      <c r="D24" s="36">
        <v>3.5000000000000003E-2</v>
      </c>
      <c r="E24" s="15">
        <v>25.7</v>
      </c>
      <c r="F24" s="15">
        <v>0</v>
      </c>
      <c r="G24" s="15">
        <v>100</v>
      </c>
      <c r="H24" s="17">
        <v>5</v>
      </c>
      <c r="I24" s="1">
        <v>3</v>
      </c>
      <c r="J24" s="1">
        <v>3</v>
      </c>
    </row>
    <row r="25" spans="1:10" ht="15.75" customHeight="1" x14ac:dyDescent="0.3">
      <c r="A25" s="15" t="s">
        <v>153</v>
      </c>
      <c r="B25" s="23" t="s">
        <v>180</v>
      </c>
      <c r="C25" s="15">
        <v>85</v>
      </c>
      <c r="D25" s="18">
        <v>3.81</v>
      </c>
      <c r="E25" s="15">
        <v>25</v>
      </c>
      <c r="F25" s="15">
        <v>0</v>
      </c>
      <c r="G25" s="15">
        <v>78.33</v>
      </c>
      <c r="H25" s="17">
        <v>5</v>
      </c>
      <c r="I25" s="1">
        <v>3</v>
      </c>
      <c r="J25" s="1">
        <v>3</v>
      </c>
    </row>
    <row r="26" spans="1:10" ht="15.75" customHeight="1" x14ac:dyDescent="0.3">
      <c r="A26" s="15" t="s">
        <v>153</v>
      </c>
      <c r="B26" s="23" t="s">
        <v>180</v>
      </c>
      <c r="C26" s="15">
        <v>61</v>
      </c>
      <c r="D26" s="18">
        <v>4.78</v>
      </c>
      <c r="E26" s="15">
        <v>28.7</v>
      </c>
      <c r="F26" s="15">
        <v>0</v>
      </c>
      <c r="G26" s="15">
        <v>100</v>
      </c>
      <c r="H26" s="17">
        <v>5</v>
      </c>
      <c r="I26" s="1">
        <v>0</v>
      </c>
      <c r="J26" s="1">
        <v>0</v>
      </c>
    </row>
    <row r="27" spans="1:10" ht="15.75" customHeight="1" x14ac:dyDescent="0.3">
      <c r="A27" s="15" t="s">
        <v>153</v>
      </c>
      <c r="B27" s="23" t="s">
        <v>180</v>
      </c>
      <c r="C27" s="15">
        <v>47</v>
      </c>
      <c r="D27" s="36">
        <v>0.74399999999999999</v>
      </c>
      <c r="E27" s="15">
        <v>29.9</v>
      </c>
      <c r="F27" s="15">
        <v>0</v>
      </c>
      <c r="G27" s="15">
        <v>2</v>
      </c>
      <c r="H27" s="17">
        <v>5</v>
      </c>
      <c r="I27" s="1">
        <v>2</v>
      </c>
      <c r="J27" s="1">
        <v>2</v>
      </c>
    </row>
    <row r="28" spans="1:10" ht="15.75" customHeight="1" x14ac:dyDescent="0.3">
      <c r="A28" s="15" t="s">
        <v>153</v>
      </c>
      <c r="B28" s="23" t="s">
        <v>180</v>
      </c>
      <c r="C28" s="15">
        <v>50</v>
      </c>
      <c r="D28" s="36">
        <v>0.7</v>
      </c>
      <c r="E28" s="15">
        <v>26.3</v>
      </c>
      <c r="F28" s="15">
        <v>0</v>
      </c>
      <c r="G28" s="15">
        <v>100</v>
      </c>
      <c r="H28" s="17">
        <v>5</v>
      </c>
      <c r="I28" s="1">
        <v>2</v>
      </c>
      <c r="J28" s="1">
        <v>5</v>
      </c>
    </row>
    <row r="29" spans="1:10" ht="15.75" customHeight="1" x14ac:dyDescent="0.3">
      <c r="A29" s="15" t="s">
        <v>153</v>
      </c>
      <c r="B29" s="23" t="s">
        <v>181</v>
      </c>
      <c r="C29" s="15">
        <v>85</v>
      </c>
      <c r="D29" s="18">
        <v>13.84</v>
      </c>
      <c r="E29" s="15">
        <v>26.7</v>
      </c>
      <c r="F29" s="15">
        <v>0</v>
      </c>
      <c r="G29" s="15">
        <v>100</v>
      </c>
      <c r="H29" s="17">
        <v>3</v>
      </c>
      <c r="I29" s="1">
        <v>4</v>
      </c>
      <c r="J29" s="1">
        <v>6</v>
      </c>
    </row>
    <row r="30" spans="1:10" ht="15.75" customHeight="1" x14ac:dyDescent="0.3">
      <c r="A30" s="15" t="s">
        <v>153</v>
      </c>
      <c r="B30" s="23" t="s">
        <v>181</v>
      </c>
      <c r="C30" s="15">
        <v>55</v>
      </c>
      <c r="D30" s="18">
        <v>55.3</v>
      </c>
      <c r="E30" s="15">
        <v>30.2</v>
      </c>
      <c r="F30" s="15">
        <v>0</v>
      </c>
      <c r="G30" s="15">
        <v>100</v>
      </c>
      <c r="H30" s="17">
        <v>3</v>
      </c>
      <c r="I30" s="1">
        <v>0</v>
      </c>
      <c r="J30" s="1">
        <v>0</v>
      </c>
    </row>
    <row r="31" spans="1:10" ht="15.75" customHeight="1" x14ac:dyDescent="0.3">
      <c r="A31" s="15" t="s">
        <v>153</v>
      </c>
      <c r="B31" s="23" t="s">
        <v>181</v>
      </c>
      <c r="C31" s="15">
        <v>51</v>
      </c>
      <c r="D31" s="18">
        <v>26.78</v>
      </c>
      <c r="E31" s="15">
        <v>30.7</v>
      </c>
      <c r="F31" s="15">
        <v>0</v>
      </c>
      <c r="G31" s="15">
        <v>23.33</v>
      </c>
      <c r="H31" s="17">
        <v>3</v>
      </c>
      <c r="I31" s="1">
        <v>2</v>
      </c>
      <c r="J31" s="1">
        <v>2</v>
      </c>
    </row>
    <row r="32" spans="1:10" ht="15.75" customHeight="1" x14ac:dyDescent="0.3">
      <c r="A32" s="15" t="s">
        <v>153</v>
      </c>
      <c r="B32" s="23" t="s">
        <v>198</v>
      </c>
      <c r="C32" s="15">
        <v>90</v>
      </c>
      <c r="D32" s="18">
        <v>8.44</v>
      </c>
      <c r="E32" s="15">
        <v>27.4</v>
      </c>
      <c r="F32" s="15">
        <v>0.8</v>
      </c>
      <c r="G32" s="15">
        <v>100</v>
      </c>
      <c r="H32" s="17">
        <v>3</v>
      </c>
      <c r="I32" s="1">
        <v>12</v>
      </c>
      <c r="J32" s="1">
        <v>17</v>
      </c>
    </row>
    <row r="33" spans="1:10" ht="15.75" customHeight="1" x14ac:dyDescent="0.3">
      <c r="A33" s="15" t="s">
        <v>153</v>
      </c>
      <c r="B33" s="16" t="s">
        <v>198</v>
      </c>
      <c r="C33" s="15">
        <v>58</v>
      </c>
      <c r="D33" s="18">
        <v>30.1</v>
      </c>
      <c r="E33" s="15">
        <v>29.1</v>
      </c>
      <c r="F33" s="15">
        <v>0</v>
      </c>
      <c r="G33" s="15">
        <v>98.75</v>
      </c>
      <c r="H33" s="17">
        <v>3</v>
      </c>
      <c r="I33" s="1">
        <v>2</v>
      </c>
      <c r="J33" s="1">
        <v>2</v>
      </c>
    </row>
    <row r="34" spans="1:10" ht="15.75" customHeight="1" x14ac:dyDescent="0.3">
      <c r="A34" s="15" t="s">
        <v>153</v>
      </c>
      <c r="B34" s="23" t="s">
        <v>183</v>
      </c>
      <c r="C34" s="15">
        <v>95</v>
      </c>
      <c r="D34" s="18">
        <v>10.69</v>
      </c>
      <c r="E34" s="15">
        <v>22.8</v>
      </c>
      <c r="F34" s="15">
        <v>1.2</v>
      </c>
      <c r="G34" s="15">
        <v>100</v>
      </c>
      <c r="H34" s="17">
        <v>3</v>
      </c>
      <c r="I34" s="1">
        <v>4</v>
      </c>
      <c r="J34" s="1">
        <v>7</v>
      </c>
    </row>
    <row r="35" spans="1:10" ht="15.75" customHeight="1" x14ac:dyDescent="0.3">
      <c r="A35" s="15" t="s">
        <v>153</v>
      </c>
      <c r="B35" s="23" t="s">
        <v>183</v>
      </c>
      <c r="C35" s="15">
        <v>95</v>
      </c>
      <c r="D35" s="18">
        <v>5.99</v>
      </c>
      <c r="E35" s="15">
        <v>25.7</v>
      </c>
      <c r="F35" s="15">
        <v>0</v>
      </c>
      <c r="G35" s="15">
        <v>100</v>
      </c>
      <c r="H35" s="17">
        <v>3</v>
      </c>
      <c r="I35" s="1">
        <v>5</v>
      </c>
      <c r="J35" s="1">
        <v>7</v>
      </c>
    </row>
    <row r="36" spans="1:10" ht="15.75" customHeight="1" x14ac:dyDescent="0.3">
      <c r="A36" s="15" t="s">
        <v>153</v>
      </c>
      <c r="B36" s="16" t="s">
        <v>183</v>
      </c>
      <c r="C36" s="15">
        <v>98</v>
      </c>
      <c r="D36" s="18">
        <v>3.61</v>
      </c>
      <c r="E36" s="15">
        <v>23</v>
      </c>
      <c r="F36" s="15">
        <v>0</v>
      </c>
      <c r="G36" s="15">
        <v>100</v>
      </c>
      <c r="H36" s="17">
        <v>3</v>
      </c>
      <c r="I36" s="1">
        <v>0</v>
      </c>
      <c r="J36" s="1">
        <v>0</v>
      </c>
    </row>
    <row r="37" spans="1:10" ht="15.75" customHeight="1" x14ac:dyDescent="0.3">
      <c r="A37" s="15" t="s">
        <v>153</v>
      </c>
      <c r="B37" s="23" t="s">
        <v>183</v>
      </c>
      <c r="C37" s="15">
        <v>80</v>
      </c>
      <c r="D37" s="18">
        <v>6.89</v>
      </c>
      <c r="E37" s="15">
        <v>24.3</v>
      </c>
      <c r="F37" s="15">
        <v>0.87</v>
      </c>
      <c r="G37" s="15">
        <v>100</v>
      </c>
      <c r="H37" s="17">
        <v>3</v>
      </c>
      <c r="I37" s="1">
        <v>2</v>
      </c>
      <c r="J37" s="1">
        <v>2</v>
      </c>
    </row>
    <row r="38" spans="1:10" ht="15.75" customHeight="1" x14ac:dyDescent="0.3">
      <c r="A38" s="15" t="s">
        <v>153</v>
      </c>
      <c r="B38" s="23" t="s">
        <v>186</v>
      </c>
      <c r="C38" s="15">
        <v>95</v>
      </c>
      <c r="D38" s="18">
        <v>1.44</v>
      </c>
      <c r="E38" s="15">
        <v>25.1</v>
      </c>
      <c r="F38" s="15">
        <v>0</v>
      </c>
      <c r="G38" s="15">
        <v>100</v>
      </c>
      <c r="H38" s="17">
        <v>6</v>
      </c>
      <c r="I38" s="1">
        <v>2</v>
      </c>
      <c r="J38" s="1">
        <v>7</v>
      </c>
    </row>
    <row r="39" spans="1:10" ht="15.75" customHeight="1" x14ac:dyDescent="0.3">
      <c r="A39" s="15" t="s">
        <v>153</v>
      </c>
      <c r="B39" s="23" t="s">
        <v>186</v>
      </c>
      <c r="C39" s="15">
        <v>99</v>
      </c>
      <c r="D39" s="18">
        <v>0.54</v>
      </c>
      <c r="E39" s="15">
        <v>21.9</v>
      </c>
      <c r="F39" s="15">
        <v>0</v>
      </c>
      <c r="G39" s="15">
        <v>100</v>
      </c>
      <c r="H39" s="17">
        <v>6</v>
      </c>
      <c r="I39" s="1">
        <v>3</v>
      </c>
      <c r="J39" s="1">
        <v>3</v>
      </c>
    </row>
    <row r="40" spans="1:10" ht="15.75" customHeight="1" x14ac:dyDescent="0.3">
      <c r="A40" s="15" t="s">
        <v>153</v>
      </c>
      <c r="B40" s="23" t="s">
        <v>186</v>
      </c>
      <c r="C40" s="15">
        <v>99</v>
      </c>
      <c r="D40" s="18">
        <v>0.63</v>
      </c>
      <c r="E40" s="15">
        <v>25.1</v>
      </c>
      <c r="F40" s="15">
        <v>0</v>
      </c>
      <c r="G40" s="15">
        <v>100</v>
      </c>
      <c r="H40" s="17">
        <v>6</v>
      </c>
      <c r="I40" s="1">
        <v>3</v>
      </c>
      <c r="J40" s="1">
        <v>8</v>
      </c>
    </row>
    <row r="41" spans="1:10" ht="15.75" customHeight="1" x14ac:dyDescent="0.3">
      <c r="A41" s="15" t="s">
        <v>153</v>
      </c>
      <c r="B41" s="23" t="s">
        <v>186</v>
      </c>
      <c r="C41" s="15">
        <v>99</v>
      </c>
      <c r="D41" s="18">
        <v>1.67</v>
      </c>
      <c r="E41" s="15">
        <v>25.2</v>
      </c>
      <c r="F41" s="15">
        <v>0</v>
      </c>
      <c r="G41" s="15">
        <v>100</v>
      </c>
      <c r="H41" s="17">
        <v>6</v>
      </c>
      <c r="I41" s="1">
        <v>3</v>
      </c>
      <c r="J41" s="1">
        <v>4</v>
      </c>
    </row>
    <row r="42" spans="1:10" ht="15.75" customHeight="1" x14ac:dyDescent="0.3">
      <c r="A42" s="15" t="s">
        <v>158</v>
      </c>
      <c r="B42" s="23" t="s">
        <v>176</v>
      </c>
      <c r="C42" s="15">
        <v>96</v>
      </c>
      <c r="D42" s="18">
        <v>1.1399999999999999</v>
      </c>
      <c r="E42" s="15">
        <v>26.4</v>
      </c>
      <c r="F42" s="15">
        <v>0</v>
      </c>
      <c r="G42" s="15">
        <v>22</v>
      </c>
      <c r="H42" s="17">
        <v>4</v>
      </c>
      <c r="I42" s="1">
        <v>4</v>
      </c>
      <c r="J42" s="1">
        <v>7</v>
      </c>
    </row>
    <row r="43" spans="1:10" ht="15.75" customHeight="1" x14ac:dyDescent="0.3">
      <c r="A43" s="15" t="s">
        <v>158</v>
      </c>
      <c r="B43" s="23" t="s">
        <v>176</v>
      </c>
      <c r="C43" s="15">
        <v>99</v>
      </c>
      <c r="D43" s="18">
        <v>8.51</v>
      </c>
      <c r="E43" s="15">
        <v>26.5</v>
      </c>
      <c r="F43" s="15">
        <v>0</v>
      </c>
      <c r="G43" s="15">
        <v>36.659999999999997</v>
      </c>
      <c r="H43" s="17">
        <v>4</v>
      </c>
      <c r="I43" s="1">
        <v>9</v>
      </c>
      <c r="J43" s="1">
        <v>9</v>
      </c>
    </row>
    <row r="44" spans="1:10" ht="15.75" customHeight="1" x14ac:dyDescent="0.3">
      <c r="A44" s="15" t="s">
        <v>158</v>
      </c>
      <c r="B44" s="23" t="s">
        <v>176</v>
      </c>
      <c r="C44" s="15">
        <v>99</v>
      </c>
      <c r="D44" s="18">
        <v>8.52</v>
      </c>
      <c r="E44" s="15">
        <v>26.5</v>
      </c>
      <c r="F44" s="15">
        <v>0</v>
      </c>
      <c r="G44" s="15">
        <v>100</v>
      </c>
      <c r="H44" s="17">
        <v>4</v>
      </c>
      <c r="I44" s="1">
        <v>5</v>
      </c>
      <c r="J44" s="1">
        <v>6</v>
      </c>
    </row>
    <row r="45" spans="1:10" ht="15.75" customHeight="1" x14ac:dyDescent="0.3">
      <c r="A45" s="15" t="s">
        <v>158</v>
      </c>
      <c r="B45" s="23" t="s">
        <v>178</v>
      </c>
      <c r="C45" s="15">
        <v>99</v>
      </c>
      <c r="D45" s="18">
        <v>6.93</v>
      </c>
      <c r="E45" s="15">
        <v>23.5</v>
      </c>
      <c r="F45" s="15">
        <v>0</v>
      </c>
      <c r="G45" s="15">
        <v>98</v>
      </c>
      <c r="H45" s="17">
        <v>3</v>
      </c>
      <c r="I45" s="1">
        <v>7</v>
      </c>
      <c r="J45" s="1">
        <v>7</v>
      </c>
    </row>
    <row r="46" spans="1:10" ht="15.75" customHeight="1" x14ac:dyDescent="0.3">
      <c r="A46" s="15" t="s">
        <v>158</v>
      </c>
      <c r="B46" s="23" t="s">
        <v>178</v>
      </c>
      <c r="C46" s="15">
        <v>99</v>
      </c>
      <c r="D46" s="18">
        <v>6.8</v>
      </c>
      <c r="E46" s="15">
        <v>23.5</v>
      </c>
      <c r="F46" s="15">
        <v>0</v>
      </c>
      <c r="G46" s="15">
        <v>100</v>
      </c>
      <c r="H46" s="17">
        <v>3</v>
      </c>
      <c r="I46" s="1">
        <v>1</v>
      </c>
      <c r="J46" s="1">
        <v>1</v>
      </c>
    </row>
    <row r="47" spans="1:10" ht="15.75" customHeight="1" x14ac:dyDescent="0.3">
      <c r="A47" s="15" t="s">
        <v>158</v>
      </c>
      <c r="B47" s="23" t="s">
        <v>200</v>
      </c>
      <c r="C47" s="15">
        <v>89</v>
      </c>
      <c r="D47" s="18">
        <v>2.74</v>
      </c>
      <c r="E47" s="15">
        <v>23.5</v>
      </c>
      <c r="F47" s="15">
        <v>0</v>
      </c>
      <c r="G47" s="15">
        <v>0</v>
      </c>
      <c r="H47" s="17">
        <v>5</v>
      </c>
      <c r="I47" s="1">
        <v>13</v>
      </c>
      <c r="J47" s="1">
        <v>16</v>
      </c>
    </row>
    <row r="48" spans="1:10" ht="15.75" customHeight="1" x14ac:dyDescent="0.3">
      <c r="A48" s="15" t="s">
        <v>158</v>
      </c>
      <c r="B48" s="23" t="s">
        <v>200</v>
      </c>
      <c r="C48" s="15">
        <v>99</v>
      </c>
      <c r="D48" s="18">
        <v>0.32</v>
      </c>
      <c r="E48" s="15">
        <v>21.5</v>
      </c>
      <c r="F48" s="15">
        <v>0</v>
      </c>
      <c r="G48" s="15">
        <v>100</v>
      </c>
      <c r="H48" s="17">
        <v>5</v>
      </c>
      <c r="I48" s="1">
        <v>3</v>
      </c>
      <c r="J48" s="1">
        <v>3</v>
      </c>
    </row>
    <row r="49" spans="1:10" ht="15.75" customHeight="1" x14ac:dyDescent="0.3">
      <c r="A49" s="15" t="s">
        <v>158</v>
      </c>
      <c r="B49" s="23" t="s">
        <v>200</v>
      </c>
      <c r="C49" s="15">
        <v>87</v>
      </c>
      <c r="D49" s="18">
        <v>0.03</v>
      </c>
      <c r="E49" s="15">
        <v>23.2</v>
      </c>
      <c r="F49" s="15">
        <v>0</v>
      </c>
      <c r="G49" s="15">
        <v>100</v>
      </c>
      <c r="H49" s="17">
        <v>5</v>
      </c>
      <c r="I49" s="1">
        <v>3</v>
      </c>
      <c r="J49" s="1">
        <v>3</v>
      </c>
    </row>
    <row r="50" spans="1:10" ht="15.75" customHeight="1" x14ac:dyDescent="0.3">
      <c r="A50" s="15" t="s">
        <v>158</v>
      </c>
      <c r="B50" s="23" t="s">
        <v>200</v>
      </c>
      <c r="C50" s="15">
        <v>85</v>
      </c>
      <c r="D50" s="18">
        <v>0.04</v>
      </c>
      <c r="E50" s="15">
        <v>23.2</v>
      </c>
      <c r="F50" s="15">
        <v>0</v>
      </c>
      <c r="G50" s="15">
        <v>50</v>
      </c>
      <c r="H50" s="17">
        <v>5</v>
      </c>
      <c r="I50" s="1">
        <v>1</v>
      </c>
      <c r="J50" s="1">
        <v>1</v>
      </c>
    </row>
    <row r="51" spans="1:10" ht="15.75" customHeight="1" x14ac:dyDescent="0.3">
      <c r="A51" s="15" t="s">
        <v>158</v>
      </c>
      <c r="B51" s="23" t="s">
        <v>180</v>
      </c>
      <c r="C51" s="15">
        <v>88</v>
      </c>
      <c r="D51" s="18">
        <v>0.69</v>
      </c>
      <c r="E51" s="15">
        <v>23.4</v>
      </c>
      <c r="F51" s="15">
        <v>6</v>
      </c>
      <c r="G51" s="15">
        <v>100</v>
      </c>
      <c r="H51" s="17">
        <v>5</v>
      </c>
      <c r="I51" s="1">
        <v>8</v>
      </c>
      <c r="J51" s="1">
        <v>9</v>
      </c>
    </row>
    <row r="52" spans="1:10" ht="15.75" customHeight="1" x14ac:dyDescent="0.3">
      <c r="A52" s="15" t="s">
        <v>158</v>
      </c>
      <c r="B52" s="23" t="s">
        <v>180</v>
      </c>
      <c r="C52" s="15">
        <v>88</v>
      </c>
      <c r="D52" s="18">
        <v>1.86</v>
      </c>
      <c r="E52" s="15">
        <v>27.2</v>
      </c>
      <c r="F52" s="15">
        <v>0.6</v>
      </c>
      <c r="G52" s="15">
        <v>100</v>
      </c>
      <c r="H52" s="17">
        <v>5</v>
      </c>
      <c r="I52" s="1">
        <v>4</v>
      </c>
      <c r="J52" s="1">
        <v>4</v>
      </c>
    </row>
    <row r="53" spans="1:10" ht="15.75" customHeight="1" x14ac:dyDescent="0.3">
      <c r="A53" s="15" t="s">
        <v>158</v>
      </c>
      <c r="B53" s="23" t="s">
        <v>181</v>
      </c>
      <c r="C53" s="15">
        <v>80</v>
      </c>
      <c r="D53" s="18">
        <v>51.6</v>
      </c>
      <c r="E53" s="15">
        <v>28.7</v>
      </c>
      <c r="F53" s="15">
        <v>2.5</v>
      </c>
      <c r="G53" s="15">
        <v>0</v>
      </c>
      <c r="H53" s="17">
        <v>3</v>
      </c>
      <c r="I53" s="1">
        <v>5</v>
      </c>
      <c r="J53" s="1">
        <v>5</v>
      </c>
    </row>
    <row r="54" spans="1:10" ht="15.75" customHeight="1" x14ac:dyDescent="0.3">
      <c r="A54" s="15" t="s">
        <v>158</v>
      </c>
      <c r="B54" s="23" t="s">
        <v>198</v>
      </c>
      <c r="C54" s="15">
        <v>71</v>
      </c>
      <c r="D54" s="18">
        <v>7.17</v>
      </c>
      <c r="E54" s="15">
        <v>26.1</v>
      </c>
      <c r="F54" s="15">
        <v>1.9</v>
      </c>
      <c r="G54" s="15">
        <v>0</v>
      </c>
      <c r="H54" s="17">
        <v>3</v>
      </c>
      <c r="I54" s="1">
        <v>9</v>
      </c>
      <c r="J54" s="1">
        <v>11</v>
      </c>
    </row>
    <row r="55" spans="1:10" ht="15.75" customHeight="1" x14ac:dyDescent="0.3">
      <c r="A55" s="15" t="s">
        <v>158</v>
      </c>
      <c r="B55" s="23" t="s">
        <v>198</v>
      </c>
      <c r="C55" s="15">
        <v>74</v>
      </c>
      <c r="D55" s="18">
        <v>7.5</v>
      </c>
      <c r="E55" s="15">
        <v>26</v>
      </c>
      <c r="F55" s="15">
        <v>0</v>
      </c>
      <c r="G55" s="15">
        <v>100</v>
      </c>
      <c r="H55" s="17">
        <v>3</v>
      </c>
      <c r="I55" s="1">
        <v>1</v>
      </c>
      <c r="J55" s="1">
        <v>1</v>
      </c>
    </row>
    <row r="56" spans="1:10" ht="15.75" customHeight="1" x14ac:dyDescent="0.3">
      <c r="A56" s="15" t="s">
        <v>158</v>
      </c>
      <c r="B56" s="23" t="s">
        <v>198</v>
      </c>
      <c r="C56" s="15">
        <v>54</v>
      </c>
      <c r="D56" s="18">
        <v>10.85</v>
      </c>
      <c r="E56" s="15">
        <v>28.3</v>
      </c>
      <c r="F56" s="15">
        <v>1.45</v>
      </c>
      <c r="G56" s="15">
        <v>35</v>
      </c>
      <c r="H56" s="17">
        <v>3</v>
      </c>
      <c r="I56" s="1">
        <v>4</v>
      </c>
      <c r="J56" s="1">
        <v>4</v>
      </c>
    </row>
    <row r="57" spans="1:10" ht="15.75" customHeight="1" x14ac:dyDescent="0.3">
      <c r="A57" s="15" t="s">
        <v>158</v>
      </c>
      <c r="B57" s="23" t="s">
        <v>183</v>
      </c>
      <c r="C57" s="15">
        <v>77</v>
      </c>
      <c r="D57" s="18">
        <v>19</v>
      </c>
      <c r="E57" s="15">
        <v>23.9</v>
      </c>
      <c r="F57" s="15">
        <v>0</v>
      </c>
      <c r="G57" s="15">
        <v>100</v>
      </c>
      <c r="H57" s="17">
        <v>3</v>
      </c>
      <c r="I57" s="1">
        <v>4</v>
      </c>
      <c r="J57" s="1">
        <v>13</v>
      </c>
    </row>
    <row r="58" spans="1:10" ht="15.75" customHeight="1" x14ac:dyDescent="0.3">
      <c r="A58" s="15" t="s">
        <v>158</v>
      </c>
      <c r="B58" s="23" t="s">
        <v>183</v>
      </c>
      <c r="C58" s="15">
        <v>99</v>
      </c>
      <c r="D58" s="18">
        <v>29.59</v>
      </c>
      <c r="E58" s="15">
        <v>24.9</v>
      </c>
      <c r="F58" s="15">
        <v>0.65</v>
      </c>
      <c r="G58" s="15">
        <v>99</v>
      </c>
      <c r="H58" s="17">
        <v>3</v>
      </c>
      <c r="I58" s="1">
        <v>4</v>
      </c>
      <c r="J58" s="1">
        <v>7</v>
      </c>
    </row>
    <row r="59" spans="1:10" ht="15.75" customHeight="1" x14ac:dyDescent="0.3">
      <c r="A59" s="15" t="s">
        <v>158</v>
      </c>
      <c r="B59" s="23" t="s">
        <v>183</v>
      </c>
      <c r="C59" s="15">
        <v>74</v>
      </c>
      <c r="D59" s="18">
        <v>1.52</v>
      </c>
      <c r="E59" s="15">
        <v>19.829999999999998</v>
      </c>
      <c r="F59" s="15">
        <v>0.85</v>
      </c>
      <c r="G59" s="15">
        <v>100</v>
      </c>
      <c r="H59" s="17">
        <v>3</v>
      </c>
      <c r="I59" s="1">
        <v>2</v>
      </c>
      <c r="J59" s="1">
        <v>2</v>
      </c>
    </row>
    <row r="60" spans="1:10" ht="15.75" customHeight="1" x14ac:dyDescent="0.3">
      <c r="A60" s="15" t="s">
        <v>158</v>
      </c>
      <c r="B60" s="23" t="s">
        <v>186</v>
      </c>
      <c r="C60" s="15">
        <v>95</v>
      </c>
      <c r="D60" s="18">
        <v>0.4</v>
      </c>
      <c r="E60" s="15">
        <v>17.100000000000001</v>
      </c>
      <c r="F60" s="15">
        <v>0</v>
      </c>
      <c r="G60" s="15">
        <v>0</v>
      </c>
      <c r="H60" s="17">
        <v>6</v>
      </c>
      <c r="I60" s="1">
        <v>10</v>
      </c>
      <c r="J60" s="1">
        <v>33</v>
      </c>
    </row>
    <row r="61" spans="1:10" ht="15.75" customHeight="1" x14ac:dyDescent="0.3">
      <c r="A61" s="15" t="s">
        <v>158</v>
      </c>
      <c r="B61" s="23" t="s">
        <v>186</v>
      </c>
      <c r="C61" s="15">
        <v>95</v>
      </c>
      <c r="D61" s="18">
        <v>0.42</v>
      </c>
      <c r="E61" s="15">
        <v>17.2</v>
      </c>
      <c r="F61" s="15">
        <v>0</v>
      </c>
      <c r="G61" s="15">
        <v>100</v>
      </c>
      <c r="H61" s="17">
        <v>6</v>
      </c>
      <c r="I61" s="1">
        <v>1</v>
      </c>
      <c r="J61" s="1">
        <v>1</v>
      </c>
    </row>
    <row r="62" spans="1:10" ht="15.75" customHeight="1" x14ac:dyDescent="0.3">
      <c r="A62" s="15" t="s">
        <v>158</v>
      </c>
      <c r="B62" s="23" t="s">
        <v>186</v>
      </c>
      <c r="C62" s="15">
        <v>95</v>
      </c>
      <c r="D62" s="18">
        <v>0.41</v>
      </c>
      <c r="E62" s="15">
        <v>17.100000000000001</v>
      </c>
      <c r="F62" s="15">
        <v>0</v>
      </c>
      <c r="G62" s="15">
        <v>100</v>
      </c>
      <c r="H62" s="17">
        <v>6</v>
      </c>
      <c r="I62" s="1">
        <v>8</v>
      </c>
      <c r="J62" s="1">
        <v>11</v>
      </c>
    </row>
    <row r="63" spans="1:10" ht="15.75" customHeight="1" x14ac:dyDescent="0.3">
      <c r="A63" s="15" t="s">
        <v>158</v>
      </c>
      <c r="B63" s="23" t="s">
        <v>186</v>
      </c>
      <c r="C63" s="15">
        <v>87</v>
      </c>
      <c r="D63" s="18">
        <v>0.16</v>
      </c>
      <c r="E63" s="15">
        <v>20.2</v>
      </c>
      <c r="F63" s="15">
        <v>0</v>
      </c>
      <c r="G63" s="15">
        <v>100</v>
      </c>
      <c r="H63" s="17">
        <v>6</v>
      </c>
      <c r="I63" s="1">
        <v>6</v>
      </c>
      <c r="J63" s="1">
        <v>6</v>
      </c>
    </row>
    <row r="64" spans="1:10" ht="15.75" customHeight="1" x14ac:dyDescent="0.3">
      <c r="A64" s="15" t="s">
        <v>164</v>
      </c>
      <c r="B64" s="23" t="s">
        <v>176</v>
      </c>
      <c r="C64" s="15">
        <v>89</v>
      </c>
      <c r="D64" s="18">
        <v>1.36</v>
      </c>
      <c r="E64" s="15">
        <v>23.18</v>
      </c>
      <c r="F64" s="15">
        <v>0</v>
      </c>
      <c r="G64" s="15">
        <v>100</v>
      </c>
      <c r="H64" s="17">
        <v>4</v>
      </c>
      <c r="I64" s="1">
        <v>8</v>
      </c>
      <c r="J64" s="1">
        <v>11</v>
      </c>
    </row>
    <row r="65" spans="1:10" ht="15.75" customHeight="1" x14ac:dyDescent="0.3">
      <c r="A65" s="15" t="s">
        <v>164</v>
      </c>
      <c r="B65" s="23" t="s">
        <v>177</v>
      </c>
      <c r="C65" s="15">
        <v>94</v>
      </c>
      <c r="D65" s="18">
        <v>7.68</v>
      </c>
      <c r="E65" s="15">
        <v>26.7</v>
      </c>
      <c r="F65" s="15">
        <v>0.75</v>
      </c>
      <c r="G65" s="15">
        <v>100</v>
      </c>
      <c r="H65" s="17">
        <v>3</v>
      </c>
      <c r="I65" s="1">
        <v>6</v>
      </c>
      <c r="J65" s="1">
        <v>8</v>
      </c>
    </row>
    <row r="66" spans="1:10" ht="15.75" customHeight="1" x14ac:dyDescent="0.3">
      <c r="A66" s="15" t="s">
        <v>164</v>
      </c>
      <c r="B66" s="23" t="s">
        <v>177</v>
      </c>
      <c r="C66" s="15">
        <v>90</v>
      </c>
      <c r="D66" s="18">
        <v>1.5</v>
      </c>
      <c r="E66" s="15">
        <v>23.4</v>
      </c>
      <c r="F66" s="15">
        <v>0</v>
      </c>
      <c r="G66" s="15">
        <v>100</v>
      </c>
      <c r="H66" s="17">
        <v>3</v>
      </c>
      <c r="I66" s="1">
        <v>1</v>
      </c>
      <c r="J66" s="1">
        <v>1</v>
      </c>
    </row>
    <row r="67" spans="1:10" ht="15.75" customHeight="1" x14ac:dyDescent="0.3">
      <c r="A67" s="15" t="s">
        <v>164</v>
      </c>
      <c r="B67" s="23" t="s">
        <v>200</v>
      </c>
      <c r="C67" s="15">
        <v>91</v>
      </c>
      <c r="D67" s="18">
        <v>1.1499999999999999</v>
      </c>
      <c r="E67" s="15">
        <v>24.4</v>
      </c>
      <c r="F67" s="15">
        <v>0</v>
      </c>
      <c r="G67" s="15">
        <v>100</v>
      </c>
      <c r="H67" s="17">
        <v>5</v>
      </c>
      <c r="I67" s="1">
        <v>8</v>
      </c>
      <c r="J67" s="1">
        <v>8</v>
      </c>
    </row>
    <row r="68" spans="1:10" ht="15.75" customHeight="1" x14ac:dyDescent="0.3">
      <c r="A68" s="15" t="s">
        <v>164</v>
      </c>
      <c r="B68" s="23" t="s">
        <v>200</v>
      </c>
      <c r="C68" s="15">
        <v>94</v>
      </c>
      <c r="D68" s="18">
        <v>1.2</v>
      </c>
      <c r="E68" s="15">
        <v>24.4</v>
      </c>
      <c r="F68" s="15">
        <v>0</v>
      </c>
      <c r="G68" s="15">
        <v>100</v>
      </c>
      <c r="H68" s="17">
        <v>5</v>
      </c>
      <c r="I68" s="1">
        <v>1</v>
      </c>
      <c r="J68" s="1">
        <v>1</v>
      </c>
    </row>
    <row r="69" spans="1:10" ht="15.75" customHeight="1" x14ac:dyDescent="0.3">
      <c r="A69" s="15" t="s">
        <v>164</v>
      </c>
      <c r="B69" s="23" t="s">
        <v>200</v>
      </c>
      <c r="C69" s="15">
        <v>85</v>
      </c>
      <c r="D69" s="18">
        <v>1.3</v>
      </c>
      <c r="E69" s="15">
        <v>24.4</v>
      </c>
      <c r="F69" s="15">
        <v>0</v>
      </c>
      <c r="G69" s="15">
        <v>100</v>
      </c>
      <c r="H69" s="17">
        <v>5</v>
      </c>
      <c r="I69" s="1">
        <v>8</v>
      </c>
      <c r="J69" s="1">
        <v>8</v>
      </c>
    </row>
    <row r="70" spans="1:10" ht="15.75" customHeight="1" x14ac:dyDescent="0.3">
      <c r="A70" s="15" t="s">
        <v>164</v>
      </c>
      <c r="B70" s="23" t="s">
        <v>180</v>
      </c>
      <c r="C70" s="15">
        <v>91</v>
      </c>
      <c r="D70" s="18">
        <v>0.57999999999999996</v>
      </c>
      <c r="E70" s="15">
        <v>26.4</v>
      </c>
      <c r="F70" s="15">
        <v>0</v>
      </c>
      <c r="G70" s="15">
        <v>100</v>
      </c>
      <c r="H70" s="17">
        <v>5</v>
      </c>
      <c r="I70" s="1">
        <v>10</v>
      </c>
      <c r="J70" s="1">
        <v>10</v>
      </c>
    </row>
    <row r="71" spans="1:10" ht="15.75" customHeight="1" x14ac:dyDescent="0.3">
      <c r="A71" s="15" t="s">
        <v>164</v>
      </c>
      <c r="B71" s="23" t="s">
        <v>180</v>
      </c>
      <c r="C71" s="15">
        <v>91</v>
      </c>
      <c r="D71" s="18">
        <v>0.81</v>
      </c>
      <c r="E71" s="15">
        <v>23.28</v>
      </c>
      <c r="F71" s="15">
        <v>0</v>
      </c>
      <c r="G71" s="15">
        <v>100</v>
      </c>
      <c r="H71" s="17">
        <v>5</v>
      </c>
      <c r="I71" s="1">
        <v>5</v>
      </c>
      <c r="J71" s="1">
        <v>5</v>
      </c>
    </row>
    <row r="72" spans="1:10" ht="15.75" customHeight="1" x14ac:dyDescent="0.3">
      <c r="A72" s="15" t="s">
        <v>164</v>
      </c>
      <c r="B72" s="23" t="s">
        <v>181</v>
      </c>
      <c r="C72" s="15">
        <v>91</v>
      </c>
      <c r="D72" s="18">
        <v>0.81</v>
      </c>
      <c r="E72" s="15">
        <v>23.3</v>
      </c>
      <c r="F72" s="15">
        <v>0</v>
      </c>
      <c r="G72" s="15">
        <v>100</v>
      </c>
      <c r="H72" s="17">
        <v>3</v>
      </c>
      <c r="I72" s="1">
        <v>1</v>
      </c>
      <c r="J72" s="1">
        <v>2</v>
      </c>
    </row>
    <row r="73" spans="1:10" ht="15.75" customHeight="1" x14ac:dyDescent="0.3">
      <c r="A73" s="15" t="s">
        <v>164</v>
      </c>
      <c r="B73" s="23" t="s">
        <v>181</v>
      </c>
      <c r="C73" s="15">
        <v>99</v>
      </c>
      <c r="D73" s="18">
        <v>85.6</v>
      </c>
      <c r="E73" s="15">
        <v>28.5</v>
      </c>
      <c r="F73" s="15">
        <v>1.2</v>
      </c>
      <c r="G73" s="15">
        <v>100</v>
      </c>
      <c r="H73" s="17">
        <v>3</v>
      </c>
      <c r="I73" s="1">
        <v>1</v>
      </c>
      <c r="J73" s="1">
        <v>1</v>
      </c>
    </row>
    <row r="74" spans="1:10" ht="15.75" customHeight="1" x14ac:dyDescent="0.3">
      <c r="A74" s="15" t="s">
        <v>164</v>
      </c>
      <c r="B74" s="23" t="s">
        <v>181</v>
      </c>
      <c r="C74" s="15">
        <v>91</v>
      </c>
      <c r="D74" s="18">
        <v>13.15</v>
      </c>
      <c r="E74" s="15">
        <v>26.13</v>
      </c>
      <c r="F74" s="15">
        <v>0</v>
      </c>
      <c r="G74" s="15">
        <v>100</v>
      </c>
      <c r="H74" s="17">
        <v>3</v>
      </c>
      <c r="I74" s="1">
        <v>3</v>
      </c>
      <c r="J74" s="1">
        <v>3</v>
      </c>
    </row>
    <row r="75" spans="1:10" ht="15.75" customHeight="1" x14ac:dyDescent="0.3">
      <c r="A75" s="15" t="s">
        <v>164</v>
      </c>
      <c r="B75" s="23" t="s">
        <v>198</v>
      </c>
      <c r="C75" s="15">
        <v>75</v>
      </c>
      <c r="D75" s="18">
        <v>17.2</v>
      </c>
      <c r="E75" s="15">
        <v>28</v>
      </c>
      <c r="F75" s="15">
        <v>0</v>
      </c>
      <c r="G75" s="15">
        <v>100</v>
      </c>
      <c r="H75" s="17">
        <v>3</v>
      </c>
      <c r="I75" s="1">
        <v>2</v>
      </c>
      <c r="J75" s="1">
        <v>2</v>
      </c>
    </row>
    <row r="76" spans="1:10" s="44" customFormat="1" ht="15.75" customHeight="1" x14ac:dyDescent="0.3">
      <c r="A76" s="39" t="s">
        <v>164</v>
      </c>
      <c r="B76" s="40" t="s">
        <v>198</v>
      </c>
      <c r="C76" s="39">
        <v>93</v>
      </c>
      <c r="D76" s="42">
        <v>14.5</v>
      </c>
      <c r="E76" s="39">
        <v>28.73</v>
      </c>
      <c r="F76" s="39">
        <v>0</v>
      </c>
      <c r="G76" s="39">
        <v>100</v>
      </c>
      <c r="H76" s="43">
        <v>3</v>
      </c>
      <c r="I76" s="44">
        <v>6</v>
      </c>
      <c r="J76" s="44">
        <v>9</v>
      </c>
    </row>
    <row r="77" spans="1:10" ht="15.75" customHeight="1" x14ac:dyDescent="0.3">
      <c r="A77" s="15" t="s">
        <v>164</v>
      </c>
      <c r="B77" s="23" t="s">
        <v>198</v>
      </c>
      <c r="C77" s="15">
        <v>74</v>
      </c>
      <c r="D77" s="18">
        <v>18</v>
      </c>
      <c r="E77" s="15">
        <v>28</v>
      </c>
      <c r="F77" s="15">
        <v>0</v>
      </c>
      <c r="G77" s="15">
        <v>2</v>
      </c>
      <c r="H77" s="17">
        <v>3</v>
      </c>
      <c r="I77" s="1">
        <v>2</v>
      </c>
      <c r="J77" s="1">
        <v>2</v>
      </c>
    </row>
    <row r="78" spans="1:10" ht="15.75" customHeight="1" x14ac:dyDescent="0.3">
      <c r="A78" s="15" t="s">
        <v>164</v>
      </c>
      <c r="B78" s="23" t="s">
        <v>183</v>
      </c>
      <c r="C78" s="15">
        <v>89</v>
      </c>
      <c r="D78" s="18">
        <v>7.61</v>
      </c>
      <c r="E78" s="15">
        <v>23.8</v>
      </c>
      <c r="F78" s="15">
        <v>0.75</v>
      </c>
      <c r="G78" s="15">
        <v>100</v>
      </c>
      <c r="H78" s="17">
        <v>3</v>
      </c>
      <c r="I78" s="1">
        <v>5</v>
      </c>
      <c r="J78" s="1">
        <v>10</v>
      </c>
    </row>
    <row r="79" spans="1:10" ht="15.75" customHeight="1" x14ac:dyDescent="0.3">
      <c r="A79" s="15" t="s">
        <v>164</v>
      </c>
      <c r="B79" s="23" t="s">
        <v>183</v>
      </c>
      <c r="C79" s="15">
        <v>81</v>
      </c>
      <c r="D79" s="18">
        <v>5.23</v>
      </c>
      <c r="E79" s="15">
        <v>27.03</v>
      </c>
      <c r="F79" s="15">
        <v>0</v>
      </c>
      <c r="G79" s="15">
        <v>100</v>
      </c>
      <c r="H79" s="17">
        <v>3</v>
      </c>
      <c r="I79" s="1">
        <v>4</v>
      </c>
      <c r="J79" s="1">
        <v>5</v>
      </c>
    </row>
    <row r="80" spans="1:10" ht="15.75" customHeight="1" x14ac:dyDescent="0.3">
      <c r="A80" s="15" t="s">
        <v>164</v>
      </c>
      <c r="B80" s="23" t="s">
        <v>186</v>
      </c>
      <c r="C80" s="15">
        <v>86</v>
      </c>
      <c r="D80" s="18">
        <v>0.14000000000000001</v>
      </c>
      <c r="E80" s="15">
        <v>18.55</v>
      </c>
      <c r="F80" s="15">
        <v>0</v>
      </c>
      <c r="G80" s="15">
        <v>100</v>
      </c>
      <c r="H80" s="17">
        <v>6</v>
      </c>
      <c r="I80" s="1">
        <v>5</v>
      </c>
      <c r="J80" s="1">
        <v>5</v>
      </c>
    </row>
    <row r="81" spans="1:10" ht="15.75" customHeight="1" x14ac:dyDescent="0.3">
      <c r="A81" s="15" t="s">
        <v>164</v>
      </c>
      <c r="B81" s="23" t="s">
        <v>186</v>
      </c>
      <c r="C81" s="15">
        <v>87</v>
      </c>
      <c r="D81" s="18">
        <v>0.15</v>
      </c>
      <c r="E81" s="15">
        <v>15.2</v>
      </c>
      <c r="F81" s="15">
        <v>0</v>
      </c>
      <c r="G81" s="15">
        <v>100</v>
      </c>
      <c r="H81" s="17">
        <v>6</v>
      </c>
      <c r="I81" s="1">
        <v>3</v>
      </c>
      <c r="J81" s="1">
        <v>3</v>
      </c>
    </row>
    <row r="82" spans="1:10" ht="15.75" customHeight="1" x14ac:dyDescent="0.3">
      <c r="A82" s="15" t="s">
        <v>164</v>
      </c>
      <c r="B82" s="23" t="s">
        <v>186</v>
      </c>
      <c r="C82" s="15">
        <v>83</v>
      </c>
      <c r="D82" s="18">
        <v>0.20499999999999999</v>
      </c>
      <c r="E82" s="15">
        <v>24.8</v>
      </c>
      <c r="F82" s="15">
        <v>0</v>
      </c>
      <c r="G82" s="15">
        <v>100</v>
      </c>
      <c r="H82" s="17">
        <v>6</v>
      </c>
      <c r="I82" s="1">
        <v>0</v>
      </c>
      <c r="J82" s="1">
        <v>0</v>
      </c>
    </row>
    <row r="83" spans="1:10" ht="15.75" customHeight="1" x14ac:dyDescent="0.3">
      <c r="A83" s="15" t="s">
        <v>168</v>
      </c>
      <c r="B83" s="15" t="s">
        <v>176</v>
      </c>
      <c r="C83" s="15">
        <v>92</v>
      </c>
      <c r="D83" s="18">
        <v>0.14000000000000001</v>
      </c>
      <c r="E83" s="15">
        <v>22.5</v>
      </c>
      <c r="F83" s="15">
        <v>0</v>
      </c>
      <c r="G83" s="15">
        <v>100</v>
      </c>
      <c r="H83" s="17">
        <v>4</v>
      </c>
      <c r="I83" s="1">
        <v>6</v>
      </c>
      <c r="J83" s="1">
        <v>11</v>
      </c>
    </row>
    <row r="84" spans="1:10" ht="15.75" customHeight="1" x14ac:dyDescent="0.3">
      <c r="A84" s="15" t="s">
        <v>168</v>
      </c>
      <c r="B84" s="15" t="s">
        <v>176</v>
      </c>
      <c r="C84" s="15">
        <v>92</v>
      </c>
      <c r="D84" s="18">
        <v>0.14000000000000001</v>
      </c>
      <c r="E84" s="15">
        <v>22.5</v>
      </c>
      <c r="F84" s="15">
        <v>0</v>
      </c>
      <c r="G84" s="15">
        <v>60</v>
      </c>
      <c r="H84" s="17">
        <v>4</v>
      </c>
      <c r="I84" s="1">
        <v>1</v>
      </c>
      <c r="J84" s="1">
        <v>2</v>
      </c>
    </row>
    <row r="85" spans="1:10" ht="15.75" customHeight="1" x14ac:dyDescent="0.3">
      <c r="A85" s="15" t="s">
        <v>168</v>
      </c>
      <c r="B85" s="15" t="s">
        <v>177</v>
      </c>
      <c r="C85" s="15">
        <v>97</v>
      </c>
      <c r="D85" s="18">
        <v>4.5999999999999996</v>
      </c>
      <c r="E85" s="15">
        <v>24.3</v>
      </c>
      <c r="F85" s="15">
        <v>0</v>
      </c>
      <c r="G85" s="15">
        <v>100</v>
      </c>
      <c r="H85" s="17">
        <v>3</v>
      </c>
      <c r="I85" s="1">
        <v>17</v>
      </c>
      <c r="J85" s="1">
        <v>24</v>
      </c>
    </row>
    <row r="86" spans="1:10" ht="15.75" customHeight="1" x14ac:dyDescent="0.3">
      <c r="A86" s="15" t="s">
        <v>168</v>
      </c>
      <c r="B86" s="15" t="s">
        <v>200</v>
      </c>
      <c r="C86" s="15">
        <v>99</v>
      </c>
      <c r="D86" s="18">
        <v>24.2</v>
      </c>
      <c r="E86" s="15">
        <v>26.1</v>
      </c>
      <c r="F86" s="15">
        <v>0</v>
      </c>
      <c r="G86" s="15">
        <v>60</v>
      </c>
      <c r="H86" s="17">
        <v>5</v>
      </c>
      <c r="I86" s="1">
        <v>1</v>
      </c>
      <c r="J86" s="1">
        <v>1</v>
      </c>
    </row>
    <row r="87" spans="1:10" ht="15.75" customHeight="1" x14ac:dyDescent="0.3">
      <c r="A87" s="15" t="s">
        <v>168</v>
      </c>
      <c r="B87" s="15" t="s">
        <v>200</v>
      </c>
      <c r="C87" s="15">
        <v>99</v>
      </c>
      <c r="D87" s="18">
        <v>24.2</v>
      </c>
      <c r="E87" s="15">
        <v>26.1</v>
      </c>
      <c r="F87" s="15">
        <v>0</v>
      </c>
      <c r="G87" s="15">
        <v>35</v>
      </c>
      <c r="H87" s="17">
        <v>5</v>
      </c>
      <c r="I87" s="1">
        <v>11</v>
      </c>
      <c r="J87" s="1">
        <v>11</v>
      </c>
    </row>
    <row r="88" spans="1:10" ht="15.75" customHeight="1" x14ac:dyDescent="0.3">
      <c r="A88" s="15" t="s">
        <v>168</v>
      </c>
      <c r="B88" s="15" t="s">
        <v>200</v>
      </c>
      <c r="C88" s="15">
        <v>84</v>
      </c>
      <c r="D88" s="18">
        <v>0.17</v>
      </c>
      <c r="E88" s="15">
        <v>24</v>
      </c>
      <c r="F88" s="15">
        <v>0</v>
      </c>
      <c r="G88" s="15">
        <v>100</v>
      </c>
      <c r="H88" s="17">
        <v>5</v>
      </c>
      <c r="I88" s="1">
        <v>2</v>
      </c>
      <c r="J88" s="1">
        <v>2</v>
      </c>
    </row>
    <row r="89" spans="1:10" ht="15.75" customHeight="1" x14ac:dyDescent="0.3">
      <c r="A89" s="15" t="s">
        <v>168</v>
      </c>
      <c r="B89" s="15" t="s">
        <v>180</v>
      </c>
      <c r="C89" s="15">
        <v>97</v>
      </c>
      <c r="D89" s="18">
        <v>1.08</v>
      </c>
      <c r="E89" s="15">
        <v>25.4</v>
      </c>
      <c r="F89" s="15">
        <v>0</v>
      </c>
      <c r="G89" s="15">
        <v>100</v>
      </c>
      <c r="H89" s="17">
        <v>5</v>
      </c>
      <c r="I89" s="1">
        <v>6</v>
      </c>
      <c r="J89" s="1">
        <v>8</v>
      </c>
    </row>
    <row r="90" spans="1:10" ht="15.75" customHeight="1" x14ac:dyDescent="0.3">
      <c r="A90" s="15" t="s">
        <v>168</v>
      </c>
      <c r="B90" s="15" t="s">
        <v>180</v>
      </c>
      <c r="C90" s="15">
        <v>97</v>
      </c>
      <c r="D90" s="18">
        <v>1.08</v>
      </c>
      <c r="E90" s="15">
        <v>25.4</v>
      </c>
      <c r="F90" s="15">
        <v>0</v>
      </c>
      <c r="G90" s="15">
        <v>65</v>
      </c>
      <c r="H90" s="17">
        <v>5</v>
      </c>
      <c r="I90" s="1">
        <v>9</v>
      </c>
      <c r="J90" s="1">
        <v>9</v>
      </c>
    </row>
    <row r="91" spans="1:10" ht="15.75" customHeight="1" x14ac:dyDescent="0.3">
      <c r="A91" s="15" t="s">
        <v>168</v>
      </c>
      <c r="B91" s="1" t="s">
        <v>180</v>
      </c>
      <c r="C91" s="1">
        <v>80</v>
      </c>
      <c r="D91" s="46">
        <v>0.04</v>
      </c>
      <c r="E91" s="1">
        <v>25.3</v>
      </c>
      <c r="F91" s="1">
        <v>0</v>
      </c>
      <c r="G91" s="1">
        <v>100</v>
      </c>
      <c r="H91" s="2">
        <v>5</v>
      </c>
      <c r="I91" s="1">
        <v>0</v>
      </c>
      <c r="J91" s="1">
        <v>0</v>
      </c>
    </row>
    <row r="92" spans="1:10" ht="15.75" customHeight="1" x14ac:dyDescent="0.3">
      <c r="A92" s="15" t="s">
        <v>168</v>
      </c>
      <c r="B92" s="1" t="s">
        <v>181</v>
      </c>
      <c r="C92" s="1">
        <v>87</v>
      </c>
      <c r="D92" s="46">
        <v>9.8000000000000007</v>
      </c>
      <c r="E92" s="1">
        <v>34.5</v>
      </c>
      <c r="F92" s="1">
        <v>0</v>
      </c>
      <c r="G92" s="1">
        <v>90</v>
      </c>
      <c r="H92" s="2">
        <v>3</v>
      </c>
      <c r="I92" s="1">
        <v>4</v>
      </c>
      <c r="J92" s="1">
        <v>4</v>
      </c>
    </row>
    <row r="93" spans="1:10" ht="15.75" customHeight="1" x14ac:dyDescent="0.3">
      <c r="A93" s="15" t="s">
        <v>168</v>
      </c>
      <c r="B93" s="1" t="s">
        <v>181</v>
      </c>
      <c r="C93" s="1">
        <v>87</v>
      </c>
      <c r="D93" s="46">
        <v>9.8000000000000007</v>
      </c>
      <c r="E93" s="1">
        <v>34.5</v>
      </c>
      <c r="F93" s="1">
        <v>0</v>
      </c>
      <c r="G93" s="1">
        <v>0</v>
      </c>
      <c r="H93" s="2">
        <v>3</v>
      </c>
      <c r="I93" s="1">
        <v>3</v>
      </c>
      <c r="J93" s="1">
        <v>3</v>
      </c>
    </row>
    <row r="94" spans="1:10" ht="15.75" customHeight="1" x14ac:dyDescent="0.3">
      <c r="A94" s="15" t="s">
        <v>168</v>
      </c>
      <c r="B94" s="1" t="s">
        <v>181</v>
      </c>
      <c r="C94" s="1">
        <v>80</v>
      </c>
      <c r="D94" s="46">
        <v>1.5</v>
      </c>
      <c r="E94" s="1">
        <v>26.9</v>
      </c>
      <c r="F94" s="1">
        <v>0</v>
      </c>
      <c r="G94" s="1">
        <v>100</v>
      </c>
      <c r="H94" s="2">
        <v>3</v>
      </c>
      <c r="I94" s="1">
        <v>3</v>
      </c>
      <c r="J94" s="1">
        <v>4</v>
      </c>
    </row>
    <row r="95" spans="1:10" ht="15.75" customHeight="1" x14ac:dyDescent="0.3">
      <c r="A95" s="15" t="s">
        <v>168</v>
      </c>
      <c r="B95" s="1" t="s">
        <v>198</v>
      </c>
      <c r="C95" s="1">
        <v>81</v>
      </c>
      <c r="D95" s="46">
        <v>36.6</v>
      </c>
      <c r="E95" s="1">
        <v>31.4</v>
      </c>
      <c r="F95" s="1">
        <v>0.8</v>
      </c>
      <c r="G95" s="1">
        <v>96</v>
      </c>
      <c r="H95" s="2">
        <v>3</v>
      </c>
      <c r="I95" s="1">
        <v>7</v>
      </c>
      <c r="J95" s="1">
        <v>7</v>
      </c>
    </row>
    <row r="96" spans="1:10" ht="15.75" customHeight="1" x14ac:dyDescent="0.3">
      <c r="A96" s="15" t="s">
        <v>168</v>
      </c>
      <c r="B96" s="1" t="s">
        <v>198</v>
      </c>
      <c r="C96" s="1">
        <v>79</v>
      </c>
      <c r="D96" s="46">
        <v>13.35</v>
      </c>
      <c r="E96" s="1">
        <v>29.2</v>
      </c>
      <c r="F96" s="1">
        <v>0</v>
      </c>
      <c r="G96" s="1">
        <v>100</v>
      </c>
      <c r="H96" s="2">
        <v>3</v>
      </c>
      <c r="I96" s="1">
        <v>2</v>
      </c>
      <c r="J96" s="1">
        <v>2</v>
      </c>
    </row>
    <row r="97" spans="1:10" ht="15.75" customHeight="1" x14ac:dyDescent="0.3">
      <c r="A97" s="15" t="s">
        <v>168</v>
      </c>
      <c r="B97" s="1" t="s">
        <v>183</v>
      </c>
      <c r="C97" s="1">
        <v>89</v>
      </c>
      <c r="D97" s="46">
        <v>1.1000000000000001</v>
      </c>
      <c r="E97" s="1">
        <v>22.3</v>
      </c>
      <c r="F97" s="1">
        <v>0</v>
      </c>
      <c r="G97" s="1">
        <v>2</v>
      </c>
      <c r="H97" s="2">
        <v>3</v>
      </c>
      <c r="I97" s="1">
        <v>7</v>
      </c>
      <c r="J97" s="1">
        <v>10</v>
      </c>
    </row>
    <row r="98" spans="1:10" ht="15.75" customHeight="1" x14ac:dyDescent="0.3">
      <c r="A98" s="15" t="s">
        <v>168</v>
      </c>
      <c r="B98" s="1" t="s">
        <v>183</v>
      </c>
      <c r="C98" s="1">
        <v>89</v>
      </c>
      <c r="D98" s="46">
        <v>1</v>
      </c>
      <c r="E98" s="1">
        <v>22.2</v>
      </c>
      <c r="F98" s="1">
        <v>0</v>
      </c>
      <c r="G98" s="1">
        <v>100</v>
      </c>
      <c r="H98" s="2">
        <v>3</v>
      </c>
      <c r="I98" s="1">
        <v>4</v>
      </c>
      <c r="J98" s="1">
        <v>4</v>
      </c>
    </row>
    <row r="99" spans="1:10" ht="15.75" customHeight="1" x14ac:dyDescent="0.3">
      <c r="A99" s="15" t="s">
        <v>168</v>
      </c>
      <c r="B99" s="1" t="s">
        <v>183</v>
      </c>
      <c r="C99" s="1">
        <v>72</v>
      </c>
      <c r="D99" s="1">
        <v>0.75</v>
      </c>
      <c r="E99" s="1">
        <v>25</v>
      </c>
      <c r="F99" s="1">
        <v>0.9</v>
      </c>
      <c r="G99" s="1">
        <v>100</v>
      </c>
      <c r="H99" s="2">
        <v>3</v>
      </c>
      <c r="I99" s="1">
        <v>2</v>
      </c>
      <c r="J99" s="1">
        <v>3</v>
      </c>
    </row>
    <row r="100" spans="1:10" ht="15.75" customHeight="1" x14ac:dyDescent="0.3">
      <c r="A100" s="15" t="s">
        <v>168</v>
      </c>
      <c r="B100" s="1" t="s">
        <v>186</v>
      </c>
      <c r="C100" s="1">
        <v>76</v>
      </c>
      <c r="D100" s="46">
        <v>1.53</v>
      </c>
      <c r="E100" s="1">
        <v>25.4</v>
      </c>
      <c r="F100" s="1">
        <v>0</v>
      </c>
      <c r="G100" s="1">
        <v>100</v>
      </c>
      <c r="H100" s="2">
        <v>6</v>
      </c>
      <c r="I100" s="1">
        <v>4</v>
      </c>
      <c r="J100" s="1">
        <v>5</v>
      </c>
    </row>
    <row r="101" spans="1:10" ht="15.75" customHeight="1" x14ac:dyDescent="0.3">
      <c r="A101" s="1" t="s">
        <v>172</v>
      </c>
      <c r="B101" s="1" t="s">
        <v>176</v>
      </c>
      <c r="C101" s="1">
        <v>81</v>
      </c>
      <c r="D101" s="46">
        <v>1.6</v>
      </c>
      <c r="E101" s="1">
        <v>26.5</v>
      </c>
      <c r="F101" s="1">
        <v>0</v>
      </c>
      <c r="G101" s="1">
        <v>30</v>
      </c>
      <c r="H101" s="2">
        <v>4</v>
      </c>
      <c r="I101" s="1">
        <v>12</v>
      </c>
      <c r="J101" s="1">
        <v>18</v>
      </c>
    </row>
    <row r="102" spans="1:10" ht="15.75" customHeight="1" x14ac:dyDescent="0.3">
      <c r="A102" s="1" t="s">
        <v>172</v>
      </c>
      <c r="B102" s="1" t="s">
        <v>177</v>
      </c>
      <c r="C102" s="1">
        <v>96</v>
      </c>
      <c r="D102" s="46">
        <v>1.1299999999999999</v>
      </c>
      <c r="E102" s="1">
        <v>26.4</v>
      </c>
      <c r="F102" s="1">
        <v>0</v>
      </c>
      <c r="G102" s="1">
        <v>100</v>
      </c>
      <c r="H102" s="2">
        <v>3</v>
      </c>
      <c r="I102" s="1">
        <v>5</v>
      </c>
      <c r="J102" s="1">
        <v>5</v>
      </c>
    </row>
    <row r="103" spans="1:10" ht="15.75" customHeight="1" x14ac:dyDescent="0.3">
      <c r="A103" s="1" t="s">
        <v>172</v>
      </c>
      <c r="B103" s="1" t="s">
        <v>200</v>
      </c>
      <c r="C103" s="1">
        <v>99</v>
      </c>
      <c r="D103" s="46">
        <v>0.28000000000000003</v>
      </c>
      <c r="E103" s="1">
        <v>23.5</v>
      </c>
      <c r="F103" s="1">
        <v>0</v>
      </c>
      <c r="G103" s="1">
        <v>100</v>
      </c>
      <c r="H103" s="2">
        <v>5</v>
      </c>
      <c r="I103" s="1">
        <v>7</v>
      </c>
      <c r="J103" s="1">
        <v>10</v>
      </c>
    </row>
    <row r="104" spans="1:10" ht="15.75" customHeight="1" x14ac:dyDescent="0.3">
      <c r="A104" s="1" t="s">
        <v>172</v>
      </c>
      <c r="B104" s="1" t="s">
        <v>180</v>
      </c>
      <c r="C104" s="1">
        <v>96</v>
      </c>
      <c r="D104" s="46">
        <v>0.64</v>
      </c>
      <c r="E104" s="1">
        <v>24.9</v>
      </c>
      <c r="F104" s="1">
        <v>0</v>
      </c>
      <c r="G104" s="1">
        <v>100</v>
      </c>
      <c r="H104" s="2">
        <v>5</v>
      </c>
      <c r="I104" s="1">
        <v>9</v>
      </c>
      <c r="J104" s="1">
        <v>9</v>
      </c>
    </row>
    <row r="105" spans="1:10" ht="15.75" customHeight="1" x14ac:dyDescent="0.3">
      <c r="A105" s="1" t="s">
        <v>172</v>
      </c>
      <c r="B105" s="1" t="s">
        <v>181</v>
      </c>
      <c r="C105" s="1">
        <v>98</v>
      </c>
      <c r="D105" s="46">
        <v>2.2799999999999998</v>
      </c>
      <c r="E105" s="1">
        <v>23.7</v>
      </c>
      <c r="F105" s="1">
        <v>0</v>
      </c>
      <c r="G105" s="1">
        <v>100</v>
      </c>
      <c r="H105" s="2">
        <v>3</v>
      </c>
      <c r="I105" s="1">
        <v>4</v>
      </c>
      <c r="J105" s="1">
        <v>4</v>
      </c>
    </row>
    <row r="106" spans="1:10" ht="15.75" customHeight="1" x14ac:dyDescent="0.3">
      <c r="A106" s="1" t="s">
        <v>172</v>
      </c>
      <c r="B106" s="1" t="s">
        <v>198</v>
      </c>
      <c r="C106" s="1">
        <v>99</v>
      </c>
      <c r="D106" s="46">
        <v>7.2350000000000003</v>
      </c>
      <c r="E106" s="1">
        <v>24.6</v>
      </c>
      <c r="F106" s="1">
        <v>1.4</v>
      </c>
      <c r="G106" s="1">
        <v>100</v>
      </c>
      <c r="H106" s="2">
        <v>3</v>
      </c>
      <c r="I106" s="1">
        <v>10</v>
      </c>
      <c r="J106" s="1">
        <v>16</v>
      </c>
    </row>
    <row r="107" spans="1:10" ht="15.75" customHeight="1" x14ac:dyDescent="0.3">
      <c r="A107" s="1" t="s">
        <v>172</v>
      </c>
      <c r="B107" s="1" t="s">
        <v>183</v>
      </c>
      <c r="C107" s="1">
        <v>92</v>
      </c>
      <c r="D107" s="46">
        <v>44.68</v>
      </c>
      <c r="E107" s="1">
        <v>23.2</v>
      </c>
      <c r="F107" s="1">
        <v>0.6</v>
      </c>
      <c r="G107" s="1">
        <v>0</v>
      </c>
      <c r="H107" s="2">
        <v>3</v>
      </c>
      <c r="I107" s="1">
        <v>8</v>
      </c>
      <c r="J107" s="1">
        <v>9</v>
      </c>
    </row>
    <row r="108" spans="1:10" ht="15.75" customHeight="1" x14ac:dyDescent="0.3">
      <c r="A108" s="1" t="s">
        <v>172</v>
      </c>
      <c r="B108" s="1" t="s">
        <v>183</v>
      </c>
      <c r="C108" s="1">
        <v>84</v>
      </c>
      <c r="D108" s="46">
        <v>0.5</v>
      </c>
      <c r="E108" s="1">
        <v>25.9</v>
      </c>
      <c r="F108" s="1">
        <v>0</v>
      </c>
      <c r="G108" s="1">
        <v>100</v>
      </c>
      <c r="H108" s="2">
        <v>3</v>
      </c>
      <c r="I108" s="1">
        <v>4</v>
      </c>
      <c r="J108" s="1">
        <v>4</v>
      </c>
    </row>
    <row r="109" spans="1:10" ht="15.75" customHeight="1" x14ac:dyDescent="0.3">
      <c r="A109" s="1" t="s">
        <v>172</v>
      </c>
      <c r="B109" s="1" t="s">
        <v>186</v>
      </c>
      <c r="C109" s="1">
        <v>83</v>
      </c>
      <c r="D109" s="46">
        <v>1.1299999999999999</v>
      </c>
      <c r="E109" s="1">
        <v>25.5</v>
      </c>
      <c r="F109" s="1">
        <v>0</v>
      </c>
      <c r="G109" s="1">
        <v>100</v>
      </c>
      <c r="H109" s="2">
        <v>6</v>
      </c>
      <c r="I109" s="1">
        <v>9</v>
      </c>
      <c r="J109" s="1">
        <v>19</v>
      </c>
    </row>
    <row r="110" spans="1:10" ht="15.75" customHeight="1" x14ac:dyDescent="0.3">
      <c r="D110" s="46"/>
    </row>
    <row r="111" spans="1:10" ht="15.75" customHeight="1" x14ac:dyDescent="0.3">
      <c r="D111" s="46"/>
    </row>
    <row r="112" spans="1:10" ht="15.75" customHeight="1" x14ac:dyDescent="0.3">
      <c r="D112" s="46"/>
    </row>
    <row r="113" spans="4:4" ht="15.75" customHeight="1" x14ac:dyDescent="0.3">
      <c r="D113" s="46"/>
    </row>
    <row r="114" spans="4:4" ht="15.75" customHeight="1" x14ac:dyDescent="0.3">
      <c r="D114" s="46"/>
    </row>
    <row r="115" spans="4:4" ht="15.75" customHeight="1" x14ac:dyDescent="0.3">
      <c r="D115" s="46"/>
    </row>
    <row r="116" spans="4:4" ht="15.75" customHeight="1" x14ac:dyDescent="0.3">
      <c r="D116" s="46"/>
    </row>
    <row r="117" spans="4:4" ht="15.75" customHeight="1" x14ac:dyDescent="0.3">
      <c r="D117" s="46"/>
    </row>
    <row r="118" spans="4:4" ht="15.75" customHeight="1" x14ac:dyDescent="0.3">
      <c r="D118" s="46"/>
    </row>
    <row r="119" spans="4:4" ht="15.75" customHeight="1" x14ac:dyDescent="0.3">
      <c r="D119" s="46"/>
    </row>
    <row r="120" spans="4:4" ht="15.75" customHeight="1" x14ac:dyDescent="0.3">
      <c r="D120" s="46"/>
    </row>
    <row r="121" spans="4:4" ht="15.75" customHeight="1" x14ac:dyDescent="0.3">
      <c r="D121" s="46"/>
    </row>
    <row r="122" spans="4:4" ht="15.75" customHeight="1" x14ac:dyDescent="0.3">
      <c r="D122" s="46"/>
    </row>
    <row r="123" spans="4:4" ht="15.75" customHeight="1" x14ac:dyDescent="0.3">
      <c r="D123" s="46"/>
    </row>
    <row r="124" spans="4:4" ht="15.75" customHeight="1" x14ac:dyDescent="0.3">
      <c r="D124" s="46"/>
    </row>
    <row r="125" spans="4:4" ht="15.75" customHeight="1" x14ac:dyDescent="0.3">
      <c r="D125" s="46"/>
    </row>
    <row r="126" spans="4:4" ht="15.75" customHeight="1" x14ac:dyDescent="0.3">
      <c r="D126" s="46"/>
    </row>
    <row r="127" spans="4:4" ht="15.75" customHeight="1" x14ac:dyDescent="0.3">
      <c r="D127" s="46"/>
    </row>
    <row r="128" spans="4:4" ht="15.75" customHeight="1" x14ac:dyDescent="0.3">
      <c r="D128" s="46"/>
    </row>
    <row r="129" spans="4:4" ht="15.75" customHeight="1" x14ac:dyDescent="0.3">
      <c r="D129" s="46"/>
    </row>
    <row r="130" spans="4:4" ht="15.75" customHeight="1" x14ac:dyDescent="0.3">
      <c r="D130" s="46"/>
    </row>
    <row r="131" spans="4:4" ht="15.75" customHeight="1" x14ac:dyDescent="0.3">
      <c r="D131" s="46"/>
    </row>
    <row r="132" spans="4:4" ht="15.75" customHeight="1" x14ac:dyDescent="0.3">
      <c r="D132" s="46"/>
    </row>
    <row r="133" spans="4:4" ht="15.75" customHeight="1" x14ac:dyDescent="0.3">
      <c r="D133" s="46"/>
    </row>
    <row r="134" spans="4:4" ht="15.75" customHeight="1" x14ac:dyDescent="0.3">
      <c r="D134" s="46"/>
    </row>
    <row r="135" spans="4:4" ht="15.75" customHeight="1" x14ac:dyDescent="0.3">
      <c r="D135" s="46"/>
    </row>
    <row r="136" spans="4:4" ht="15.75" customHeight="1" x14ac:dyDescent="0.3">
      <c r="D136" s="46"/>
    </row>
    <row r="137" spans="4:4" ht="15.75" customHeight="1" x14ac:dyDescent="0.3">
      <c r="D137" s="46"/>
    </row>
    <row r="138" spans="4:4" ht="15.75" customHeight="1" x14ac:dyDescent="0.3">
      <c r="D138" s="46"/>
    </row>
    <row r="139" spans="4:4" ht="15.75" customHeight="1" x14ac:dyDescent="0.3">
      <c r="D139" s="46"/>
    </row>
    <row r="140" spans="4:4" ht="15.75" customHeight="1" x14ac:dyDescent="0.3">
      <c r="D140" s="46"/>
    </row>
    <row r="141" spans="4:4" ht="15.75" customHeight="1" x14ac:dyDescent="0.3">
      <c r="D141" s="46"/>
    </row>
    <row r="142" spans="4:4" ht="15.75" customHeight="1" x14ac:dyDescent="0.3">
      <c r="D142" s="46"/>
    </row>
    <row r="143" spans="4:4" ht="15.75" customHeight="1" x14ac:dyDescent="0.3">
      <c r="D143" s="46"/>
    </row>
    <row r="144" spans="4:4" ht="15.75" customHeight="1" x14ac:dyDescent="0.3">
      <c r="D144" s="46"/>
    </row>
    <row r="145" spans="4:4" ht="15.75" customHeight="1" x14ac:dyDescent="0.3">
      <c r="D145" s="46"/>
    </row>
    <row r="146" spans="4:4" ht="15.75" customHeight="1" x14ac:dyDescent="0.3">
      <c r="D146" s="46"/>
    </row>
    <row r="147" spans="4:4" ht="15.75" customHeight="1" x14ac:dyDescent="0.3">
      <c r="D147" s="46"/>
    </row>
    <row r="148" spans="4:4" ht="15.75" customHeight="1" x14ac:dyDescent="0.3">
      <c r="D148" s="46"/>
    </row>
    <row r="149" spans="4:4" ht="15.75" customHeight="1" x14ac:dyDescent="0.3">
      <c r="D149" s="46"/>
    </row>
    <row r="150" spans="4:4" ht="15.75" customHeight="1" x14ac:dyDescent="0.3">
      <c r="D150" s="46"/>
    </row>
    <row r="151" spans="4:4" ht="15.75" customHeight="1" x14ac:dyDescent="0.3">
      <c r="D151" s="46"/>
    </row>
    <row r="152" spans="4:4" ht="15.75" customHeight="1" x14ac:dyDescent="0.3">
      <c r="D152" s="46"/>
    </row>
    <row r="153" spans="4:4" ht="15.75" customHeight="1" x14ac:dyDescent="0.3">
      <c r="D153" s="46"/>
    </row>
    <row r="154" spans="4:4" ht="15.75" customHeight="1" x14ac:dyDescent="0.3">
      <c r="D154" s="46"/>
    </row>
    <row r="155" spans="4:4" ht="15.75" customHeight="1" x14ac:dyDescent="0.3">
      <c r="D155" s="46"/>
    </row>
    <row r="156" spans="4:4" ht="15.75" customHeight="1" x14ac:dyDescent="0.3">
      <c r="D156" s="46"/>
    </row>
    <row r="157" spans="4:4" ht="15.75" customHeight="1" x14ac:dyDescent="0.3">
      <c r="D157" s="46"/>
    </row>
    <row r="158" spans="4:4" ht="15.75" customHeight="1" x14ac:dyDescent="0.3">
      <c r="D158" s="46"/>
    </row>
    <row r="159" spans="4:4" ht="15.75" customHeight="1" x14ac:dyDescent="0.3">
      <c r="D159" s="46"/>
    </row>
    <row r="160" spans="4:4" ht="15.75" customHeight="1" x14ac:dyDescent="0.3">
      <c r="D160" s="46"/>
    </row>
    <row r="161" spans="4:4" ht="15.75" customHeight="1" x14ac:dyDescent="0.3">
      <c r="D161" s="46"/>
    </row>
    <row r="162" spans="4:4" ht="15.75" customHeight="1" x14ac:dyDescent="0.3">
      <c r="D162" s="46"/>
    </row>
    <row r="163" spans="4:4" ht="15.75" customHeight="1" x14ac:dyDescent="0.3">
      <c r="D163" s="46"/>
    </row>
    <row r="164" spans="4:4" ht="15.75" customHeight="1" x14ac:dyDescent="0.3">
      <c r="D164" s="46"/>
    </row>
    <row r="165" spans="4:4" ht="15.75" customHeight="1" x14ac:dyDescent="0.3">
      <c r="D165" s="46"/>
    </row>
    <row r="166" spans="4:4" ht="15.75" customHeight="1" x14ac:dyDescent="0.3">
      <c r="D166" s="46"/>
    </row>
    <row r="167" spans="4:4" ht="15.75" customHeight="1" x14ac:dyDescent="0.3">
      <c r="D167" s="46"/>
    </row>
    <row r="168" spans="4:4" ht="15.75" customHeight="1" x14ac:dyDescent="0.3">
      <c r="D168" s="46"/>
    </row>
    <row r="169" spans="4:4" ht="15.75" customHeight="1" x14ac:dyDescent="0.3">
      <c r="D169" s="46"/>
    </row>
    <row r="170" spans="4:4" ht="15.75" customHeight="1" x14ac:dyDescent="0.3">
      <c r="D170" s="46"/>
    </row>
    <row r="171" spans="4:4" ht="15.75" customHeight="1" x14ac:dyDescent="0.3">
      <c r="D171" s="46"/>
    </row>
    <row r="172" spans="4:4" ht="15.75" customHeight="1" x14ac:dyDescent="0.3">
      <c r="D172" s="46"/>
    </row>
    <row r="173" spans="4:4" ht="15.75" customHeight="1" x14ac:dyDescent="0.3">
      <c r="D173" s="46"/>
    </row>
    <row r="174" spans="4:4" ht="15.75" customHeight="1" x14ac:dyDescent="0.3">
      <c r="D174" s="46"/>
    </row>
    <row r="175" spans="4:4" ht="15.75" customHeight="1" x14ac:dyDescent="0.3">
      <c r="D175" s="46"/>
    </row>
    <row r="176" spans="4:4" ht="15.75" customHeight="1" x14ac:dyDescent="0.3">
      <c r="D176" s="46"/>
    </row>
    <row r="177" spans="4:4" ht="15.75" customHeight="1" x14ac:dyDescent="0.3">
      <c r="D177" s="46"/>
    </row>
    <row r="178" spans="4:4" ht="15.75" customHeight="1" x14ac:dyDescent="0.3">
      <c r="D178" s="46"/>
    </row>
    <row r="179" spans="4:4" ht="15.75" customHeight="1" x14ac:dyDescent="0.3">
      <c r="D179" s="46"/>
    </row>
    <row r="180" spans="4:4" ht="15.75" customHeight="1" x14ac:dyDescent="0.3">
      <c r="D180" s="46"/>
    </row>
    <row r="181" spans="4:4" ht="15.75" customHeight="1" x14ac:dyDescent="0.3">
      <c r="D181" s="46"/>
    </row>
    <row r="182" spans="4:4" ht="15.75" customHeight="1" x14ac:dyDescent="0.3"/>
    <row r="183" spans="4:4" ht="15.75" customHeight="1" x14ac:dyDescent="0.3"/>
    <row r="184" spans="4:4" ht="15.75" customHeight="1" x14ac:dyDescent="0.3"/>
    <row r="185" spans="4:4" ht="15.75" customHeight="1" x14ac:dyDescent="0.3"/>
    <row r="186" spans="4:4" ht="15.75" customHeight="1" x14ac:dyDescent="0.3"/>
    <row r="187" spans="4:4" ht="15.75" customHeight="1" x14ac:dyDescent="0.3"/>
    <row r="188" spans="4:4" ht="15.75" customHeight="1" x14ac:dyDescent="0.3"/>
    <row r="189" spans="4:4" ht="15.75" customHeight="1" x14ac:dyDescent="0.3"/>
    <row r="190" spans="4:4" ht="15.75" customHeight="1" x14ac:dyDescent="0.3"/>
    <row r="191" spans="4:4" ht="15.75" customHeight="1" x14ac:dyDescent="0.3"/>
    <row r="192" spans="4:4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1043"/>
  <sheetViews>
    <sheetView topLeftCell="A2" zoomScale="80" workbookViewId="0">
      <selection activeCell="M58" sqref="M58"/>
    </sheetView>
  </sheetViews>
  <sheetFormatPr defaultColWidth="12.77734375" defaultRowHeight="14.4" x14ac:dyDescent="0.3"/>
  <cols>
    <col min="1" max="1" width="7.21875" style="1" customWidth="1"/>
    <col min="2" max="2" width="14.77734375" style="1" customWidth="1"/>
    <col min="3" max="3" width="6.44140625" style="1" customWidth="1"/>
    <col min="4" max="4" width="8" style="1" customWidth="1"/>
    <col min="5" max="5" width="6.21875" style="1" customWidth="1"/>
    <col min="6" max="6" width="6" style="1" customWidth="1"/>
    <col min="7" max="7" width="11.44140625" style="2" customWidth="1"/>
    <col min="8" max="16384" width="12.77734375" style="1"/>
  </cols>
  <sheetData>
    <row r="1" spans="1:9" ht="15" hidden="1" customHeight="1" x14ac:dyDescent="0.3">
      <c r="G1" s="3"/>
    </row>
    <row r="2" spans="1:9" ht="120.6" x14ac:dyDescent="0.3">
      <c r="A2" s="6" t="s">
        <v>196</v>
      </c>
      <c r="B2" s="6" t="s">
        <v>187</v>
      </c>
      <c r="C2" s="7" t="s">
        <v>188</v>
      </c>
      <c r="D2" s="9" t="s">
        <v>189</v>
      </c>
      <c r="E2" s="7" t="s">
        <v>190</v>
      </c>
      <c r="F2" s="7" t="s">
        <v>191</v>
      </c>
      <c r="G2" s="8" t="s">
        <v>194</v>
      </c>
      <c r="H2" s="1" t="s">
        <v>195</v>
      </c>
      <c r="I2" s="1" t="s">
        <v>175</v>
      </c>
    </row>
    <row r="3" spans="1:9" ht="15.75" customHeight="1" x14ac:dyDescent="0.3">
      <c r="A3" s="15" t="s">
        <v>119</v>
      </c>
      <c r="B3" s="16" t="s">
        <v>177</v>
      </c>
      <c r="C3" s="15">
        <v>78</v>
      </c>
      <c r="D3" s="18">
        <v>1.915</v>
      </c>
      <c r="E3" s="15">
        <v>23.8</v>
      </c>
      <c r="F3" s="15">
        <v>0.8</v>
      </c>
      <c r="G3" s="17">
        <v>3</v>
      </c>
      <c r="H3" s="1">
        <v>7</v>
      </c>
      <c r="I3" s="1">
        <v>14</v>
      </c>
    </row>
    <row r="4" spans="1:9" ht="15.75" customHeight="1" x14ac:dyDescent="0.3">
      <c r="A4" s="15" t="s">
        <v>119</v>
      </c>
      <c r="B4" s="16" t="s">
        <v>200</v>
      </c>
      <c r="C4" s="20">
        <v>80</v>
      </c>
      <c r="D4" s="18">
        <v>0.4</v>
      </c>
      <c r="E4" s="15">
        <v>32</v>
      </c>
      <c r="F4" s="15">
        <v>0</v>
      </c>
      <c r="G4" s="17">
        <v>5</v>
      </c>
      <c r="H4" s="1">
        <v>3</v>
      </c>
      <c r="I4" s="1">
        <v>3</v>
      </c>
    </row>
    <row r="5" spans="1:9" ht="15.75" customHeight="1" x14ac:dyDescent="0.3">
      <c r="A5" s="15" t="s">
        <v>119</v>
      </c>
      <c r="B5" s="16" t="s">
        <v>200</v>
      </c>
      <c r="C5" s="20">
        <v>80</v>
      </c>
      <c r="D5" s="18">
        <v>0.52</v>
      </c>
      <c r="E5" s="15">
        <v>33</v>
      </c>
      <c r="F5" s="15">
        <v>0</v>
      </c>
      <c r="G5" s="17">
        <v>5</v>
      </c>
      <c r="H5" s="1">
        <v>1</v>
      </c>
      <c r="I5" s="1">
        <v>1</v>
      </c>
    </row>
    <row r="6" spans="1:9" ht="15.75" customHeight="1" x14ac:dyDescent="0.3">
      <c r="A6" s="15" t="s">
        <v>119</v>
      </c>
      <c r="B6" s="16" t="s">
        <v>200</v>
      </c>
      <c r="C6" s="20">
        <v>80</v>
      </c>
      <c r="D6" s="18">
        <v>0.4</v>
      </c>
      <c r="E6" s="15">
        <v>36</v>
      </c>
      <c r="F6" s="15">
        <v>0</v>
      </c>
      <c r="G6" s="17">
        <v>5</v>
      </c>
      <c r="H6" s="1">
        <v>1</v>
      </c>
      <c r="I6" s="1">
        <v>1</v>
      </c>
    </row>
    <row r="7" spans="1:9" ht="15.75" customHeight="1" x14ac:dyDescent="0.3">
      <c r="A7" s="15" t="s">
        <v>119</v>
      </c>
      <c r="B7" s="16" t="s">
        <v>200</v>
      </c>
      <c r="C7" s="20">
        <v>80</v>
      </c>
      <c r="D7" s="18">
        <v>0.4</v>
      </c>
      <c r="E7" s="15">
        <v>32</v>
      </c>
      <c r="F7" s="15">
        <v>0</v>
      </c>
      <c r="G7" s="17">
        <v>5</v>
      </c>
      <c r="H7" s="1">
        <v>2</v>
      </c>
      <c r="I7" s="1">
        <v>2</v>
      </c>
    </row>
    <row r="8" spans="1:9" ht="15.75" customHeight="1" x14ac:dyDescent="0.3">
      <c r="A8" s="15" t="s">
        <v>119</v>
      </c>
      <c r="B8" s="16" t="s">
        <v>200</v>
      </c>
      <c r="C8" s="20">
        <v>80</v>
      </c>
      <c r="D8" s="18">
        <v>0.4</v>
      </c>
      <c r="E8" s="15">
        <v>33</v>
      </c>
      <c r="F8" s="15">
        <v>0</v>
      </c>
      <c r="G8" s="17">
        <v>5</v>
      </c>
      <c r="H8" s="1">
        <v>1</v>
      </c>
      <c r="I8" s="1">
        <v>1</v>
      </c>
    </row>
    <row r="9" spans="1:9" ht="15.75" customHeight="1" x14ac:dyDescent="0.3">
      <c r="A9" s="15" t="s">
        <v>119</v>
      </c>
      <c r="B9" s="16" t="s">
        <v>200</v>
      </c>
      <c r="C9" s="20">
        <v>80</v>
      </c>
      <c r="D9" s="18">
        <v>0.51</v>
      </c>
      <c r="E9" s="15">
        <v>32</v>
      </c>
      <c r="F9" s="15">
        <v>0</v>
      </c>
      <c r="G9" s="17">
        <v>5</v>
      </c>
      <c r="H9" s="1">
        <v>3</v>
      </c>
      <c r="I9" s="1">
        <v>3</v>
      </c>
    </row>
    <row r="10" spans="1:9" ht="15.75" customHeight="1" x14ac:dyDescent="0.3">
      <c r="A10" s="15" t="s">
        <v>119</v>
      </c>
      <c r="B10" s="16" t="s">
        <v>200</v>
      </c>
      <c r="C10" s="20">
        <v>80</v>
      </c>
      <c r="D10" s="18">
        <v>0.5</v>
      </c>
      <c r="E10" s="15">
        <v>23</v>
      </c>
      <c r="F10" s="15">
        <v>0</v>
      </c>
      <c r="G10" s="17">
        <v>5</v>
      </c>
      <c r="H10" s="1">
        <v>1</v>
      </c>
      <c r="I10" s="1">
        <v>1</v>
      </c>
    </row>
    <row r="11" spans="1:9" ht="15.75" customHeight="1" x14ac:dyDescent="0.3">
      <c r="A11" s="15" t="s">
        <v>119</v>
      </c>
      <c r="B11" s="16" t="s">
        <v>200</v>
      </c>
      <c r="C11" s="15">
        <v>81</v>
      </c>
      <c r="D11" s="18">
        <v>2.0499999999999998</v>
      </c>
      <c r="E11" s="15">
        <v>24.9</v>
      </c>
      <c r="F11" s="15">
        <v>0</v>
      </c>
      <c r="G11" s="17">
        <v>5</v>
      </c>
      <c r="H11" s="1">
        <v>3</v>
      </c>
      <c r="I11" s="1">
        <v>3</v>
      </c>
    </row>
    <row r="12" spans="1:9" ht="15.75" customHeight="1" x14ac:dyDescent="0.3">
      <c r="A12" s="15" t="s">
        <v>119</v>
      </c>
      <c r="B12" s="16" t="s">
        <v>180</v>
      </c>
      <c r="C12" s="15">
        <v>81</v>
      </c>
      <c r="D12" s="18">
        <v>1.2809999999999999</v>
      </c>
      <c r="E12" s="15">
        <v>24.9</v>
      </c>
      <c r="F12" s="15">
        <v>0.8</v>
      </c>
      <c r="G12" s="17">
        <v>5</v>
      </c>
      <c r="H12" s="1">
        <v>3</v>
      </c>
      <c r="I12" s="1">
        <v>3</v>
      </c>
    </row>
    <row r="13" spans="1:9" ht="15.75" customHeight="1" x14ac:dyDescent="0.3">
      <c r="A13" s="15" t="s">
        <v>119</v>
      </c>
      <c r="B13" s="16" t="s">
        <v>180</v>
      </c>
      <c r="C13" s="18">
        <v>68.67</v>
      </c>
      <c r="D13" s="18">
        <v>94.13</v>
      </c>
      <c r="E13" s="15">
        <v>25</v>
      </c>
      <c r="F13" s="15">
        <v>1.2</v>
      </c>
      <c r="G13" s="17">
        <v>5</v>
      </c>
      <c r="H13" s="1">
        <v>1</v>
      </c>
      <c r="I13" s="1">
        <v>1</v>
      </c>
    </row>
    <row r="14" spans="1:9" ht="15.75" customHeight="1" x14ac:dyDescent="0.3">
      <c r="A14" s="15" t="s">
        <v>119</v>
      </c>
      <c r="B14" s="16" t="s">
        <v>181</v>
      </c>
      <c r="C14" s="15">
        <v>80</v>
      </c>
      <c r="D14" s="18">
        <v>9.35</v>
      </c>
      <c r="E14" s="15">
        <v>25.5</v>
      </c>
      <c r="F14" s="15">
        <v>2.6</v>
      </c>
      <c r="G14" s="17">
        <v>3</v>
      </c>
      <c r="H14" s="1">
        <v>3</v>
      </c>
      <c r="I14" s="1">
        <v>3</v>
      </c>
    </row>
    <row r="15" spans="1:9" ht="15.75" customHeight="1" x14ac:dyDescent="0.3">
      <c r="A15" s="15" t="s">
        <v>119</v>
      </c>
      <c r="B15" s="16" t="s">
        <v>181</v>
      </c>
      <c r="C15" s="15">
        <v>68.58</v>
      </c>
      <c r="D15" s="18">
        <v>6.6</v>
      </c>
      <c r="E15" s="15">
        <v>25.7</v>
      </c>
      <c r="F15" s="15">
        <v>2.1</v>
      </c>
      <c r="G15" s="17">
        <v>3</v>
      </c>
      <c r="H15" s="1">
        <v>3</v>
      </c>
      <c r="I15" s="1">
        <v>3</v>
      </c>
    </row>
    <row r="16" spans="1:9" ht="15.75" customHeight="1" x14ac:dyDescent="0.3">
      <c r="A16" s="15" t="s">
        <v>119</v>
      </c>
      <c r="B16" s="16" t="s">
        <v>181</v>
      </c>
      <c r="C16" s="20">
        <v>70</v>
      </c>
      <c r="D16" s="18">
        <v>4.2</v>
      </c>
      <c r="E16" s="15">
        <v>23</v>
      </c>
      <c r="F16" s="15">
        <v>0</v>
      </c>
      <c r="G16" s="17">
        <v>3</v>
      </c>
      <c r="H16" s="1">
        <v>2</v>
      </c>
      <c r="I16" s="1">
        <v>2</v>
      </c>
    </row>
    <row r="17" spans="1:9" ht="15.75" customHeight="1" x14ac:dyDescent="0.3">
      <c r="A17" s="15" t="s">
        <v>119</v>
      </c>
      <c r="B17" s="16" t="s">
        <v>198</v>
      </c>
      <c r="C17" s="20">
        <v>70</v>
      </c>
      <c r="D17" s="18">
        <v>4.2</v>
      </c>
      <c r="E17" s="15">
        <v>21</v>
      </c>
      <c r="F17" s="15">
        <v>0</v>
      </c>
      <c r="G17" s="17">
        <v>3</v>
      </c>
      <c r="H17" s="1">
        <v>4</v>
      </c>
      <c r="I17" s="1">
        <v>4</v>
      </c>
    </row>
    <row r="18" spans="1:9" ht="15.75" customHeight="1" x14ac:dyDescent="0.3">
      <c r="A18" s="15" t="s">
        <v>119</v>
      </c>
      <c r="B18" s="16" t="s">
        <v>198</v>
      </c>
      <c r="C18" s="20">
        <v>70</v>
      </c>
      <c r="D18" s="18">
        <v>4.2</v>
      </c>
      <c r="E18" s="15">
        <v>20</v>
      </c>
      <c r="F18" s="15">
        <v>0</v>
      </c>
      <c r="G18" s="17">
        <v>3</v>
      </c>
      <c r="H18" s="1">
        <v>1</v>
      </c>
      <c r="I18" s="1">
        <v>1</v>
      </c>
    </row>
    <row r="19" spans="1:9" ht="15.75" customHeight="1" x14ac:dyDescent="0.3">
      <c r="A19" s="15" t="s">
        <v>119</v>
      </c>
      <c r="B19" s="16" t="s">
        <v>198</v>
      </c>
      <c r="C19" s="20">
        <v>70</v>
      </c>
      <c r="D19" s="18">
        <v>4.2</v>
      </c>
      <c r="E19" s="15">
        <v>21</v>
      </c>
      <c r="F19" s="15">
        <v>0</v>
      </c>
      <c r="G19" s="17">
        <v>3</v>
      </c>
      <c r="H19" s="1">
        <v>1</v>
      </c>
      <c r="I19" s="1">
        <v>1</v>
      </c>
    </row>
    <row r="20" spans="1:9" ht="15.75" customHeight="1" x14ac:dyDescent="0.3">
      <c r="A20" s="15" t="s">
        <v>119</v>
      </c>
      <c r="B20" s="16" t="s">
        <v>198</v>
      </c>
      <c r="C20" s="20">
        <v>70</v>
      </c>
      <c r="D20" s="18">
        <v>4.2</v>
      </c>
      <c r="E20" s="15">
        <v>22</v>
      </c>
      <c r="F20" s="15">
        <v>0</v>
      </c>
      <c r="G20" s="17">
        <v>3</v>
      </c>
      <c r="H20" s="1">
        <v>5</v>
      </c>
      <c r="I20" s="1">
        <v>5</v>
      </c>
    </row>
    <row r="21" spans="1:9" ht="15.75" customHeight="1" x14ac:dyDescent="0.3">
      <c r="A21" s="15" t="s">
        <v>119</v>
      </c>
      <c r="B21" s="16" t="s">
        <v>198</v>
      </c>
      <c r="C21" s="20">
        <v>70</v>
      </c>
      <c r="D21" s="18">
        <v>4.2</v>
      </c>
      <c r="E21" s="15">
        <v>23</v>
      </c>
      <c r="F21" s="15">
        <v>0</v>
      </c>
      <c r="G21" s="17">
        <v>3</v>
      </c>
      <c r="H21" s="1">
        <v>2</v>
      </c>
      <c r="I21" s="1">
        <v>2</v>
      </c>
    </row>
    <row r="22" spans="1:9" ht="15.75" customHeight="1" x14ac:dyDescent="0.3">
      <c r="A22" s="15" t="s">
        <v>119</v>
      </c>
      <c r="B22" s="16" t="s">
        <v>198</v>
      </c>
      <c r="C22" s="20">
        <v>70</v>
      </c>
      <c r="D22" s="18">
        <v>4.2</v>
      </c>
      <c r="E22" s="15">
        <v>22</v>
      </c>
      <c r="F22" s="15">
        <v>0</v>
      </c>
      <c r="G22" s="17">
        <v>3</v>
      </c>
      <c r="H22" s="1">
        <v>1</v>
      </c>
      <c r="I22" s="1">
        <v>1</v>
      </c>
    </row>
    <row r="23" spans="1:9" ht="15.75" customHeight="1" x14ac:dyDescent="0.3">
      <c r="A23" s="15" t="s">
        <v>119</v>
      </c>
      <c r="B23" s="16" t="s">
        <v>198</v>
      </c>
      <c r="C23" s="20">
        <v>70</v>
      </c>
      <c r="D23" s="18">
        <v>4.2</v>
      </c>
      <c r="E23" s="15">
        <v>25</v>
      </c>
      <c r="F23" s="15">
        <v>0</v>
      </c>
      <c r="G23" s="17">
        <v>3</v>
      </c>
      <c r="H23" s="1">
        <v>1</v>
      </c>
      <c r="I23" s="1">
        <v>1</v>
      </c>
    </row>
    <row r="24" spans="1:9" ht="15.75" customHeight="1" x14ac:dyDescent="0.3">
      <c r="A24" s="15" t="s">
        <v>119</v>
      </c>
      <c r="B24" s="16" t="s">
        <v>198</v>
      </c>
      <c r="C24" s="20">
        <v>70</v>
      </c>
      <c r="D24" s="18">
        <v>4.2</v>
      </c>
      <c r="E24" s="15">
        <v>23</v>
      </c>
      <c r="F24" s="15">
        <v>0</v>
      </c>
      <c r="G24" s="17">
        <v>3</v>
      </c>
      <c r="H24" s="1">
        <v>1</v>
      </c>
      <c r="I24" s="1">
        <v>1</v>
      </c>
    </row>
    <row r="25" spans="1:9" ht="15.75" customHeight="1" x14ac:dyDescent="0.3">
      <c r="A25" s="15" t="s">
        <v>119</v>
      </c>
      <c r="B25" s="16" t="s">
        <v>198</v>
      </c>
      <c r="C25" s="20">
        <v>70</v>
      </c>
      <c r="D25" s="18">
        <v>4.2</v>
      </c>
      <c r="E25" s="15">
        <v>29</v>
      </c>
      <c r="F25" s="15">
        <v>0</v>
      </c>
      <c r="G25" s="17">
        <v>3</v>
      </c>
      <c r="H25" s="1">
        <v>1</v>
      </c>
      <c r="I25" s="1">
        <v>1</v>
      </c>
    </row>
    <row r="26" spans="1:9" ht="15.75" customHeight="1" x14ac:dyDescent="0.3">
      <c r="A26" s="15" t="s">
        <v>119</v>
      </c>
      <c r="B26" s="16" t="s">
        <v>198</v>
      </c>
      <c r="C26" s="20">
        <v>70</v>
      </c>
      <c r="D26" s="18">
        <v>4.2</v>
      </c>
      <c r="E26" s="15">
        <v>23</v>
      </c>
      <c r="F26" s="15">
        <v>0</v>
      </c>
      <c r="G26" s="17">
        <v>3</v>
      </c>
      <c r="H26" s="1">
        <v>1</v>
      </c>
      <c r="I26" s="1">
        <v>1</v>
      </c>
    </row>
    <row r="27" spans="1:9" ht="15.75" customHeight="1" x14ac:dyDescent="0.3">
      <c r="A27" s="15" t="s">
        <v>119</v>
      </c>
      <c r="B27" s="16" t="s">
        <v>198</v>
      </c>
      <c r="C27" s="20">
        <v>70</v>
      </c>
      <c r="D27" s="18">
        <v>4.2</v>
      </c>
      <c r="E27" s="15">
        <v>23</v>
      </c>
      <c r="F27" s="15">
        <v>0</v>
      </c>
      <c r="G27" s="17">
        <v>3</v>
      </c>
      <c r="H27" s="1">
        <v>1</v>
      </c>
      <c r="I27" s="1">
        <v>1</v>
      </c>
    </row>
    <row r="28" spans="1:9" ht="15.75" customHeight="1" x14ac:dyDescent="0.3">
      <c r="A28" s="15" t="s">
        <v>119</v>
      </c>
      <c r="B28" s="16" t="s">
        <v>198</v>
      </c>
      <c r="C28" s="15">
        <v>69.17</v>
      </c>
      <c r="D28" s="18">
        <v>4.55</v>
      </c>
      <c r="E28" s="15">
        <v>27.5</v>
      </c>
      <c r="F28" s="15">
        <v>0.56999999999999995</v>
      </c>
      <c r="G28" s="21">
        <v>3</v>
      </c>
      <c r="H28" s="1">
        <v>3</v>
      </c>
      <c r="I28" s="1">
        <v>3</v>
      </c>
    </row>
    <row r="29" spans="1:9" ht="15.75" customHeight="1" x14ac:dyDescent="0.3">
      <c r="A29" s="15" t="s">
        <v>119</v>
      </c>
      <c r="B29" s="16" t="s">
        <v>198</v>
      </c>
      <c r="C29" s="20">
        <v>69</v>
      </c>
      <c r="D29" s="18">
        <v>4.55</v>
      </c>
      <c r="E29" s="15">
        <v>21</v>
      </c>
      <c r="F29" s="15">
        <v>0</v>
      </c>
      <c r="G29" s="21">
        <v>3</v>
      </c>
      <c r="H29" s="1">
        <v>1</v>
      </c>
      <c r="I29" s="1">
        <v>1</v>
      </c>
    </row>
    <row r="30" spans="1:9" ht="15.75" customHeight="1" x14ac:dyDescent="0.3">
      <c r="A30" s="15" t="s">
        <v>134</v>
      </c>
      <c r="B30" s="16" t="s">
        <v>176</v>
      </c>
      <c r="C30" s="15">
        <v>79</v>
      </c>
      <c r="D30" s="18">
        <v>0.309</v>
      </c>
      <c r="E30" s="15">
        <v>23.3</v>
      </c>
      <c r="F30" s="15">
        <v>0.5</v>
      </c>
      <c r="G30" s="17">
        <v>4</v>
      </c>
      <c r="H30" s="1">
        <v>10</v>
      </c>
      <c r="I30" s="1">
        <v>10</v>
      </c>
    </row>
    <row r="31" spans="1:9" ht="15.75" customHeight="1" x14ac:dyDescent="0.3">
      <c r="A31" s="15" t="s">
        <v>134</v>
      </c>
      <c r="B31" s="16" t="s">
        <v>176</v>
      </c>
      <c r="C31" s="15">
        <v>80</v>
      </c>
      <c r="D31" s="18">
        <v>0.32</v>
      </c>
      <c r="E31" s="15">
        <v>24</v>
      </c>
      <c r="F31" s="15">
        <v>0</v>
      </c>
      <c r="G31" s="17">
        <v>4</v>
      </c>
      <c r="H31" s="1">
        <v>7</v>
      </c>
      <c r="I31" s="1">
        <v>7</v>
      </c>
    </row>
    <row r="32" spans="1:9" ht="15.75" customHeight="1" x14ac:dyDescent="0.3">
      <c r="A32" s="15" t="s">
        <v>134</v>
      </c>
      <c r="B32" s="16" t="s">
        <v>177</v>
      </c>
      <c r="C32" s="15">
        <v>80</v>
      </c>
      <c r="D32" s="18">
        <v>1.85</v>
      </c>
      <c r="E32" s="15">
        <v>25.3</v>
      </c>
      <c r="F32" s="15">
        <v>0.8</v>
      </c>
      <c r="G32" s="17">
        <v>3</v>
      </c>
      <c r="H32" s="1">
        <v>14</v>
      </c>
      <c r="I32" s="1">
        <v>17</v>
      </c>
    </row>
    <row r="33" spans="1:9" ht="15.75" customHeight="1" x14ac:dyDescent="0.3">
      <c r="A33" s="15" t="s">
        <v>134</v>
      </c>
      <c r="B33" s="23" t="s">
        <v>177</v>
      </c>
      <c r="C33" s="15">
        <v>58</v>
      </c>
      <c r="D33" s="18">
        <v>0.27</v>
      </c>
      <c r="E33" s="15">
        <v>26.8</v>
      </c>
      <c r="F33" s="15">
        <v>0.5</v>
      </c>
      <c r="G33" s="17">
        <v>3</v>
      </c>
      <c r="H33" s="1">
        <v>5</v>
      </c>
      <c r="I33" s="1">
        <v>5</v>
      </c>
    </row>
    <row r="34" spans="1:9" ht="15.75" customHeight="1" x14ac:dyDescent="0.3">
      <c r="A34" s="15" t="s">
        <v>134</v>
      </c>
      <c r="B34" s="23" t="s">
        <v>200</v>
      </c>
      <c r="C34" s="20">
        <v>77</v>
      </c>
      <c r="D34" s="18">
        <v>0.28999999999999998</v>
      </c>
      <c r="E34" s="15">
        <v>22</v>
      </c>
      <c r="F34" s="15">
        <v>0</v>
      </c>
      <c r="G34" s="17">
        <v>5</v>
      </c>
      <c r="H34" s="1">
        <v>2</v>
      </c>
      <c r="I34" s="1">
        <v>2</v>
      </c>
    </row>
    <row r="35" spans="1:9" ht="15.75" customHeight="1" x14ac:dyDescent="0.3">
      <c r="A35" s="15" t="s">
        <v>134</v>
      </c>
      <c r="B35" s="23" t="s">
        <v>200</v>
      </c>
      <c r="C35" s="15">
        <v>77</v>
      </c>
      <c r="D35" s="18">
        <v>0.28999999999999998</v>
      </c>
      <c r="E35" s="15">
        <v>25.9</v>
      </c>
      <c r="F35" s="15">
        <v>0</v>
      </c>
      <c r="G35" s="17">
        <v>5</v>
      </c>
      <c r="H35" s="1">
        <v>12</v>
      </c>
      <c r="I35" s="1">
        <v>12</v>
      </c>
    </row>
    <row r="36" spans="1:9" ht="15.75" customHeight="1" x14ac:dyDescent="0.3">
      <c r="A36" s="15" t="s">
        <v>134</v>
      </c>
      <c r="B36" s="23" t="s">
        <v>200</v>
      </c>
      <c r="C36" s="15">
        <v>55</v>
      </c>
      <c r="D36" s="18">
        <v>4.9000000000000002E-2</v>
      </c>
      <c r="E36" s="15">
        <v>27.2</v>
      </c>
      <c r="F36" s="15">
        <v>0</v>
      </c>
      <c r="G36" s="17">
        <v>5</v>
      </c>
      <c r="H36" s="1">
        <v>3</v>
      </c>
      <c r="I36" s="1">
        <v>3</v>
      </c>
    </row>
    <row r="37" spans="1:9" ht="15.75" customHeight="1" x14ac:dyDescent="0.3">
      <c r="A37" s="15" t="s">
        <v>134</v>
      </c>
      <c r="B37" s="23" t="s">
        <v>180</v>
      </c>
      <c r="C37" s="15">
        <v>76</v>
      </c>
      <c r="D37" s="18">
        <v>0.30399999999999999</v>
      </c>
      <c r="E37" s="15">
        <v>24.9</v>
      </c>
      <c r="F37" s="15">
        <v>2</v>
      </c>
      <c r="G37" s="17">
        <v>5</v>
      </c>
      <c r="H37" s="1">
        <v>0</v>
      </c>
      <c r="I37" s="1">
        <v>0</v>
      </c>
    </row>
    <row r="38" spans="1:9" ht="15.75" customHeight="1" x14ac:dyDescent="0.3">
      <c r="A38" s="15" t="s">
        <v>134</v>
      </c>
      <c r="B38" s="23" t="s">
        <v>180</v>
      </c>
      <c r="C38" s="15">
        <v>47</v>
      </c>
      <c r="D38" s="18">
        <v>0.13600000000000001</v>
      </c>
      <c r="E38" s="15">
        <v>29.3</v>
      </c>
      <c r="F38" s="15">
        <v>0.7</v>
      </c>
      <c r="G38" s="17">
        <v>5</v>
      </c>
      <c r="H38" s="1">
        <v>2</v>
      </c>
      <c r="I38" s="1">
        <v>3</v>
      </c>
    </row>
    <row r="39" spans="1:9" ht="15.75" customHeight="1" x14ac:dyDescent="0.3">
      <c r="A39" s="15" t="s">
        <v>134</v>
      </c>
      <c r="B39" s="23" t="s">
        <v>181</v>
      </c>
      <c r="C39" s="20">
        <v>63</v>
      </c>
      <c r="D39" s="18">
        <v>0.08</v>
      </c>
      <c r="E39" s="15">
        <v>21</v>
      </c>
      <c r="F39" s="15">
        <v>0</v>
      </c>
      <c r="G39" s="17">
        <v>3</v>
      </c>
      <c r="H39" s="1">
        <v>1</v>
      </c>
      <c r="I39" s="1">
        <v>1</v>
      </c>
    </row>
    <row r="40" spans="1:9" ht="15.75" customHeight="1" x14ac:dyDescent="0.3">
      <c r="A40" s="15" t="s">
        <v>138</v>
      </c>
      <c r="B40" s="23" t="s">
        <v>181</v>
      </c>
      <c r="C40" s="15">
        <v>63</v>
      </c>
      <c r="D40" s="18">
        <v>6.6900000000000001E-2</v>
      </c>
      <c r="E40" s="15">
        <v>33.700000000000003</v>
      </c>
      <c r="F40" s="15">
        <v>2.4</v>
      </c>
      <c r="G40" s="17">
        <v>3</v>
      </c>
      <c r="H40" s="1">
        <v>4</v>
      </c>
      <c r="I40" s="1">
        <v>4</v>
      </c>
    </row>
    <row r="41" spans="1:9" ht="15.75" customHeight="1" x14ac:dyDescent="0.3">
      <c r="A41" s="15" t="s">
        <v>134</v>
      </c>
      <c r="B41" s="23" t="s">
        <v>181</v>
      </c>
      <c r="C41" s="15">
        <v>44</v>
      </c>
      <c r="D41" s="18">
        <v>21.4</v>
      </c>
      <c r="E41" s="15">
        <v>34.4</v>
      </c>
      <c r="F41" s="15">
        <v>2</v>
      </c>
      <c r="G41" s="17">
        <v>3</v>
      </c>
      <c r="H41" s="1">
        <v>4</v>
      </c>
      <c r="I41" s="1">
        <v>4</v>
      </c>
    </row>
    <row r="42" spans="1:9" ht="15.75" customHeight="1" x14ac:dyDescent="0.3">
      <c r="A42" s="15" t="s">
        <v>134</v>
      </c>
      <c r="B42" s="23" t="s">
        <v>198</v>
      </c>
      <c r="C42" s="15">
        <v>57</v>
      </c>
      <c r="D42" s="18">
        <v>32.799999999999997</v>
      </c>
      <c r="E42" s="15">
        <v>30.4</v>
      </c>
      <c r="F42" s="15">
        <v>3.9</v>
      </c>
      <c r="G42" s="17">
        <v>3</v>
      </c>
      <c r="H42" s="1">
        <v>1</v>
      </c>
      <c r="I42" s="1">
        <v>1</v>
      </c>
    </row>
    <row r="43" spans="1:9" ht="15.75" customHeight="1" x14ac:dyDescent="0.3">
      <c r="A43" s="15" t="s">
        <v>134</v>
      </c>
      <c r="B43" s="15" t="s">
        <v>198</v>
      </c>
      <c r="C43" s="15">
        <v>28</v>
      </c>
      <c r="D43" s="18">
        <v>31.5</v>
      </c>
      <c r="E43" s="15">
        <v>43.8</v>
      </c>
      <c r="F43" s="15">
        <v>1.1000000000000001</v>
      </c>
      <c r="G43" s="17">
        <v>3</v>
      </c>
      <c r="H43" s="1">
        <v>2</v>
      </c>
      <c r="I43" s="1">
        <v>2</v>
      </c>
    </row>
    <row r="44" spans="1:9" ht="15.75" customHeight="1" x14ac:dyDescent="0.3">
      <c r="A44" s="15" t="s">
        <v>141</v>
      </c>
      <c r="B44" s="26" t="s">
        <v>176</v>
      </c>
      <c r="C44" s="30">
        <v>95</v>
      </c>
      <c r="D44" s="29">
        <v>0.59</v>
      </c>
      <c r="E44" s="30">
        <v>23.4</v>
      </c>
      <c r="F44" s="30">
        <v>0</v>
      </c>
      <c r="G44" s="21">
        <v>4</v>
      </c>
      <c r="H44" s="1">
        <v>9</v>
      </c>
      <c r="I44" s="1">
        <v>18</v>
      </c>
    </row>
    <row r="45" spans="1:9" ht="15.75" customHeight="1" x14ac:dyDescent="0.3">
      <c r="A45" s="15" t="s">
        <v>141</v>
      </c>
      <c r="B45" s="26" t="s">
        <v>177</v>
      </c>
      <c r="C45" s="30">
        <v>99</v>
      </c>
      <c r="D45" s="29">
        <v>34.6</v>
      </c>
      <c r="E45" s="30">
        <v>25.4</v>
      </c>
      <c r="F45" s="30">
        <v>2.2999999999999998</v>
      </c>
      <c r="G45" s="21">
        <v>3</v>
      </c>
      <c r="H45" s="1">
        <v>11</v>
      </c>
      <c r="I45" s="1">
        <v>11</v>
      </c>
    </row>
    <row r="46" spans="1:9" ht="15.75" customHeight="1" x14ac:dyDescent="0.3">
      <c r="A46" s="15" t="s">
        <v>141</v>
      </c>
      <c r="B46" s="26" t="s">
        <v>200</v>
      </c>
      <c r="C46" s="33">
        <v>99</v>
      </c>
      <c r="D46" s="29">
        <v>0.42</v>
      </c>
      <c r="E46" s="30">
        <v>22</v>
      </c>
      <c r="F46" s="30">
        <v>0</v>
      </c>
      <c r="G46" s="21">
        <v>5</v>
      </c>
      <c r="H46" s="1">
        <v>7</v>
      </c>
      <c r="I46" s="1">
        <v>10</v>
      </c>
    </row>
    <row r="47" spans="1:9" ht="15.75" customHeight="1" x14ac:dyDescent="0.3">
      <c r="A47" s="15" t="s">
        <v>141</v>
      </c>
      <c r="B47" s="26" t="s">
        <v>200</v>
      </c>
      <c r="C47" s="30">
        <v>99</v>
      </c>
      <c r="D47" s="34">
        <v>0.47249999999999998</v>
      </c>
      <c r="E47" s="30">
        <v>25.7</v>
      </c>
      <c r="F47" s="26">
        <v>0</v>
      </c>
      <c r="G47" s="21">
        <v>5</v>
      </c>
      <c r="H47" s="1">
        <v>8</v>
      </c>
      <c r="I47" s="1">
        <v>9</v>
      </c>
    </row>
    <row r="48" spans="1:9" ht="15.75" customHeight="1" x14ac:dyDescent="0.3">
      <c r="A48" s="15" t="s">
        <v>141</v>
      </c>
      <c r="B48" s="26" t="s">
        <v>200</v>
      </c>
      <c r="C48" s="30">
        <v>99</v>
      </c>
      <c r="D48" s="29">
        <v>32.6</v>
      </c>
      <c r="E48" s="30">
        <v>23.7</v>
      </c>
      <c r="F48" s="26">
        <v>0</v>
      </c>
      <c r="G48" s="21">
        <v>5</v>
      </c>
      <c r="H48" s="1">
        <v>3</v>
      </c>
      <c r="I48" s="1">
        <v>3</v>
      </c>
    </row>
    <row r="49" spans="1:9" ht="15.75" customHeight="1" x14ac:dyDescent="0.3">
      <c r="A49" s="15" t="s">
        <v>141</v>
      </c>
      <c r="B49" s="26" t="s">
        <v>180</v>
      </c>
      <c r="C49" s="30">
        <v>97</v>
      </c>
      <c r="D49" s="35">
        <v>0.53600000000000003</v>
      </c>
      <c r="E49" s="30">
        <v>24.9</v>
      </c>
      <c r="F49" s="30">
        <v>0</v>
      </c>
      <c r="G49" s="21">
        <v>5</v>
      </c>
      <c r="H49" s="1">
        <v>5</v>
      </c>
      <c r="I49" s="1">
        <v>9</v>
      </c>
    </row>
    <row r="50" spans="1:9" ht="15.75" customHeight="1" x14ac:dyDescent="0.3">
      <c r="A50" s="15" t="s">
        <v>141</v>
      </c>
      <c r="B50" s="26" t="s">
        <v>180</v>
      </c>
      <c r="C50" s="30">
        <v>99</v>
      </c>
      <c r="D50" s="29">
        <v>47.9</v>
      </c>
      <c r="E50" s="30">
        <v>24.1</v>
      </c>
      <c r="F50" s="30">
        <v>0.5</v>
      </c>
      <c r="G50" s="21">
        <v>5</v>
      </c>
      <c r="H50" s="1">
        <v>1</v>
      </c>
      <c r="I50" s="1">
        <v>1</v>
      </c>
    </row>
    <row r="51" spans="1:9" ht="15.75" customHeight="1" x14ac:dyDescent="0.3">
      <c r="A51" s="15" t="s">
        <v>141</v>
      </c>
      <c r="B51" s="26" t="s">
        <v>181</v>
      </c>
      <c r="C51" s="30">
        <v>99</v>
      </c>
      <c r="D51" s="29">
        <v>53.2</v>
      </c>
      <c r="E51" s="30">
        <v>27.5</v>
      </c>
      <c r="F51" s="30">
        <v>0</v>
      </c>
      <c r="G51" s="21">
        <v>3</v>
      </c>
      <c r="H51" s="1">
        <v>4</v>
      </c>
      <c r="I51" s="1">
        <v>7</v>
      </c>
    </row>
    <row r="52" spans="1:9" ht="15.75" customHeight="1" x14ac:dyDescent="0.3">
      <c r="A52" s="15" t="s">
        <v>141</v>
      </c>
      <c r="B52" s="26" t="s">
        <v>181</v>
      </c>
      <c r="C52" s="30">
        <v>99</v>
      </c>
      <c r="D52" s="29">
        <v>8.23</v>
      </c>
      <c r="E52" s="30">
        <v>23.7</v>
      </c>
      <c r="F52" s="30">
        <v>0</v>
      </c>
      <c r="G52" s="21">
        <v>3</v>
      </c>
      <c r="H52" s="1">
        <v>2</v>
      </c>
      <c r="I52" s="1">
        <v>4</v>
      </c>
    </row>
    <row r="53" spans="1:9" ht="15.75" customHeight="1" x14ac:dyDescent="0.3">
      <c r="A53" s="15" t="s">
        <v>141</v>
      </c>
      <c r="B53" s="26" t="s">
        <v>198</v>
      </c>
      <c r="C53" s="30">
        <v>77</v>
      </c>
      <c r="D53" s="29">
        <v>8.5399999999999991</v>
      </c>
      <c r="E53" s="30">
        <v>28</v>
      </c>
      <c r="F53" s="30">
        <v>1.75</v>
      </c>
      <c r="G53" s="21">
        <v>3</v>
      </c>
      <c r="H53" s="1">
        <v>6</v>
      </c>
      <c r="I53" s="1">
        <v>12</v>
      </c>
    </row>
    <row r="54" spans="1:9" ht="15.75" customHeight="1" x14ac:dyDescent="0.3">
      <c r="A54" s="15" t="s">
        <v>141</v>
      </c>
      <c r="B54" s="26" t="s">
        <v>198</v>
      </c>
      <c r="C54" s="30">
        <v>99</v>
      </c>
      <c r="D54" s="29">
        <v>7.51</v>
      </c>
      <c r="E54" s="30">
        <v>23.7</v>
      </c>
      <c r="F54" s="30">
        <v>0</v>
      </c>
      <c r="G54" s="21">
        <v>3</v>
      </c>
      <c r="H54" s="1">
        <v>4</v>
      </c>
      <c r="I54" s="1">
        <v>15</v>
      </c>
    </row>
    <row r="55" spans="1:9" ht="15.75" customHeight="1" x14ac:dyDescent="0.3">
      <c r="A55" s="15" t="s">
        <v>141</v>
      </c>
      <c r="B55" s="27" t="s">
        <v>183</v>
      </c>
      <c r="C55" s="30">
        <v>79</v>
      </c>
      <c r="D55" s="29">
        <v>73.7</v>
      </c>
      <c r="E55" s="30">
        <v>29.1</v>
      </c>
      <c r="F55" s="30">
        <v>1</v>
      </c>
      <c r="G55" s="21">
        <v>3</v>
      </c>
      <c r="H55" s="1">
        <v>0</v>
      </c>
      <c r="I55" s="1">
        <v>0</v>
      </c>
    </row>
    <row r="56" spans="1:9" ht="15.75" customHeight="1" x14ac:dyDescent="0.3">
      <c r="A56" s="15" t="s">
        <v>141</v>
      </c>
      <c r="B56" s="27" t="s">
        <v>185</v>
      </c>
      <c r="C56" s="33">
        <v>73</v>
      </c>
      <c r="D56" s="29">
        <v>50.3</v>
      </c>
      <c r="E56" s="30">
        <v>17</v>
      </c>
      <c r="F56" s="30">
        <v>0</v>
      </c>
      <c r="G56" s="21">
        <v>1</v>
      </c>
      <c r="H56" s="1">
        <v>2</v>
      </c>
      <c r="I56" s="1">
        <v>2</v>
      </c>
    </row>
    <row r="57" spans="1:9" ht="15.75" customHeight="1" x14ac:dyDescent="0.3">
      <c r="A57" s="15" t="s">
        <v>141</v>
      </c>
      <c r="B57" s="27" t="s">
        <v>185</v>
      </c>
      <c r="C57" s="30">
        <v>72</v>
      </c>
      <c r="D57" s="29">
        <v>50.4</v>
      </c>
      <c r="E57" s="30">
        <v>30.4</v>
      </c>
      <c r="F57" s="30">
        <v>0</v>
      </c>
      <c r="G57" s="21">
        <v>1</v>
      </c>
      <c r="H57" s="1">
        <v>3</v>
      </c>
      <c r="I57" s="1">
        <v>7</v>
      </c>
    </row>
    <row r="58" spans="1:9" ht="15.75" customHeight="1" x14ac:dyDescent="0.3">
      <c r="A58" s="15" t="s">
        <v>141</v>
      </c>
      <c r="B58" s="27" t="s">
        <v>186</v>
      </c>
      <c r="C58" s="30">
        <v>75</v>
      </c>
      <c r="D58" s="35">
        <v>0.71899999999999997</v>
      </c>
      <c r="E58" s="30">
        <v>25.8</v>
      </c>
      <c r="F58" s="30">
        <v>0</v>
      </c>
      <c r="G58" s="21">
        <v>6</v>
      </c>
      <c r="H58" s="1">
        <v>0</v>
      </c>
      <c r="I58" s="1">
        <v>0</v>
      </c>
    </row>
    <row r="59" spans="1:9" ht="15.75" customHeight="1" x14ac:dyDescent="0.3">
      <c r="A59" s="15" t="s">
        <v>146</v>
      </c>
      <c r="B59" s="23" t="s">
        <v>176</v>
      </c>
      <c r="C59" s="15">
        <v>99</v>
      </c>
      <c r="D59" s="36">
        <v>0.27700000000000002</v>
      </c>
      <c r="E59" s="15">
        <v>26.4</v>
      </c>
      <c r="F59" s="15">
        <v>0</v>
      </c>
      <c r="G59" s="17">
        <v>4</v>
      </c>
      <c r="H59" s="1">
        <v>6</v>
      </c>
      <c r="I59" s="1">
        <v>22</v>
      </c>
    </row>
    <row r="60" spans="1:9" ht="15.75" customHeight="1" x14ac:dyDescent="0.3">
      <c r="A60" s="15" t="s">
        <v>146</v>
      </c>
      <c r="B60" s="23" t="s">
        <v>177</v>
      </c>
      <c r="C60" s="15">
        <v>92</v>
      </c>
      <c r="D60" s="18">
        <v>0.78</v>
      </c>
      <c r="E60" s="15">
        <v>24.6</v>
      </c>
      <c r="F60" s="15">
        <v>0</v>
      </c>
      <c r="G60" s="17">
        <v>3</v>
      </c>
      <c r="H60" s="1">
        <v>9</v>
      </c>
      <c r="I60" s="1">
        <v>14</v>
      </c>
    </row>
    <row r="61" spans="1:9" ht="15.75" customHeight="1" x14ac:dyDescent="0.3">
      <c r="A61" s="15" t="s">
        <v>146</v>
      </c>
      <c r="B61" s="23" t="s">
        <v>200</v>
      </c>
      <c r="C61" s="15">
        <v>94</v>
      </c>
      <c r="D61" s="36">
        <v>0.50800000000000001</v>
      </c>
      <c r="E61" s="15">
        <v>24.8</v>
      </c>
      <c r="F61" s="15">
        <v>0</v>
      </c>
      <c r="G61" s="17">
        <v>5</v>
      </c>
      <c r="H61" s="1">
        <v>8</v>
      </c>
      <c r="I61" s="1">
        <v>8</v>
      </c>
    </row>
    <row r="62" spans="1:9" ht="15.75" customHeight="1" x14ac:dyDescent="0.3">
      <c r="A62" s="15" t="s">
        <v>146</v>
      </c>
      <c r="B62" s="23" t="s">
        <v>200</v>
      </c>
      <c r="C62" s="15">
        <v>94</v>
      </c>
      <c r="D62" s="36">
        <v>0.5</v>
      </c>
      <c r="E62" s="15">
        <v>24.8</v>
      </c>
      <c r="F62" s="15">
        <v>0</v>
      </c>
      <c r="G62" s="17">
        <v>5</v>
      </c>
      <c r="H62" s="1">
        <v>2</v>
      </c>
      <c r="I62" s="1">
        <v>6</v>
      </c>
    </row>
    <row r="63" spans="1:9" ht="15.75" customHeight="1" x14ac:dyDescent="0.3">
      <c r="A63" s="15" t="s">
        <v>146</v>
      </c>
      <c r="B63" s="23" t="s">
        <v>200</v>
      </c>
      <c r="C63" s="20">
        <v>94</v>
      </c>
      <c r="D63" s="36">
        <v>0.5</v>
      </c>
      <c r="E63" s="15">
        <v>23</v>
      </c>
      <c r="F63" s="15">
        <v>0</v>
      </c>
      <c r="G63" s="17">
        <v>5</v>
      </c>
      <c r="H63" s="1">
        <v>5</v>
      </c>
      <c r="I63" s="1">
        <v>5</v>
      </c>
    </row>
    <row r="64" spans="1:9" ht="15.75" customHeight="1" x14ac:dyDescent="0.3">
      <c r="A64" s="15" t="s">
        <v>146</v>
      </c>
      <c r="B64" s="23" t="s">
        <v>200</v>
      </c>
      <c r="C64" s="20">
        <v>94</v>
      </c>
      <c r="D64" s="36">
        <v>0.5</v>
      </c>
      <c r="E64" s="15">
        <v>22</v>
      </c>
      <c r="F64" s="15">
        <v>0</v>
      </c>
      <c r="G64" s="17">
        <v>5</v>
      </c>
      <c r="H64" s="1">
        <v>1</v>
      </c>
      <c r="I64" s="1">
        <v>1</v>
      </c>
    </row>
    <row r="65" spans="1:9" ht="15.75" customHeight="1" x14ac:dyDescent="0.3">
      <c r="A65" s="15" t="s">
        <v>146</v>
      </c>
      <c r="B65" s="23" t="s">
        <v>181</v>
      </c>
      <c r="C65" s="15">
        <v>99</v>
      </c>
      <c r="D65" s="18">
        <v>7.59</v>
      </c>
      <c r="E65" s="15">
        <v>23.9</v>
      </c>
      <c r="F65" s="15">
        <v>0</v>
      </c>
      <c r="G65" s="17">
        <v>3</v>
      </c>
      <c r="H65" s="1">
        <v>5</v>
      </c>
      <c r="I65" s="1">
        <v>6</v>
      </c>
    </row>
    <row r="66" spans="1:9" ht="15.75" customHeight="1" x14ac:dyDescent="0.3">
      <c r="A66" s="15" t="s">
        <v>146</v>
      </c>
      <c r="B66" s="23" t="s">
        <v>198</v>
      </c>
      <c r="C66" s="15">
        <v>99</v>
      </c>
      <c r="D66" s="18">
        <v>13.05</v>
      </c>
      <c r="E66" s="15">
        <v>25.9</v>
      </c>
      <c r="F66" s="15">
        <v>0.45</v>
      </c>
      <c r="G66" s="17">
        <v>3</v>
      </c>
      <c r="H66" s="1">
        <v>4</v>
      </c>
      <c r="I66" s="1">
        <v>4</v>
      </c>
    </row>
    <row r="67" spans="1:9" ht="15.75" customHeight="1" x14ac:dyDescent="0.3">
      <c r="A67" s="15" t="s">
        <v>146</v>
      </c>
      <c r="B67" s="23" t="s">
        <v>199</v>
      </c>
      <c r="C67" s="15">
        <v>93</v>
      </c>
      <c r="D67" s="18">
        <v>6.64</v>
      </c>
      <c r="E67" s="15">
        <v>26</v>
      </c>
      <c r="F67" s="15">
        <v>0</v>
      </c>
      <c r="G67" s="17">
        <v>2</v>
      </c>
      <c r="H67" s="1">
        <v>7</v>
      </c>
      <c r="I67" s="1">
        <v>13</v>
      </c>
    </row>
    <row r="68" spans="1:9" ht="15.75" customHeight="1" x14ac:dyDescent="0.3">
      <c r="A68" s="15" t="s">
        <v>146</v>
      </c>
      <c r="B68" s="23" t="s">
        <v>199</v>
      </c>
      <c r="C68" s="15">
        <v>59</v>
      </c>
      <c r="D68" s="18">
        <v>39.5</v>
      </c>
      <c r="E68" s="15">
        <v>31.13</v>
      </c>
      <c r="F68" s="15">
        <v>2.1</v>
      </c>
      <c r="G68" s="17">
        <v>2</v>
      </c>
      <c r="H68" s="1">
        <v>4</v>
      </c>
      <c r="I68" s="1">
        <v>9</v>
      </c>
    </row>
    <row r="69" spans="1:9" ht="15.75" customHeight="1" x14ac:dyDescent="0.3">
      <c r="A69" s="15" t="s">
        <v>146</v>
      </c>
      <c r="B69" s="23" t="s">
        <v>199</v>
      </c>
      <c r="C69" s="15">
        <v>80</v>
      </c>
      <c r="D69" s="18">
        <v>6.56</v>
      </c>
      <c r="E69" s="15">
        <v>23.9</v>
      </c>
      <c r="F69" s="15">
        <v>0</v>
      </c>
      <c r="G69" s="17">
        <v>2</v>
      </c>
      <c r="H69" s="1">
        <v>0</v>
      </c>
      <c r="I69" s="1">
        <v>0</v>
      </c>
    </row>
    <row r="70" spans="1:9" ht="15.75" customHeight="1" x14ac:dyDescent="0.3">
      <c r="A70" s="15" t="s">
        <v>146</v>
      </c>
      <c r="B70" s="23" t="s">
        <v>183</v>
      </c>
      <c r="C70" s="15">
        <v>79</v>
      </c>
      <c r="D70" s="18">
        <v>15.5</v>
      </c>
      <c r="E70" s="15">
        <v>28.3</v>
      </c>
      <c r="F70" s="15">
        <v>0</v>
      </c>
      <c r="G70" s="17">
        <v>3</v>
      </c>
      <c r="H70" s="1">
        <v>3</v>
      </c>
      <c r="I70" s="1">
        <v>3</v>
      </c>
    </row>
    <row r="71" spans="1:9" ht="15.75" customHeight="1" x14ac:dyDescent="0.3">
      <c r="A71" s="15" t="s">
        <v>146</v>
      </c>
      <c r="B71" s="23" t="s">
        <v>183</v>
      </c>
      <c r="C71" s="15">
        <v>79</v>
      </c>
      <c r="D71" s="18">
        <v>4.87</v>
      </c>
      <c r="E71" s="15">
        <v>25.2</v>
      </c>
      <c r="F71" s="15">
        <v>0</v>
      </c>
      <c r="G71" s="17">
        <v>3</v>
      </c>
      <c r="H71" s="1">
        <v>0</v>
      </c>
      <c r="I71" s="1">
        <v>0</v>
      </c>
    </row>
    <row r="72" spans="1:9" ht="15.75" customHeight="1" x14ac:dyDescent="0.3">
      <c r="A72" s="15" t="s">
        <v>146</v>
      </c>
      <c r="B72" s="23" t="s">
        <v>185</v>
      </c>
      <c r="C72" s="15">
        <v>86</v>
      </c>
      <c r="D72" s="18">
        <v>19.5</v>
      </c>
      <c r="E72" s="15">
        <v>27.4</v>
      </c>
      <c r="F72" s="15">
        <v>2.9</v>
      </c>
      <c r="G72" s="17">
        <v>1</v>
      </c>
      <c r="H72" s="1">
        <v>3</v>
      </c>
      <c r="I72" s="1">
        <v>5</v>
      </c>
    </row>
    <row r="73" spans="1:9" ht="15.75" customHeight="1" x14ac:dyDescent="0.3">
      <c r="A73" s="15" t="s">
        <v>146</v>
      </c>
      <c r="B73" s="23" t="s">
        <v>186</v>
      </c>
      <c r="C73" s="15">
        <v>79</v>
      </c>
      <c r="D73" s="18">
        <v>0.56999999999999995</v>
      </c>
      <c r="E73" s="15">
        <v>24.8</v>
      </c>
      <c r="F73" s="15">
        <v>0</v>
      </c>
      <c r="G73" s="17">
        <v>6</v>
      </c>
      <c r="H73" s="1">
        <v>3</v>
      </c>
      <c r="I73" s="1">
        <v>4</v>
      </c>
    </row>
    <row r="74" spans="1:9" ht="15.75" customHeight="1" x14ac:dyDescent="0.3">
      <c r="A74" s="15" t="s">
        <v>146</v>
      </c>
      <c r="B74" s="23" t="s">
        <v>186</v>
      </c>
      <c r="C74" s="15">
        <v>96</v>
      </c>
      <c r="D74" s="18">
        <v>15.05</v>
      </c>
      <c r="E74" s="15">
        <v>30.2</v>
      </c>
      <c r="F74" s="15">
        <v>0</v>
      </c>
      <c r="G74" s="17">
        <v>6</v>
      </c>
      <c r="H74" s="1">
        <v>2</v>
      </c>
      <c r="I74" s="1">
        <v>6</v>
      </c>
    </row>
    <row r="75" spans="1:9" ht="15.75" customHeight="1" x14ac:dyDescent="0.3">
      <c r="A75" s="15" t="s">
        <v>146</v>
      </c>
      <c r="B75" s="15" t="s">
        <v>186</v>
      </c>
      <c r="C75" s="15">
        <v>57</v>
      </c>
      <c r="D75" s="18">
        <v>153.19999999999999</v>
      </c>
      <c r="E75" s="15">
        <v>30.2</v>
      </c>
      <c r="F75" s="15">
        <v>0.4</v>
      </c>
      <c r="G75" s="17">
        <v>6</v>
      </c>
      <c r="H75" s="1">
        <v>2</v>
      </c>
      <c r="I75" s="1">
        <v>3</v>
      </c>
    </row>
    <row r="76" spans="1:9" ht="15.75" customHeight="1" x14ac:dyDescent="0.3">
      <c r="A76" s="15" t="s">
        <v>153</v>
      </c>
      <c r="B76" s="23" t="s">
        <v>176</v>
      </c>
      <c r="C76" s="15">
        <v>98</v>
      </c>
      <c r="D76" s="18">
        <v>7.54</v>
      </c>
      <c r="E76" s="15">
        <v>25.8</v>
      </c>
      <c r="F76" s="15">
        <v>0</v>
      </c>
      <c r="G76" s="17">
        <v>4</v>
      </c>
      <c r="H76" s="1">
        <v>5</v>
      </c>
      <c r="I76" s="1">
        <v>7</v>
      </c>
    </row>
    <row r="77" spans="1:9" ht="15.75" customHeight="1" x14ac:dyDescent="0.3">
      <c r="A77" s="15" t="s">
        <v>153</v>
      </c>
      <c r="B77" s="23" t="s">
        <v>176</v>
      </c>
      <c r="C77" s="15">
        <v>99</v>
      </c>
      <c r="D77" s="18">
        <v>6.06</v>
      </c>
      <c r="E77" s="15">
        <v>25.35</v>
      </c>
      <c r="F77" s="15">
        <v>0</v>
      </c>
      <c r="G77" s="17">
        <v>4</v>
      </c>
      <c r="H77" s="1">
        <v>9</v>
      </c>
      <c r="I77" s="1">
        <v>9</v>
      </c>
    </row>
    <row r="78" spans="1:9" ht="15.75" customHeight="1" x14ac:dyDescent="0.3">
      <c r="A78" s="15" t="s">
        <v>153</v>
      </c>
      <c r="B78" s="23" t="s">
        <v>177</v>
      </c>
      <c r="C78" s="15">
        <v>98</v>
      </c>
      <c r="D78" s="18">
        <v>0.77</v>
      </c>
      <c r="E78" s="15">
        <v>22.6</v>
      </c>
      <c r="F78" s="15">
        <v>0</v>
      </c>
      <c r="G78" s="17">
        <v>3</v>
      </c>
      <c r="H78" s="1">
        <v>8</v>
      </c>
      <c r="I78" s="1">
        <v>14</v>
      </c>
    </row>
    <row r="79" spans="1:9" ht="15.75" customHeight="1" x14ac:dyDescent="0.3">
      <c r="A79" s="15" t="s">
        <v>153</v>
      </c>
      <c r="B79" s="23" t="s">
        <v>177</v>
      </c>
      <c r="C79" s="15">
        <v>82</v>
      </c>
      <c r="D79" s="36">
        <v>0.19800000000000001</v>
      </c>
      <c r="E79" s="15">
        <v>24.3</v>
      </c>
      <c r="F79" s="15">
        <v>0</v>
      </c>
      <c r="G79" s="17">
        <v>3</v>
      </c>
      <c r="H79" s="1">
        <v>9</v>
      </c>
      <c r="I79" s="1">
        <v>12</v>
      </c>
    </row>
    <row r="80" spans="1:9" ht="15.75" customHeight="1" x14ac:dyDescent="0.3">
      <c r="A80" s="15" t="s">
        <v>153</v>
      </c>
      <c r="B80" s="23" t="s">
        <v>200</v>
      </c>
      <c r="C80" s="15">
        <v>98</v>
      </c>
      <c r="D80" s="18">
        <v>3.69</v>
      </c>
      <c r="E80" s="15">
        <v>22.35</v>
      </c>
      <c r="F80" s="15">
        <v>0</v>
      </c>
      <c r="G80" s="17">
        <v>5</v>
      </c>
      <c r="H80" s="1">
        <v>3</v>
      </c>
      <c r="I80" s="1">
        <v>7</v>
      </c>
    </row>
    <row r="81" spans="1:9" ht="15.75" customHeight="1" x14ac:dyDescent="0.3">
      <c r="A81" s="15" t="s">
        <v>153</v>
      </c>
      <c r="B81" s="23" t="s">
        <v>200</v>
      </c>
      <c r="C81" s="15">
        <v>98</v>
      </c>
      <c r="D81" s="18">
        <v>3.69</v>
      </c>
      <c r="E81" s="15">
        <v>22.35</v>
      </c>
      <c r="F81" s="15">
        <v>0</v>
      </c>
      <c r="G81" s="17">
        <v>5</v>
      </c>
      <c r="H81" s="1">
        <v>13</v>
      </c>
      <c r="I81" s="1">
        <v>14</v>
      </c>
    </row>
    <row r="82" spans="1:9" ht="15.75" customHeight="1" x14ac:dyDescent="0.3">
      <c r="A82" s="15" t="s">
        <v>153</v>
      </c>
      <c r="B82" s="23" t="s">
        <v>200</v>
      </c>
      <c r="C82" s="15">
        <v>90</v>
      </c>
      <c r="D82" s="36">
        <v>3.5000000000000003E-2</v>
      </c>
      <c r="E82" s="15">
        <v>24.2</v>
      </c>
      <c r="F82" s="15">
        <v>0</v>
      </c>
      <c r="G82" s="17">
        <v>5</v>
      </c>
      <c r="H82" s="1">
        <v>1</v>
      </c>
      <c r="I82" s="1">
        <v>1</v>
      </c>
    </row>
    <row r="83" spans="1:9" ht="15.75" customHeight="1" x14ac:dyDescent="0.3">
      <c r="A83" s="15" t="s">
        <v>153</v>
      </c>
      <c r="B83" s="23" t="s">
        <v>200</v>
      </c>
      <c r="C83" s="15">
        <v>61</v>
      </c>
      <c r="D83" s="36">
        <v>9.4E-2</v>
      </c>
      <c r="E83" s="15">
        <v>25.5</v>
      </c>
      <c r="F83" s="15">
        <v>0</v>
      </c>
      <c r="G83" s="17">
        <v>5</v>
      </c>
      <c r="H83" s="1">
        <v>6</v>
      </c>
      <c r="I83" s="1">
        <v>8</v>
      </c>
    </row>
    <row r="84" spans="1:9" ht="15.75" customHeight="1" x14ac:dyDescent="0.3">
      <c r="A84" s="15" t="s">
        <v>153</v>
      </c>
      <c r="B84" s="23" t="s">
        <v>200</v>
      </c>
      <c r="C84" s="15">
        <v>65</v>
      </c>
      <c r="D84" s="36">
        <v>3.5000000000000003E-2</v>
      </c>
      <c r="E84" s="15">
        <v>25.7</v>
      </c>
      <c r="F84" s="15">
        <v>0</v>
      </c>
      <c r="G84" s="17">
        <v>5</v>
      </c>
      <c r="H84" s="1">
        <v>3</v>
      </c>
      <c r="I84" s="1">
        <v>3</v>
      </c>
    </row>
    <row r="85" spans="1:9" ht="15.75" customHeight="1" x14ac:dyDescent="0.3">
      <c r="A85" s="15" t="s">
        <v>153</v>
      </c>
      <c r="B85" s="23" t="s">
        <v>180</v>
      </c>
      <c r="C85" s="15">
        <v>85</v>
      </c>
      <c r="D85" s="18">
        <v>3.81</v>
      </c>
      <c r="E85" s="15">
        <v>25</v>
      </c>
      <c r="F85" s="15">
        <v>0</v>
      </c>
      <c r="G85" s="17">
        <v>5</v>
      </c>
      <c r="H85" s="1">
        <v>3</v>
      </c>
      <c r="I85" s="1">
        <v>3</v>
      </c>
    </row>
    <row r="86" spans="1:9" ht="15.75" customHeight="1" x14ac:dyDescent="0.3">
      <c r="A86" s="15" t="s">
        <v>153</v>
      </c>
      <c r="B86" s="23" t="s">
        <v>180</v>
      </c>
      <c r="C86" s="15">
        <v>61</v>
      </c>
      <c r="D86" s="18">
        <v>4.78</v>
      </c>
      <c r="E86" s="15">
        <v>28.7</v>
      </c>
      <c r="F86" s="15">
        <v>0</v>
      </c>
      <c r="G86" s="17">
        <v>5</v>
      </c>
      <c r="H86" s="1">
        <v>0</v>
      </c>
      <c r="I86" s="1">
        <v>0</v>
      </c>
    </row>
    <row r="87" spans="1:9" ht="15.75" customHeight="1" x14ac:dyDescent="0.3">
      <c r="A87" s="15" t="s">
        <v>153</v>
      </c>
      <c r="B87" s="23" t="s">
        <v>180</v>
      </c>
      <c r="C87" s="15">
        <v>47</v>
      </c>
      <c r="D87" s="36">
        <v>0.74399999999999999</v>
      </c>
      <c r="E87" s="15">
        <v>29.9</v>
      </c>
      <c r="F87" s="15">
        <v>0</v>
      </c>
      <c r="G87" s="17">
        <v>5</v>
      </c>
      <c r="H87" s="1">
        <v>2</v>
      </c>
      <c r="I87" s="1">
        <v>2</v>
      </c>
    </row>
    <row r="88" spans="1:9" ht="15.75" customHeight="1" x14ac:dyDescent="0.3">
      <c r="A88" s="15" t="s">
        <v>153</v>
      </c>
      <c r="B88" s="23" t="s">
        <v>180</v>
      </c>
      <c r="C88" s="15">
        <v>50</v>
      </c>
      <c r="D88" s="36">
        <v>0.7</v>
      </c>
      <c r="E88" s="15">
        <v>26.3</v>
      </c>
      <c r="F88" s="15">
        <v>0</v>
      </c>
      <c r="G88" s="17">
        <v>5</v>
      </c>
      <c r="H88" s="1">
        <v>2</v>
      </c>
      <c r="I88" s="1">
        <v>5</v>
      </c>
    </row>
    <row r="89" spans="1:9" ht="15.75" customHeight="1" x14ac:dyDescent="0.3">
      <c r="A89" s="15" t="s">
        <v>153</v>
      </c>
      <c r="B89" s="23" t="s">
        <v>181</v>
      </c>
      <c r="C89" s="15">
        <v>85</v>
      </c>
      <c r="D89" s="18">
        <v>13.84</v>
      </c>
      <c r="E89" s="15">
        <v>26.7</v>
      </c>
      <c r="F89" s="15">
        <v>0</v>
      </c>
      <c r="G89" s="17">
        <v>3</v>
      </c>
      <c r="H89" s="1">
        <v>4</v>
      </c>
      <c r="I89" s="1">
        <v>6</v>
      </c>
    </row>
    <row r="90" spans="1:9" ht="15.75" customHeight="1" x14ac:dyDescent="0.3">
      <c r="A90" s="15" t="s">
        <v>153</v>
      </c>
      <c r="B90" s="23" t="s">
        <v>181</v>
      </c>
      <c r="C90" s="15">
        <v>55</v>
      </c>
      <c r="D90" s="18">
        <v>55.3</v>
      </c>
      <c r="E90" s="15">
        <v>30.2</v>
      </c>
      <c r="F90" s="15">
        <v>0</v>
      </c>
      <c r="G90" s="17">
        <v>3</v>
      </c>
      <c r="H90" s="1">
        <v>0</v>
      </c>
      <c r="I90" s="1">
        <v>0</v>
      </c>
    </row>
    <row r="91" spans="1:9" ht="15.75" customHeight="1" x14ac:dyDescent="0.3">
      <c r="A91" s="15" t="s">
        <v>153</v>
      </c>
      <c r="B91" s="23" t="s">
        <v>181</v>
      </c>
      <c r="C91" s="15">
        <v>51</v>
      </c>
      <c r="D91" s="18">
        <v>26.78</v>
      </c>
      <c r="E91" s="15">
        <v>30.7</v>
      </c>
      <c r="F91" s="15">
        <v>0</v>
      </c>
      <c r="G91" s="17">
        <v>3</v>
      </c>
      <c r="H91" s="1">
        <v>2</v>
      </c>
      <c r="I91" s="1">
        <v>2</v>
      </c>
    </row>
    <row r="92" spans="1:9" ht="15.75" customHeight="1" x14ac:dyDescent="0.3">
      <c r="A92" s="15" t="s">
        <v>153</v>
      </c>
      <c r="B92" s="23" t="s">
        <v>198</v>
      </c>
      <c r="C92" s="15">
        <v>90</v>
      </c>
      <c r="D92" s="18">
        <v>8.44</v>
      </c>
      <c r="E92" s="15">
        <v>27.4</v>
      </c>
      <c r="F92" s="15">
        <v>0.8</v>
      </c>
      <c r="G92" s="17">
        <v>3</v>
      </c>
      <c r="H92" s="1">
        <v>12</v>
      </c>
      <c r="I92" s="1">
        <v>17</v>
      </c>
    </row>
    <row r="93" spans="1:9" ht="15.75" customHeight="1" x14ac:dyDescent="0.3">
      <c r="A93" s="15" t="s">
        <v>153</v>
      </c>
      <c r="B93" s="16" t="s">
        <v>198</v>
      </c>
      <c r="C93" s="15">
        <v>58</v>
      </c>
      <c r="D93" s="18">
        <v>30.1</v>
      </c>
      <c r="E93" s="15">
        <v>29.1</v>
      </c>
      <c r="F93" s="15">
        <v>0</v>
      </c>
      <c r="G93" s="17">
        <v>3</v>
      </c>
      <c r="H93" s="1">
        <v>2</v>
      </c>
      <c r="I93" s="1">
        <v>2</v>
      </c>
    </row>
    <row r="94" spans="1:9" ht="15.75" customHeight="1" x14ac:dyDescent="0.3">
      <c r="A94" s="15" t="s">
        <v>153</v>
      </c>
      <c r="B94" s="23" t="s">
        <v>199</v>
      </c>
      <c r="C94" s="15">
        <v>77</v>
      </c>
      <c r="D94" s="36">
        <v>1.79</v>
      </c>
      <c r="E94" s="15">
        <v>23.98</v>
      </c>
      <c r="F94" s="15">
        <v>0.83</v>
      </c>
      <c r="G94" s="17">
        <v>2</v>
      </c>
      <c r="H94" s="1">
        <v>3</v>
      </c>
      <c r="I94" s="1">
        <v>3</v>
      </c>
    </row>
    <row r="95" spans="1:9" ht="15.75" customHeight="1" x14ac:dyDescent="0.3">
      <c r="A95" s="15" t="s">
        <v>153</v>
      </c>
      <c r="B95" s="23" t="s">
        <v>199</v>
      </c>
      <c r="C95" s="15">
        <v>78</v>
      </c>
      <c r="D95" s="36">
        <v>20.350000000000001</v>
      </c>
      <c r="E95" s="15">
        <v>22.55</v>
      </c>
      <c r="F95" s="15">
        <v>0</v>
      </c>
      <c r="G95" s="17">
        <v>2</v>
      </c>
      <c r="H95" s="1">
        <v>6</v>
      </c>
      <c r="I95" s="1">
        <v>14</v>
      </c>
    </row>
    <row r="96" spans="1:9" ht="15.75" customHeight="1" x14ac:dyDescent="0.3">
      <c r="A96" s="15" t="s">
        <v>153</v>
      </c>
      <c r="B96" s="23" t="s">
        <v>199</v>
      </c>
      <c r="C96" s="15">
        <v>98</v>
      </c>
      <c r="D96" s="36">
        <v>3.05</v>
      </c>
      <c r="E96" s="15">
        <v>21.7</v>
      </c>
      <c r="F96" s="15">
        <v>0.9</v>
      </c>
      <c r="G96" s="17">
        <v>2</v>
      </c>
      <c r="H96" s="1">
        <v>1</v>
      </c>
      <c r="I96" s="1">
        <v>1</v>
      </c>
    </row>
    <row r="97" spans="1:9" ht="15.75" customHeight="1" x14ac:dyDescent="0.3">
      <c r="A97" s="15" t="s">
        <v>153</v>
      </c>
      <c r="B97" s="23" t="s">
        <v>199</v>
      </c>
      <c r="C97" s="15">
        <v>77</v>
      </c>
      <c r="D97" s="36">
        <v>12.54</v>
      </c>
      <c r="E97" s="15">
        <v>25.3</v>
      </c>
      <c r="F97" s="15">
        <v>1</v>
      </c>
      <c r="G97" s="17">
        <v>2</v>
      </c>
      <c r="H97" s="1">
        <v>1</v>
      </c>
      <c r="I97" s="1">
        <v>5</v>
      </c>
    </row>
    <row r="98" spans="1:9" ht="15.75" customHeight="1" x14ac:dyDescent="0.3">
      <c r="A98" s="15" t="s">
        <v>153</v>
      </c>
      <c r="B98" s="23" t="s">
        <v>183</v>
      </c>
      <c r="C98" s="15">
        <v>95</v>
      </c>
      <c r="D98" s="18">
        <v>10.69</v>
      </c>
      <c r="E98" s="15">
        <v>22.8</v>
      </c>
      <c r="F98" s="15">
        <v>1.2</v>
      </c>
      <c r="G98" s="17">
        <v>3</v>
      </c>
      <c r="H98" s="1">
        <v>4</v>
      </c>
      <c r="I98" s="1">
        <v>7</v>
      </c>
    </row>
    <row r="99" spans="1:9" ht="15.75" customHeight="1" x14ac:dyDescent="0.3">
      <c r="A99" s="15" t="s">
        <v>153</v>
      </c>
      <c r="B99" s="23" t="s">
        <v>183</v>
      </c>
      <c r="C99" s="15">
        <v>95</v>
      </c>
      <c r="D99" s="18">
        <v>5.99</v>
      </c>
      <c r="E99" s="15">
        <v>25.7</v>
      </c>
      <c r="F99" s="15">
        <v>0</v>
      </c>
      <c r="G99" s="17">
        <v>3</v>
      </c>
      <c r="H99" s="1">
        <v>5</v>
      </c>
      <c r="I99" s="1">
        <v>7</v>
      </c>
    </row>
    <row r="100" spans="1:9" ht="15.75" customHeight="1" x14ac:dyDescent="0.3">
      <c r="A100" s="15" t="s">
        <v>153</v>
      </c>
      <c r="B100" s="16" t="s">
        <v>183</v>
      </c>
      <c r="C100" s="15">
        <v>98</v>
      </c>
      <c r="D100" s="18">
        <v>3.61</v>
      </c>
      <c r="E100" s="15">
        <v>23</v>
      </c>
      <c r="F100" s="15">
        <v>0</v>
      </c>
      <c r="G100" s="17">
        <v>3</v>
      </c>
      <c r="H100" s="1">
        <v>0</v>
      </c>
      <c r="I100" s="1">
        <v>0</v>
      </c>
    </row>
    <row r="101" spans="1:9" ht="15.75" customHeight="1" x14ac:dyDescent="0.3">
      <c r="A101" s="15" t="s">
        <v>153</v>
      </c>
      <c r="B101" s="23" t="s">
        <v>183</v>
      </c>
      <c r="C101" s="15">
        <v>80</v>
      </c>
      <c r="D101" s="18">
        <v>6.89</v>
      </c>
      <c r="E101" s="15">
        <v>24.3</v>
      </c>
      <c r="F101" s="15">
        <v>0.87</v>
      </c>
      <c r="G101" s="17">
        <v>3</v>
      </c>
      <c r="H101" s="1">
        <v>2</v>
      </c>
      <c r="I101" s="1">
        <v>2</v>
      </c>
    </row>
    <row r="102" spans="1:9" ht="15.75" customHeight="1" x14ac:dyDescent="0.3">
      <c r="A102" s="15" t="s">
        <v>153</v>
      </c>
      <c r="B102" s="23" t="s">
        <v>185</v>
      </c>
      <c r="C102" s="15">
        <v>80</v>
      </c>
      <c r="D102" s="36">
        <v>14.7</v>
      </c>
      <c r="E102" s="15">
        <v>24.13</v>
      </c>
      <c r="F102" s="15">
        <v>2.1</v>
      </c>
      <c r="G102" s="17">
        <v>1</v>
      </c>
      <c r="H102" s="1">
        <v>3</v>
      </c>
      <c r="I102" s="1">
        <v>11</v>
      </c>
    </row>
    <row r="103" spans="1:9" ht="15.75" customHeight="1" x14ac:dyDescent="0.3">
      <c r="A103" s="15" t="s">
        <v>153</v>
      </c>
      <c r="B103" s="23" t="s">
        <v>185</v>
      </c>
      <c r="C103" s="15">
        <v>99</v>
      </c>
      <c r="D103" s="36">
        <v>12.46</v>
      </c>
      <c r="E103" s="15">
        <v>22.9</v>
      </c>
      <c r="F103" s="15">
        <v>0</v>
      </c>
      <c r="G103" s="17">
        <v>1</v>
      </c>
      <c r="H103" s="1">
        <v>4</v>
      </c>
      <c r="I103" s="1">
        <v>5</v>
      </c>
    </row>
    <row r="104" spans="1:9" ht="15.75" customHeight="1" x14ac:dyDescent="0.3">
      <c r="A104" s="15" t="s">
        <v>153</v>
      </c>
      <c r="B104" s="16" t="s">
        <v>185</v>
      </c>
      <c r="C104" s="15">
        <v>99</v>
      </c>
      <c r="D104" s="18">
        <v>8.2799999999999994</v>
      </c>
      <c r="E104" s="15">
        <v>24.2</v>
      </c>
      <c r="F104" s="15">
        <v>0</v>
      </c>
      <c r="G104" s="17">
        <v>1</v>
      </c>
      <c r="H104" s="1">
        <v>0</v>
      </c>
      <c r="I104" s="1">
        <v>0</v>
      </c>
    </row>
    <row r="105" spans="1:9" ht="15.75" customHeight="1" x14ac:dyDescent="0.3">
      <c r="A105" s="15" t="s">
        <v>153</v>
      </c>
      <c r="B105" s="16" t="s">
        <v>185</v>
      </c>
      <c r="C105" s="15">
        <v>99</v>
      </c>
      <c r="D105" s="18">
        <v>7.19</v>
      </c>
      <c r="E105" s="15">
        <v>23.4</v>
      </c>
      <c r="F105" s="15">
        <v>1.5</v>
      </c>
      <c r="G105" s="17">
        <v>1</v>
      </c>
      <c r="H105" s="1">
        <v>0</v>
      </c>
      <c r="I105" s="1">
        <v>0</v>
      </c>
    </row>
    <row r="106" spans="1:9" ht="15.75" customHeight="1" x14ac:dyDescent="0.3">
      <c r="A106" s="15" t="s">
        <v>153</v>
      </c>
      <c r="B106" s="23" t="s">
        <v>186</v>
      </c>
      <c r="C106" s="15">
        <v>95</v>
      </c>
      <c r="D106" s="18">
        <v>1.44</v>
      </c>
      <c r="E106" s="15">
        <v>25.1</v>
      </c>
      <c r="F106" s="15">
        <v>0</v>
      </c>
      <c r="G106" s="17">
        <v>6</v>
      </c>
      <c r="H106" s="1">
        <v>2</v>
      </c>
      <c r="I106" s="1">
        <v>7</v>
      </c>
    </row>
    <row r="107" spans="1:9" ht="15.75" customHeight="1" x14ac:dyDescent="0.3">
      <c r="A107" s="15" t="s">
        <v>153</v>
      </c>
      <c r="B107" s="23" t="s">
        <v>186</v>
      </c>
      <c r="C107" s="15">
        <v>99</v>
      </c>
      <c r="D107" s="18">
        <v>0.54</v>
      </c>
      <c r="E107" s="15">
        <v>21.9</v>
      </c>
      <c r="F107" s="15">
        <v>0</v>
      </c>
      <c r="G107" s="17">
        <v>6</v>
      </c>
      <c r="H107" s="1">
        <v>3</v>
      </c>
      <c r="I107" s="1">
        <v>3</v>
      </c>
    </row>
    <row r="108" spans="1:9" ht="15.75" customHeight="1" x14ac:dyDescent="0.3">
      <c r="A108" s="15" t="s">
        <v>153</v>
      </c>
      <c r="B108" s="23" t="s">
        <v>186</v>
      </c>
      <c r="C108" s="15">
        <v>99</v>
      </c>
      <c r="D108" s="18">
        <v>0.63</v>
      </c>
      <c r="E108" s="15">
        <v>25.1</v>
      </c>
      <c r="F108" s="15">
        <v>0</v>
      </c>
      <c r="G108" s="17">
        <v>6</v>
      </c>
      <c r="H108" s="1">
        <v>3</v>
      </c>
      <c r="I108" s="1">
        <v>8</v>
      </c>
    </row>
    <row r="109" spans="1:9" ht="15.75" customHeight="1" x14ac:dyDescent="0.3">
      <c r="A109" s="15" t="s">
        <v>153</v>
      </c>
      <c r="B109" s="23" t="s">
        <v>186</v>
      </c>
      <c r="C109" s="15">
        <v>99</v>
      </c>
      <c r="D109" s="18">
        <v>1.67</v>
      </c>
      <c r="E109" s="15">
        <v>25.2</v>
      </c>
      <c r="F109" s="15">
        <v>0</v>
      </c>
      <c r="G109" s="17">
        <v>6</v>
      </c>
      <c r="H109" s="1">
        <v>3</v>
      </c>
      <c r="I109" s="1">
        <v>4</v>
      </c>
    </row>
    <row r="110" spans="1:9" ht="15.75" customHeight="1" x14ac:dyDescent="0.3">
      <c r="A110" s="15" t="s">
        <v>158</v>
      </c>
      <c r="B110" s="23" t="s">
        <v>176</v>
      </c>
      <c r="C110" s="15">
        <v>96</v>
      </c>
      <c r="D110" s="18">
        <v>1.1399999999999999</v>
      </c>
      <c r="E110" s="15">
        <v>26.4</v>
      </c>
      <c r="F110" s="15">
        <v>0</v>
      </c>
      <c r="G110" s="17">
        <v>4</v>
      </c>
      <c r="H110" s="1">
        <v>4</v>
      </c>
      <c r="I110" s="1">
        <v>7</v>
      </c>
    </row>
    <row r="111" spans="1:9" ht="15.75" customHeight="1" x14ac:dyDescent="0.3">
      <c r="A111" s="15" t="s">
        <v>158</v>
      </c>
      <c r="B111" s="23" t="s">
        <v>176</v>
      </c>
      <c r="C111" s="15">
        <v>99</v>
      </c>
      <c r="D111" s="18">
        <v>8.51</v>
      </c>
      <c r="E111" s="15">
        <v>26.5</v>
      </c>
      <c r="F111" s="15">
        <v>0</v>
      </c>
      <c r="G111" s="17">
        <v>4</v>
      </c>
      <c r="H111" s="1">
        <v>9</v>
      </c>
      <c r="I111" s="1">
        <v>9</v>
      </c>
    </row>
    <row r="112" spans="1:9" ht="15.75" customHeight="1" x14ac:dyDescent="0.3">
      <c r="A112" s="15" t="s">
        <v>158</v>
      </c>
      <c r="B112" s="23" t="s">
        <v>176</v>
      </c>
      <c r="C112" s="15">
        <v>99</v>
      </c>
      <c r="D112" s="18">
        <v>8.52</v>
      </c>
      <c r="E112" s="15">
        <v>26.5</v>
      </c>
      <c r="F112" s="15">
        <v>0</v>
      </c>
      <c r="G112" s="17">
        <v>4</v>
      </c>
      <c r="H112" s="1">
        <v>5</v>
      </c>
      <c r="I112" s="1">
        <v>6</v>
      </c>
    </row>
    <row r="113" spans="1:9" ht="15.75" customHeight="1" x14ac:dyDescent="0.3">
      <c r="A113" s="15" t="s">
        <v>158</v>
      </c>
      <c r="B113" s="23" t="s">
        <v>178</v>
      </c>
      <c r="C113" s="15">
        <v>99</v>
      </c>
      <c r="D113" s="18">
        <v>6.93</v>
      </c>
      <c r="E113" s="15">
        <v>23.5</v>
      </c>
      <c r="F113" s="15">
        <v>0</v>
      </c>
      <c r="G113" s="17">
        <v>3</v>
      </c>
      <c r="H113" s="1">
        <v>7</v>
      </c>
      <c r="I113" s="1">
        <v>7</v>
      </c>
    </row>
    <row r="114" spans="1:9" ht="15.75" customHeight="1" x14ac:dyDescent="0.3">
      <c r="A114" s="15" t="s">
        <v>158</v>
      </c>
      <c r="B114" s="23" t="s">
        <v>178</v>
      </c>
      <c r="C114" s="15">
        <v>99</v>
      </c>
      <c r="D114" s="18">
        <v>6.8</v>
      </c>
      <c r="E114" s="15">
        <v>23.5</v>
      </c>
      <c r="F114" s="15">
        <v>0</v>
      </c>
      <c r="G114" s="17">
        <v>3</v>
      </c>
      <c r="H114" s="1">
        <v>1</v>
      </c>
      <c r="I114" s="1">
        <v>1</v>
      </c>
    </row>
    <row r="115" spans="1:9" ht="15.75" customHeight="1" x14ac:dyDescent="0.3">
      <c r="A115" s="15" t="s">
        <v>158</v>
      </c>
      <c r="B115" s="23" t="s">
        <v>200</v>
      </c>
      <c r="C115" s="15">
        <v>89</v>
      </c>
      <c r="D115" s="18">
        <v>2.74</v>
      </c>
      <c r="E115" s="15">
        <v>23.5</v>
      </c>
      <c r="F115" s="15">
        <v>0</v>
      </c>
      <c r="G115" s="17">
        <v>5</v>
      </c>
      <c r="H115" s="1">
        <v>13</v>
      </c>
      <c r="I115" s="1">
        <v>16</v>
      </c>
    </row>
    <row r="116" spans="1:9" ht="15.75" customHeight="1" x14ac:dyDescent="0.3">
      <c r="A116" s="15" t="s">
        <v>158</v>
      </c>
      <c r="B116" s="23" t="s">
        <v>200</v>
      </c>
      <c r="C116" s="15">
        <v>99</v>
      </c>
      <c r="D116" s="18">
        <v>0.32</v>
      </c>
      <c r="E116" s="15">
        <v>21.5</v>
      </c>
      <c r="F116" s="15">
        <v>0</v>
      </c>
      <c r="G116" s="17">
        <v>5</v>
      </c>
      <c r="H116" s="1">
        <v>3</v>
      </c>
      <c r="I116" s="1">
        <v>3</v>
      </c>
    </row>
    <row r="117" spans="1:9" ht="15.75" customHeight="1" x14ac:dyDescent="0.3">
      <c r="A117" s="15" t="s">
        <v>158</v>
      </c>
      <c r="B117" s="23" t="s">
        <v>200</v>
      </c>
      <c r="C117" s="15">
        <v>87</v>
      </c>
      <c r="D117" s="18">
        <v>0.03</v>
      </c>
      <c r="E117" s="15">
        <v>23.2</v>
      </c>
      <c r="F117" s="15">
        <v>0</v>
      </c>
      <c r="G117" s="17">
        <v>5</v>
      </c>
      <c r="H117" s="1">
        <v>3</v>
      </c>
      <c r="I117" s="1">
        <v>3</v>
      </c>
    </row>
    <row r="118" spans="1:9" ht="15.75" customHeight="1" x14ac:dyDescent="0.3">
      <c r="A118" s="15" t="s">
        <v>158</v>
      </c>
      <c r="B118" s="23" t="s">
        <v>200</v>
      </c>
      <c r="C118" s="15">
        <v>85</v>
      </c>
      <c r="D118" s="18">
        <v>0.04</v>
      </c>
      <c r="E118" s="15">
        <v>23.2</v>
      </c>
      <c r="F118" s="15">
        <v>0</v>
      </c>
      <c r="G118" s="17">
        <v>5</v>
      </c>
      <c r="H118" s="1">
        <v>1</v>
      </c>
      <c r="I118" s="1">
        <v>1</v>
      </c>
    </row>
    <row r="119" spans="1:9" ht="15.75" customHeight="1" x14ac:dyDescent="0.3">
      <c r="A119" s="15" t="s">
        <v>158</v>
      </c>
      <c r="B119" s="23" t="s">
        <v>180</v>
      </c>
      <c r="C119" s="15">
        <v>88</v>
      </c>
      <c r="D119" s="18">
        <v>0.69</v>
      </c>
      <c r="E119" s="15">
        <v>23.4</v>
      </c>
      <c r="F119" s="15">
        <v>6</v>
      </c>
      <c r="G119" s="17">
        <v>5</v>
      </c>
      <c r="H119" s="1">
        <v>8</v>
      </c>
      <c r="I119" s="1">
        <v>9</v>
      </c>
    </row>
    <row r="120" spans="1:9" ht="15.75" customHeight="1" x14ac:dyDescent="0.3">
      <c r="A120" s="15" t="s">
        <v>158</v>
      </c>
      <c r="B120" s="23" t="s">
        <v>180</v>
      </c>
      <c r="C120" s="15">
        <v>88</v>
      </c>
      <c r="D120" s="18">
        <v>1.86</v>
      </c>
      <c r="E120" s="15">
        <v>27.2</v>
      </c>
      <c r="F120" s="15">
        <v>0.6</v>
      </c>
      <c r="G120" s="17">
        <v>5</v>
      </c>
      <c r="H120" s="1">
        <v>4</v>
      </c>
      <c r="I120" s="1">
        <v>4</v>
      </c>
    </row>
    <row r="121" spans="1:9" ht="15.75" customHeight="1" x14ac:dyDescent="0.3">
      <c r="A121" s="15" t="s">
        <v>158</v>
      </c>
      <c r="B121" s="23" t="s">
        <v>181</v>
      </c>
      <c r="C121" s="15">
        <v>80</v>
      </c>
      <c r="D121" s="18">
        <v>51.6</v>
      </c>
      <c r="E121" s="15">
        <v>28.7</v>
      </c>
      <c r="F121" s="15">
        <v>2.5</v>
      </c>
      <c r="G121" s="17">
        <v>3</v>
      </c>
      <c r="H121" s="1">
        <v>5</v>
      </c>
      <c r="I121" s="1">
        <v>5</v>
      </c>
    </row>
    <row r="122" spans="1:9" ht="15.75" customHeight="1" x14ac:dyDescent="0.3">
      <c r="A122" s="15" t="s">
        <v>158</v>
      </c>
      <c r="B122" s="23" t="s">
        <v>198</v>
      </c>
      <c r="C122" s="15">
        <v>71</v>
      </c>
      <c r="D122" s="18">
        <v>7.17</v>
      </c>
      <c r="E122" s="15">
        <v>26.1</v>
      </c>
      <c r="F122" s="15">
        <v>1.9</v>
      </c>
      <c r="G122" s="17">
        <v>3</v>
      </c>
      <c r="H122" s="1">
        <v>9</v>
      </c>
      <c r="I122" s="1">
        <v>11</v>
      </c>
    </row>
    <row r="123" spans="1:9" ht="15.75" customHeight="1" x14ac:dyDescent="0.3">
      <c r="A123" s="15" t="s">
        <v>158</v>
      </c>
      <c r="B123" s="23" t="s">
        <v>198</v>
      </c>
      <c r="C123" s="15">
        <v>74</v>
      </c>
      <c r="D123" s="18">
        <v>7.5</v>
      </c>
      <c r="E123" s="15">
        <v>26</v>
      </c>
      <c r="F123" s="15">
        <v>0</v>
      </c>
      <c r="G123" s="17">
        <v>3</v>
      </c>
      <c r="H123" s="1">
        <v>1</v>
      </c>
      <c r="I123" s="1">
        <v>1</v>
      </c>
    </row>
    <row r="124" spans="1:9" ht="15.75" customHeight="1" x14ac:dyDescent="0.3">
      <c r="A124" s="15" t="s">
        <v>158</v>
      </c>
      <c r="B124" s="23" t="s">
        <v>198</v>
      </c>
      <c r="C124" s="15">
        <v>54</v>
      </c>
      <c r="D124" s="18">
        <v>10.85</v>
      </c>
      <c r="E124" s="15">
        <v>28.3</v>
      </c>
      <c r="F124" s="15">
        <v>1.45</v>
      </c>
      <c r="G124" s="17">
        <v>3</v>
      </c>
      <c r="H124" s="1">
        <v>4</v>
      </c>
      <c r="I124" s="1">
        <v>4</v>
      </c>
    </row>
    <row r="125" spans="1:9" ht="15.75" customHeight="1" x14ac:dyDescent="0.3">
      <c r="A125" s="15" t="s">
        <v>158</v>
      </c>
      <c r="B125" s="23" t="s">
        <v>199</v>
      </c>
      <c r="C125" s="1">
        <v>72</v>
      </c>
      <c r="D125" s="1">
        <v>17.850000000000001</v>
      </c>
      <c r="E125" s="1">
        <v>26.9</v>
      </c>
      <c r="F125" s="1">
        <v>1.6</v>
      </c>
      <c r="G125" s="17">
        <v>2</v>
      </c>
      <c r="H125" s="1">
        <v>2</v>
      </c>
      <c r="I125" s="1">
        <v>3</v>
      </c>
    </row>
    <row r="126" spans="1:9" ht="15.75" customHeight="1" x14ac:dyDescent="0.3">
      <c r="A126" s="15" t="s">
        <v>158</v>
      </c>
      <c r="B126" s="23" t="s">
        <v>199</v>
      </c>
      <c r="C126" s="15">
        <v>66</v>
      </c>
      <c r="D126" s="18">
        <v>6.27</v>
      </c>
      <c r="E126" s="15">
        <v>26.2</v>
      </c>
      <c r="F126" s="15">
        <v>0.8</v>
      </c>
      <c r="G126" s="17">
        <v>2</v>
      </c>
      <c r="H126" s="1">
        <v>1</v>
      </c>
      <c r="I126" s="1">
        <v>1</v>
      </c>
    </row>
    <row r="127" spans="1:9" ht="15.75" customHeight="1" x14ac:dyDescent="0.3">
      <c r="A127" s="15" t="s">
        <v>158</v>
      </c>
      <c r="B127" s="23" t="s">
        <v>183</v>
      </c>
      <c r="C127" s="15">
        <v>77</v>
      </c>
      <c r="D127" s="18">
        <v>19</v>
      </c>
      <c r="E127" s="15">
        <v>23.9</v>
      </c>
      <c r="F127" s="15">
        <v>0</v>
      </c>
      <c r="G127" s="17">
        <v>3</v>
      </c>
      <c r="H127" s="1">
        <v>4</v>
      </c>
      <c r="I127" s="1">
        <v>13</v>
      </c>
    </row>
    <row r="128" spans="1:9" ht="15.75" customHeight="1" x14ac:dyDescent="0.3">
      <c r="A128" s="15" t="s">
        <v>158</v>
      </c>
      <c r="B128" s="23" t="s">
        <v>183</v>
      </c>
      <c r="C128" s="15">
        <v>99</v>
      </c>
      <c r="D128" s="18">
        <v>29.59</v>
      </c>
      <c r="E128" s="15">
        <v>24.9</v>
      </c>
      <c r="F128" s="15">
        <v>0.65</v>
      </c>
      <c r="G128" s="17">
        <v>3</v>
      </c>
      <c r="H128" s="1">
        <v>4</v>
      </c>
      <c r="I128" s="1">
        <v>7</v>
      </c>
    </row>
    <row r="129" spans="1:9" ht="15.75" customHeight="1" x14ac:dyDescent="0.3">
      <c r="A129" s="15" t="s">
        <v>158</v>
      </c>
      <c r="B129" s="23" t="s">
        <v>183</v>
      </c>
      <c r="C129" s="15">
        <v>74</v>
      </c>
      <c r="D129" s="18">
        <v>1.52</v>
      </c>
      <c r="E129" s="15">
        <v>19.829999999999998</v>
      </c>
      <c r="F129" s="15">
        <v>0.85</v>
      </c>
      <c r="G129" s="17">
        <v>3</v>
      </c>
      <c r="H129" s="1">
        <v>2</v>
      </c>
      <c r="I129" s="1">
        <v>2</v>
      </c>
    </row>
    <row r="130" spans="1:9" ht="15.75" customHeight="1" x14ac:dyDescent="0.3">
      <c r="A130" s="15" t="s">
        <v>158</v>
      </c>
      <c r="B130" s="23" t="s">
        <v>185</v>
      </c>
      <c r="C130" s="15">
        <v>99</v>
      </c>
      <c r="D130" s="18">
        <v>27.94</v>
      </c>
      <c r="E130" s="15">
        <v>22.3</v>
      </c>
      <c r="F130" s="15">
        <v>1.2</v>
      </c>
      <c r="G130" s="17">
        <v>1</v>
      </c>
      <c r="H130" s="1">
        <v>5</v>
      </c>
      <c r="I130" s="1">
        <v>15</v>
      </c>
    </row>
    <row r="131" spans="1:9" ht="15.75" customHeight="1" x14ac:dyDescent="0.3">
      <c r="A131" s="15" t="s">
        <v>158</v>
      </c>
      <c r="B131" s="23" t="s">
        <v>185</v>
      </c>
      <c r="C131" s="15">
        <v>80</v>
      </c>
      <c r="D131" s="18">
        <v>6.81</v>
      </c>
      <c r="E131" s="15">
        <v>19.03</v>
      </c>
      <c r="F131" s="15">
        <v>1.8</v>
      </c>
      <c r="G131" s="17">
        <v>1</v>
      </c>
      <c r="H131" s="1">
        <v>2</v>
      </c>
      <c r="I131" s="1">
        <v>4</v>
      </c>
    </row>
    <row r="132" spans="1:9" ht="15.75" customHeight="1" x14ac:dyDescent="0.3">
      <c r="A132" s="15" t="s">
        <v>158</v>
      </c>
      <c r="B132" s="23" t="s">
        <v>186</v>
      </c>
      <c r="C132" s="15">
        <v>95</v>
      </c>
      <c r="D132" s="18">
        <v>0.4</v>
      </c>
      <c r="E132" s="15">
        <v>17.100000000000001</v>
      </c>
      <c r="F132" s="15">
        <v>0</v>
      </c>
      <c r="G132" s="17">
        <v>6</v>
      </c>
      <c r="H132" s="1">
        <v>10</v>
      </c>
      <c r="I132" s="1">
        <v>33</v>
      </c>
    </row>
    <row r="133" spans="1:9" ht="15.75" customHeight="1" x14ac:dyDescent="0.3">
      <c r="A133" s="15" t="s">
        <v>158</v>
      </c>
      <c r="B133" s="23" t="s">
        <v>186</v>
      </c>
      <c r="C133" s="15">
        <v>95</v>
      </c>
      <c r="D133" s="18">
        <v>0.42</v>
      </c>
      <c r="E133" s="15">
        <v>17.2</v>
      </c>
      <c r="F133" s="15">
        <v>0</v>
      </c>
      <c r="G133" s="17">
        <v>6</v>
      </c>
      <c r="H133" s="1">
        <v>1</v>
      </c>
      <c r="I133" s="1">
        <v>1</v>
      </c>
    </row>
    <row r="134" spans="1:9" ht="15.75" customHeight="1" x14ac:dyDescent="0.3">
      <c r="A134" s="15" t="s">
        <v>158</v>
      </c>
      <c r="B134" s="23" t="s">
        <v>186</v>
      </c>
      <c r="C134" s="15">
        <v>95</v>
      </c>
      <c r="D134" s="18">
        <v>0.41</v>
      </c>
      <c r="E134" s="15">
        <v>17.100000000000001</v>
      </c>
      <c r="F134" s="15">
        <v>0</v>
      </c>
      <c r="G134" s="17">
        <v>6</v>
      </c>
      <c r="H134" s="1">
        <v>8</v>
      </c>
      <c r="I134" s="1">
        <v>11</v>
      </c>
    </row>
    <row r="135" spans="1:9" ht="15.75" customHeight="1" x14ac:dyDescent="0.3">
      <c r="A135" s="15" t="s">
        <v>158</v>
      </c>
      <c r="B135" s="23" t="s">
        <v>186</v>
      </c>
      <c r="C135" s="15">
        <v>87</v>
      </c>
      <c r="D135" s="18">
        <v>0.16</v>
      </c>
      <c r="E135" s="15">
        <v>20.2</v>
      </c>
      <c r="F135" s="15">
        <v>0</v>
      </c>
      <c r="G135" s="17">
        <v>6</v>
      </c>
      <c r="H135" s="1">
        <v>6</v>
      </c>
      <c r="I135" s="1">
        <v>6</v>
      </c>
    </row>
    <row r="136" spans="1:9" ht="15.75" customHeight="1" x14ac:dyDescent="0.3">
      <c r="A136" s="15" t="s">
        <v>164</v>
      </c>
      <c r="B136" s="23" t="s">
        <v>176</v>
      </c>
      <c r="C136" s="15">
        <v>89</v>
      </c>
      <c r="D136" s="18">
        <v>1.36</v>
      </c>
      <c r="E136" s="15">
        <v>23.18</v>
      </c>
      <c r="F136" s="15">
        <v>0</v>
      </c>
      <c r="G136" s="17">
        <v>4</v>
      </c>
      <c r="H136" s="1">
        <v>8</v>
      </c>
      <c r="I136" s="1">
        <v>11</v>
      </c>
    </row>
    <row r="137" spans="1:9" ht="15.75" customHeight="1" x14ac:dyDescent="0.3">
      <c r="A137" s="15" t="s">
        <v>164</v>
      </c>
      <c r="B137" s="23" t="s">
        <v>177</v>
      </c>
      <c r="C137" s="15">
        <v>94</v>
      </c>
      <c r="D137" s="18">
        <v>7.68</v>
      </c>
      <c r="E137" s="15">
        <v>26.7</v>
      </c>
      <c r="F137" s="15">
        <v>0.75</v>
      </c>
      <c r="G137" s="17">
        <v>3</v>
      </c>
      <c r="H137" s="1">
        <v>6</v>
      </c>
      <c r="I137" s="1">
        <v>8</v>
      </c>
    </row>
    <row r="138" spans="1:9" ht="15.75" customHeight="1" x14ac:dyDescent="0.3">
      <c r="A138" s="15" t="s">
        <v>164</v>
      </c>
      <c r="B138" s="23" t="s">
        <v>177</v>
      </c>
      <c r="C138" s="15">
        <v>90</v>
      </c>
      <c r="D138" s="18">
        <v>1.5</v>
      </c>
      <c r="E138" s="15">
        <v>23.4</v>
      </c>
      <c r="F138" s="15">
        <v>0</v>
      </c>
      <c r="G138" s="17">
        <v>3</v>
      </c>
      <c r="H138" s="1">
        <v>1</v>
      </c>
      <c r="I138" s="1">
        <v>1</v>
      </c>
    </row>
    <row r="139" spans="1:9" ht="15.75" customHeight="1" x14ac:dyDescent="0.3">
      <c r="A139" s="15" t="s">
        <v>164</v>
      </c>
      <c r="B139" s="23" t="s">
        <v>200</v>
      </c>
      <c r="C139" s="15">
        <v>91</v>
      </c>
      <c r="D139" s="18">
        <v>1.1499999999999999</v>
      </c>
      <c r="E139" s="15">
        <v>24.4</v>
      </c>
      <c r="F139" s="15">
        <v>0</v>
      </c>
      <c r="G139" s="17">
        <v>5</v>
      </c>
      <c r="H139" s="1">
        <v>8</v>
      </c>
      <c r="I139" s="1">
        <v>8</v>
      </c>
    </row>
    <row r="140" spans="1:9" ht="15.75" customHeight="1" x14ac:dyDescent="0.3">
      <c r="A140" s="15" t="s">
        <v>164</v>
      </c>
      <c r="B140" s="23" t="s">
        <v>200</v>
      </c>
      <c r="C140" s="15">
        <v>94</v>
      </c>
      <c r="D140" s="18">
        <v>1.2</v>
      </c>
      <c r="E140" s="15">
        <v>24.4</v>
      </c>
      <c r="F140" s="15">
        <v>0</v>
      </c>
      <c r="G140" s="17">
        <v>5</v>
      </c>
      <c r="H140" s="1">
        <v>1</v>
      </c>
      <c r="I140" s="1">
        <v>1</v>
      </c>
    </row>
    <row r="141" spans="1:9" ht="15.75" customHeight="1" x14ac:dyDescent="0.3">
      <c r="A141" s="15" t="s">
        <v>164</v>
      </c>
      <c r="B141" s="23" t="s">
        <v>200</v>
      </c>
      <c r="C141" s="15">
        <v>85</v>
      </c>
      <c r="D141" s="18">
        <v>1.3</v>
      </c>
      <c r="E141" s="15">
        <v>24.4</v>
      </c>
      <c r="F141" s="15">
        <v>0</v>
      </c>
      <c r="G141" s="17">
        <v>5</v>
      </c>
      <c r="H141" s="1">
        <v>8</v>
      </c>
      <c r="I141" s="1">
        <v>8</v>
      </c>
    </row>
    <row r="142" spans="1:9" ht="15.75" customHeight="1" x14ac:dyDescent="0.3">
      <c r="A142" s="15" t="s">
        <v>164</v>
      </c>
      <c r="B142" s="23" t="s">
        <v>180</v>
      </c>
      <c r="C142" s="15">
        <v>91</v>
      </c>
      <c r="D142" s="18">
        <v>0.57999999999999996</v>
      </c>
      <c r="E142" s="15">
        <v>26.4</v>
      </c>
      <c r="F142" s="15">
        <v>0</v>
      </c>
      <c r="G142" s="17">
        <v>5</v>
      </c>
      <c r="H142" s="1">
        <v>10</v>
      </c>
      <c r="I142" s="1">
        <v>10</v>
      </c>
    </row>
    <row r="143" spans="1:9" ht="15.75" customHeight="1" x14ac:dyDescent="0.3">
      <c r="A143" s="15" t="s">
        <v>164</v>
      </c>
      <c r="B143" s="23" t="s">
        <v>180</v>
      </c>
      <c r="C143" s="15">
        <v>91</v>
      </c>
      <c r="D143" s="18">
        <v>0.81</v>
      </c>
      <c r="E143" s="15">
        <v>23.28</v>
      </c>
      <c r="F143" s="15">
        <v>0</v>
      </c>
      <c r="G143" s="17">
        <v>5</v>
      </c>
      <c r="H143" s="1">
        <v>5</v>
      </c>
      <c r="I143" s="1">
        <v>5</v>
      </c>
    </row>
    <row r="144" spans="1:9" ht="15.75" customHeight="1" x14ac:dyDescent="0.3">
      <c r="A144" s="15" t="s">
        <v>164</v>
      </c>
      <c r="B144" s="23" t="s">
        <v>181</v>
      </c>
      <c r="C144" s="15">
        <v>91</v>
      </c>
      <c r="D144" s="18">
        <v>0.81</v>
      </c>
      <c r="E144" s="15">
        <v>23.3</v>
      </c>
      <c r="F144" s="15">
        <v>0</v>
      </c>
      <c r="G144" s="17">
        <v>3</v>
      </c>
      <c r="H144" s="1">
        <v>1</v>
      </c>
      <c r="I144" s="1">
        <v>2</v>
      </c>
    </row>
    <row r="145" spans="1:9" ht="15.75" customHeight="1" x14ac:dyDescent="0.3">
      <c r="A145" s="15" t="s">
        <v>164</v>
      </c>
      <c r="B145" s="23" t="s">
        <v>181</v>
      </c>
      <c r="C145" s="15">
        <v>99</v>
      </c>
      <c r="D145" s="18">
        <v>85.6</v>
      </c>
      <c r="E145" s="15">
        <v>28.5</v>
      </c>
      <c r="F145" s="15">
        <v>1.2</v>
      </c>
      <c r="G145" s="17">
        <v>3</v>
      </c>
      <c r="H145" s="1">
        <v>1</v>
      </c>
      <c r="I145" s="1">
        <v>1</v>
      </c>
    </row>
    <row r="146" spans="1:9" ht="15.75" customHeight="1" x14ac:dyDescent="0.3">
      <c r="A146" s="15" t="s">
        <v>164</v>
      </c>
      <c r="B146" s="23" t="s">
        <v>181</v>
      </c>
      <c r="C146" s="15">
        <v>91</v>
      </c>
      <c r="D146" s="18">
        <v>13.15</v>
      </c>
      <c r="E146" s="15">
        <v>26.13</v>
      </c>
      <c r="F146" s="15">
        <v>0</v>
      </c>
      <c r="G146" s="17">
        <v>3</v>
      </c>
      <c r="H146" s="1">
        <v>3</v>
      </c>
      <c r="I146" s="1">
        <v>3</v>
      </c>
    </row>
    <row r="147" spans="1:9" ht="15.75" customHeight="1" x14ac:dyDescent="0.3">
      <c r="A147" s="15" t="s">
        <v>164</v>
      </c>
      <c r="B147" s="23" t="s">
        <v>198</v>
      </c>
      <c r="C147" s="15">
        <v>75</v>
      </c>
      <c r="D147" s="18">
        <v>17.2</v>
      </c>
      <c r="E147" s="15">
        <v>28</v>
      </c>
      <c r="F147" s="15">
        <v>0</v>
      </c>
      <c r="G147" s="17">
        <v>3</v>
      </c>
      <c r="H147" s="1">
        <v>2</v>
      </c>
      <c r="I147" s="1">
        <v>2</v>
      </c>
    </row>
    <row r="148" spans="1:9" s="44" customFormat="1" ht="15.75" customHeight="1" x14ac:dyDescent="0.3">
      <c r="A148" s="39" t="s">
        <v>164</v>
      </c>
      <c r="B148" s="40" t="s">
        <v>198</v>
      </c>
      <c r="C148" s="39">
        <v>93</v>
      </c>
      <c r="D148" s="42">
        <v>14.5</v>
      </c>
      <c r="E148" s="39">
        <v>28.73</v>
      </c>
      <c r="F148" s="39">
        <v>0</v>
      </c>
      <c r="G148" s="43">
        <v>3</v>
      </c>
      <c r="H148" s="44">
        <v>6</v>
      </c>
      <c r="I148" s="44">
        <v>9</v>
      </c>
    </row>
    <row r="149" spans="1:9" ht="15.75" customHeight="1" x14ac:dyDescent="0.3">
      <c r="A149" s="15" t="s">
        <v>164</v>
      </c>
      <c r="B149" s="23" t="s">
        <v>198</v>
      </c>
      <c r="C149" s="15">
        <v>74</v>
      </c>
      <c r="D149" s="18">
        <v>18</v>
      </c>
      <c r="E149" s="15">
        <v>28</v>
      </c>
      <c r="F149" s="15">
        <v>0</v>
      </c>
      <c r="G149" s="17">
        <v>3</v>
      </c>
      <c r="H149" s="1">
        <v>2</v>
      </c>
      <c r="I149" s="1">
        <v>2</v>
      </c>
    </row>
    <row r="150" spans="1:9" ht="15.75" customHeight="1" x14ac:dyDescent="0.3">
      <c r="A150" s="15" t="s">
        <v>164</v>
      </c>
      <c r="B150" s="23" t="s">
        <v>199</v>
      </c>
      <c r="C150" s="15">
        <v>92</v>
      </c>
      <c r="D150" s="18">
        <v>97.97</v>
      </c>
      <c r="E150" s="15">
        <v>28.73</v>
      </c>
      <c r="F150" s="15">
        <v>0.97</v>
      </c>
      <c r="G150" s="17">
        <v>2</v>
      </c>
      <c r="H150" s="1">
        <v>0</v>
      </c>
      <c r="I150" s="1">
        <v>0</v>
      </c>
    </row>
    <row r="151" spans="1:9" ht="15.75" customHeight="1" x14ac:dyDescent="0.3">
      <c r="A151" s="15" t="s">
        <v>164</v>
      </c>
      <c r="B151" s="23" t="s">
        <v>199</v>
      </c>
      <c r="C151" s="15">
        <v>86.5</v>
      </c>
      <c r="D151" s="18">
        <v>33.18</v>
      </c>
      <c r="E151" s="15">
        <v>25.7</v>
      </c>
      <c r="F151" s="15">
        <v>1.2</v>
      </c>
      <c r="G151" s="17">
        <v>2</v>
      </c>
      <c r="H151" s="1">
        <v>3</v>
      </c>
      <c r="I151" s="1">
        <v>6</v>
      </c>
    </row>
    <row r="152" spans="1:9" ht="15.75" customHeight="1" x14ac:dyDescent="0.3">
      <c r="A152" s="15" t="s">
        <v>164</v>
      </c>
      <c r="B152" s="23" t="s">
        <v>199</v>
      </c>
      <c r="C152" s="15">
        <v>70</v>
      </c>
      <c r="D152" s="18">
        <v>5.91</v>
      </c>
      <c r="E152" s="15">
        <v>20.5</v>
      </c>
      <c r="F152" s="15">
        <v>1.5</v>
      </c>
      <c r="G152" s="17">
        <v>2</v>
      </c>
      <c r="H152" s="1">
        <v>3</v>
      </c>
      <c r="I152" s="1">
        <v>3</v>
      </c>
    </row>
    <row r="153" spans="1:9" ht="15.75" customHeight="1" x14ac:dyDescent="0.3">
      <c r="A153" s="15" t="s">
        <v>164</v>
      </c>
      <c r="B153" s="23" t="s">
        <v>183</v>
      </c>
      <c r="C153" s="15">
        <v>89</v>
      </c>
      <c r="D153" s="18">
        <v>7.61</v>
      </c>
      <c r="E153" s="15">
        <v>23.8</v>
      </c>
      <c r="F153" s="15">
        <v>0.75</v>
      </c>
      <c r="G153" s="17">
        <v>3</v>
      </c>
      <c r="H153" s="1">
        <v>5</v>
      </c>
      <c r="I153" s="1">
        <v>10</v>
      </c>
    </row>
    <row r="154" spans="1:9" ht="15.75" customHeight="1" x14ac:dyDescent="0.3">
      <c r="A154" s="15" t="s">
        <v>164</v>
      </c>
      <c r="B154" s="23" t="s">
        <v>183</v>
      </c>
      <c r="C154" s="15">
        <v>81</v>
      </c>
      <c r="D154" s="18">
        <v>5.23</v>
      </c>
      <c r="E154" s="15">
        <v>27.03</v>
      </c>
      <c r="F154" s="15">
        <v>0</v>
      </c>
      <c r="G154" s="17">
        <v>3</v>
      </c>
      <c r="H154" s="1">
        <v>4</v>
      </c>
      <c r="I154" s="1">
        <v>5</v>
      </c>
    </row>
    <row r="155" spans="1:9" ht="15.75" customHeight="1" x14ac:dyDescent="0.3">
      <c r="A155" s="15" t="s">
        <v>164</v>
      </c>
      <c r="B155" s="23" t="s">
        <v>185</v>
      </c>
      <c r="C155" s="15">
        <v>88</v>
      </c>
      <c r="D155" s="18">
        <v>24.87</v>
      </c>
      <c r="E155" s="15">
        <v>23.25</v>
      </c>
      <c r="F155" s="15">
        <v>0.45</v>
      </c>
      <c r="G155" s="17">
        <v>1</v>
      </c>
      <c r="H155" s="1">
        <v>1</v>
      </c>
      <c r="I155" s="1">
        <v>1</v>
      </c>
    </row>
    <row r="156" spans="1:9" ht="15.75" customHeight="1" x14ac:dyDescent="0.3">
      <c r="A156" s="15" t="s">
        <v>164</v>
      </c>
      <c r="B156" s="23" t="s">
        <v>185</v>
      </c>
      <c r="C156" s="15">
        <v>72</v>
      </c>
      <c r="D156" s="18">
        <v>4.6399999999999997</v>
      </c>
      <c r="E156" s="15">
        <v>24.9</v>
      </c>
      <c r="F156" s="15">
        <v>3.17</v>
      </c>
      <c r="G156" s="17">
        <v>1</v>
      </c>
      <c r="H156" s="1">
        <v>2</v>
      </c>
      <c r="I156" s="1">
        <v>4</v>
      </c>
    </row>
    <row r="157" spans="1:9" ht="15.75" customHeight="1" x14ac:dyDescent="0.3">
      <c r="A157" s="15" t="s">
        <v>164</v>
      </c>
      <c r="B157" s="23" t="s">
        <v>186</v>
      </c>
      <c r="C157" s="15">
        <v>86</v>
      </c>
      <c r="D157" s="18">
        <v>0.14000000000000001</v>
      </c>
      <c r="E157" s="15">
        <v>18.55</v>
      </c>
      <c r="F157" s="15">
        <v>0</v>
      </c>
      <c r="G157" s="17">
        <v>6</v>
      </c>
      <c r="H157" s="1">
        <v>5</v>
      </c>
      <c r="I157" s="1">
        <v>5</v>
      </c>
    </row>
    <row r="158" spans="1:9" ht="15.75" customHeight="1" x14ac:dyDescent="0.3">
      <c r="A158" s="15" t="s">
        <v>164</v>
      </c>
      <c r="B158" s="23" t="s">
        <v>186</v>
      </c>
      <c r="C158" s="15">
        <v>87</v>
      </c>
      <c r="D158" s="18">
        <v>0.15</v>
      </c>
      <c r="E158" s="15">
        <v>15.2</v>
      </c>
      <c r="F158" s="15">
        <v>0</v>
      </c>
      <c r="G158" s="17">
        <v>6</v>
      </c>
      <c r="H158" s="1">
        <v>3</v>
      </c>
      <c r="I158" s="1">
        <v>3</v>
      </c>
    </row>
    <row r="159" spans="1:9" ht="15.75" customHeight="1" x14ac:dyDescent="0.3">
      <c r="A159" s="15" t="s">
        <v>164</v>
      </c>
      <c r="B159" s="23" t="s">
        <v>186</v>
      </c>
      <c r="C159" s="15">
        <v>83</v>
      </c>
      <c r="D159" s="18">
        <v>0.20499999999999999</v>
      </c>
      <c r="E159" s="15">
        <v>24.8</v>
      </c>
      <c r="F159" s="15">
        <v>0</v>
      </c>
      <c r="G159" s="17">
        <v>6</v>
      </c>
      <c r="H159" s="1">
        <v>0</v>
      </c>
      <c r="I159" s="1">
        <v>0</v>
      </c>
    </row>
    <row r="160" spans="1:9" ht="15.75" customHeight="1" x14ac:dyDescent="0.3">
      <c r="A160" s="15" t="s">
        <v>168</v>
      </c>
      <c r="B160" s="15" t="s">
        <v>176</v>
      </c>
      <c r="C160" s="15">
        <v>92</v>
      </c>
      <c r="D160" s="18">
        <v>0.14000000000000001</v>
      </c>
      <c r="E160" s="15">
        <v>22.5</v>
      </c>
      <c r="F160" s="15">
        <v>0</v>
      </c>
      <c r="G160" s="17">
        <v>4</v>
      </c>
      <c r="H160" s="1">
        <v>6</v>
      </c>
      <c r="I160" s="1">
        <v>11</v>
      </c>
    </row>
    <row r="161" spans="1:9" ht="15.75" customHeight="1" x14ac:dyDescent="0.3">
      <c r="A161" s="15" t="s">
        <v>168</v>
      </c>
      <c r="B161" s="15" t="s">
        <v>176</v>
      </c>
      <c r="C161" s="15">
        <v>92</v>
      </c>
      <c r="D161" s="18">
        <v>0.14000000000000001</v>
      </c>
      <c r="E161" s="15">
        <v>22.5</v>
      </c>
      <c r="F161" s="15">
        <v>0</v>
      </c>
      <c r="G161" s="17">
        <v>4</v>
      </c>
      <c r="H161" s="1">
        <v>1</v>
      </c>
      <c r="I161" s="1">
        <v>2</v>
      </c>
    </row>
    <row r="162" spans="1:9" ht="15.75" customHeight="1" x14ac:dyDescent="0.3">
      <c r="A162" s="15" t="s">
        <v>168</v>
      </c>
      <c r="B162" s="15" t="s">
        <v>177</v>
      </c>
      <c r="C162" s="15">
        <v>97</v>
      </c>
      <c r="D162" s="18">
        <v>4.5999999999999996</v>
      </c>
      <c r="E162" s="15">
        <v>24.3</v>
      </c>
      <c r="F162" s="15">
        <v>0</v>
      </c>
      <c r="G162" s="17">
        <v>3</v>
      </c>
      <c r="H162" s="1">
        <v>17</v>
      </c>
      <c r="I162" s="1">
        <v>24</v>
      </c>
    </row>
    <row r="163" spans="1:9" ht="15.75" customHeight="1" x14ac:dyDescent="0.3">
      <c r="A163" s="15" t="s">
        <v>168</v>
      </c>
      <c r="B163" s="15" t="s">
        <v>200</v>
      </c>
      <c r="C163" s="15">
        <v>99</v>
      </c>
      <c r="D163" s="18">
        <v>24.2</v>
      </c>
      <c r="E163" s="15">
        <v>26.1</v>
      </c>
      <c r="F163" s="15">
        <v>0</v>
      </c>
      <c r="G163" s="17">
        <v>5</v>
      </c>
      <c r="H163" s="1">
        <v>1</v>
      </c>
      <c r="I163" s="1">
        <v>1</v>
      </c>
    </row>
    <row r="164" spans="1:9" ht="15.75" customHeight="1" x14ac:dyDescent="0.3">
      <c r="A164" s="15" t="s">
        <v>168</v>
      </c>
      <c r="B164" s="15" t="s">
        <v>200</v>
      </c>
      <c r="C164" s="15">
        <v>99</v>
      </c>
      <c r="D164" s="18">
        <v>24.2</v>
      </c>
      <c r="E164" s="15">
        <v>26.1</v>
      </c>
      <c r="F164" s="15">
        <v>0</v>
      </c>
      <c r="G164" s="17">
        <v>5</v>
      </c>
      <c r="H164" s="1">
        <v>11</v>
      </c>
      <c r="I164" s="1">
        <v>11</v>
      </c>
    </row>
    <row r="165" spans="1:9" ht="15.75" customHeight="1" x14ac:dyDescent="0.3">
      <c r="A165" s="15" t="s">
        <v>168</v>
      </c>
      <c r="B165" s="15" t="s">
        <v>200</v>
      </c>
      <c r="C165" s="15">
        <v>84</v>
      </c>
      <c r="D165" s="18">
        <v>0.17</v>
      </c>
      <c r="E165" s="15">
        <v>24</v>
      </c>
      <c r="F165" s="15">
        <v>0</v>
      </c>
      <c r="G165" s="17">
        <v>5</v>
      </c>
      <c r="H165" s="1">
        <v>2</v>
      </c>
      <c r="I165" s="1">
        <v>2</v>
      </c>
    </row>
    <row r="166" spans="1:9" ht="15.75" customHeight="1" x14ac:dyDescent="0.3">
      <c r="A166" s="15" t="s">
        <v>168</v>
      </c>
      <c r="B166" s="15" t="s">
        <v>180</v>
      </c>
      <c r="C166" s="15">
        <v>97</v>
      </c>
      <c r="D166" s="18">
        <v>1.08</v>
      </c>
      <c r="E166" s="15">
        <v>25.4</v>
      </c>
      <c r="F166" s="15">
        <v>0</v>
      </c>
      <c r="G166" s="17">
        <v>5</v>
      </c>
      <c r="H166" s="1">
        <v>6</v>
      </c>
      <c r="I166" s="1">
        <v>8</v>
      </c>
    </row>
    <row r="167" spans="1:9" ht="15.75" customHeight="1" x14ac:dyDescent="0.3">
      <c r="A167" s="15" t="s">
        <v>168</v>
      </c>
      <c r="B167" s="15" t="s">
        <v>180</v>
      </c>
      <c r="C167" s="15">
        <v>97</v>
      </c>
      <c r="D167" s="18">
        <v>1.08</v>
      </c>
      <c r="E167" s="15">
        <v>25.4</v>
      </c>
      <c r="F167" s="15">
        <v>0</v>
      </c>
      <c r="G167" s="17">
        <v>5</v>
      </c>
      <c r="H167" s="1">
        <v>9</v>
      </c>
      <c r="I167" s="1">
        <v>9</v>
      </c>
    </row>
    <row r="168" spans="1:9" ht="15.75" customHeight="1" x14ac:dyDescent="0.3">
      <c r="A168" s="15" t="s">
        <v>168</v>
      </c>
      <c r="B168" s="1" t="s">
        <v>180</v>
      </c>
      <c r="C168" s="1">
        <v>80</v>
      </c>
      <c r="D168" s="46">
        <v>0.04</v>
      </c>
      <c r="E168" s="1">
        <v>25.3</v>
      </c>
      <c r="F168" s="1">
        <v>0</v>
      </c>
      <c r="G168" s="2">
        <v>5</v>
      </c>
      <c r="H168" s="1">
        <v>0</v>
      </c>
      <c r="I168" s="1">
        <v>0</v>
      </c>
    </row>
    <row r="169" spans="1:9" ht="15.75" customHeight="1" x14ac:dyDescent="0.3">
      <c r="A169" s="15" t="s">
        <v>168</v>
      </c>
      <c r="B169" s="1" t="s">
        <v>181</v>
      </c>
      <c r="C169" s="1">
        <v>87</v>
      </c>
      <c r="D169" s="46">
        <v>9.8000000000000007</v>
      </c>
      <c r="E169" s="1">
        <v>34.5</v>
      </c>
      <c r="F169" s="1">
        <v>0</v>
      </c>
      <c r="G169" s="2">
        <v>3</v>
      </c>
      <c r="H169" s="1">
        <v>4</v>
      </c>
      <c r="I169" s="1">
        <v>4</v>
      </c>
    </row>
    <row r="170" spans="1:9" ht="15.75" customHeight="1" x14ac:dyDescent="0.3">
      <c r="A170" s="15" t="s">
        <v>168</v>
      </c>
      <c r="B170" s="1" t="s">
        <v>181</v>
      </c>
      <c r="C170" s="1">
        <v>87</v>
      </c>
      <c r="D170" s="46">
        <v>9.8000000000000007</v>
      </c>
      <c r="E170" s="1">
        <v>34.5</v>
      </c>
      <c r="F170" s="1">
        <v>0</v>
      </c>
      <c r="G170" s="2">
        <v>3</v>
      </c>
      <c r="H170" s="1">
        <v>3</v>
      </c>
      <c r="I170" s="1">
        <v>3</v>
      </c>
    </row>
    <row r="171" spans="1:9" ht="15.75" customHeight="1" x14ac:dyDescent="0.3">
      <c r="A171" s="15" t="s">
        <v>168</v>
      </c>
      <c r="B171" s="1" t="s">
        <v>181</v>
      </c>
      <c r="C171" s="1">
        <v>80</v>
      </c>
      <c r="D171" s="46">
        <v>1.5</v>
      </c>
      <c r="E171" s="1">
        <v>26.9</v>
      </c>
      <c r="F171" s="1">
        <v>0</v>
      </c>
      <c r="G171" s="2">
        <v>3</v>
      </c>
      <c r="H171" s="1">
        <v>3</v>
      </c>
      <c r="I171" s="1">
        <v>4</v>
      </c>
    </row>
    <row r="172" spans="1:9" ht="15.75" customHeight="1" x14ac:dyDescent="0.3">
      <c r="A172" s="15" t="s">
        <v>168</v>
      </c>
      <c r="B172" s="1" t="s">
        <v>198</v>
      </c>
      <c r="C172" s="1">
        <v>81</v>
      </c>
      <c r="D172" s="46">
        <v>36.6</v>
      </c>
      <c r="E172" s="1">
        <v>31.4</v>
      </c>
      <c r="F172" s="1">
        <v>0.8</v>
      </c>
      <c r="G172" s="2">
        <v>3</v>
      </c>
      <c r="H172" s="1">
        <v>7</v>
      </c>
      <c r="I172" s="1">
        <v>7</v>
      </c>
    </row>
    <row r="173" spans="1:9" ht="15.75" customHeight="1" x14ac:dyDescent="0.3">
      <c r="A173" s="15" t="s">
        <v>168</v>
      </c>
      <c r="B173" s="1" t="s">
        <v>198</v>
      </c>
      <c r="C173" s="1">
        <v>79</v>
      </c>
      <c r="D173" s="46">
        <v>13.35</v>
      </c>
      <c r="E173" s="1">
        <v>29.2</v>
      </c>
      <c r="F173" s="1">
        <v>0</v>
      </c>
      <c r="G173" s="2">
        <v>3</v>
      </c>
      <c r="H173" s="1">
        <v>2</v>
      </c>
      <c r="I173" s="1">
        <v>2</v>
      </c>
    </row>
    <row r="174" spans="1:9" ht="15.75" customHeight="1" x14ac:dyDescent="0.3">
      <c r="A174" s="15" t="s">
        <v>168</v>
      </c>
      <c r="B174" s="1" t="s">
        <v>199</v>
      </c>
      <c r="C174" s="1">
        <v>92</v>
      </c>
      <c r="D174" s="46">
        <v>15.6</v>
      </c>
      <c r="E174" s="1">
        <v>23.5</v>
      </c>
      <c r="F174" s="1">
        <v>0.7</v>
      </c>
      <c r="G174" s="2">
        <v>2</v>
      </c>
      <c r="H174" s="1">
        <v>1</v>
      </c>
      <c r="I174" s="1">
        <v>1</v>
      </c>
    </row>
    <row r="175" spans="1:9" ht="15.75" customHeight="1" x14ac:dyDescent="0.3">
      <c r="A175" s="15" t="s">
        <v>168</v>
      </c>
      <c r="B175" s="1" t="s">
        <v>199</v>
      </c>
      <c r="C175" s="1">
        <v>79</v>
      </c>
      <c r="D175" s="46">
        <v>7.6</v>
      </c>
      <c r="E175" s="1">
        <v>25.4</v>
      </c>
      <c r="F175" s="1">
        <v>0</v>
      </c>
      <c r="G175" s="2">
        <v>2</v>
      </c>
      <c r="H175" s="1">
        <v>2</v>
      </c>
      <c r="I175" s="1">
        <v>5</v>
      </c>
    </row>
    <row r="176" spans="1:9" ht="15.75" customHeight="1" x14ac:dyDescent="0.3">
      <c r="A176" s="15" t="s">
        <v>168</v>
      </c>
      <c r="B176" s="1" t="s">
        <v>183</v>
      </c>
      <c r="C176" s="1">
        <v>89</v>
      </c>
      <c r="D176" s="46">
        <v>1.1000000000000001</v>
      </c>
      <c r="E176" s="1">
        <v>22.3</v>
      </c>
      <c r="F176" s="1">
        <v>0</v>
      </c>
      <c r="G176" s="2">
        <v>3</v>
      </c>
      <c r="H176" s="1">
        <v>7</v>
      </c>
      <c r="I176" s="1">
        <v>10</v>
      </c>
    </row>
    <row r="177" spans="1:9" ht="15.75" customHeight="1" x14ac:dyDescent="0.3">
      <c r="A177" s="15" t="s">
        <v>168</v>
      </c>
      <c r="B177" s="1" t="s">
        <v>183</v>
      </c>
      <c r="C177" s="1">
        <v>89</v>
      </c>
      <c r="D177" s="46">
        <v>1</v>
      </c>
      <c r="E177" s="1">
        <v>22.2</v>
      </c>
      <c r="F177" s="1">
        <v>0</v>
      </c>
      <c r="G177" s="2">
        <v>3</v>
      </c>
      <c r="H177" s="1">
        <v>4</v>
      </c>
      <c r="I177" s="1">
        <v>4</v>
      </c>
    </row>
    <row r="178" spans="1:9" ht="15.75" customHeight="1" x14ac:dyDescent="0.3">
      <c r="A178" s="15" t="s">
        <v>168</v>
      </c>
      <c r="B178" s="1" t="s">
        <v>183</v>
      </c>
      <c r="C178" s="1">
        <v>72</v>
      </c>
      <c r="D178" s="1">
        <v>0.75</v>
      </c>
      <c r="E178" s="1">
        <v>25</v>
      </c>
      <c r="F178" s="1">
        <v>0.9</v>
      </c>
      <c r="G178" s="2">
        <v>3</v>
      </c>
      <c r="H178" s="1">
        <v>2</v>
      </c>
      <c r="I178" s="1">
        <v>3</v>
      </c>
    </row>
    <row r="179" spans="1:9" ht="15.75" customHeight="1" x14ac:dyDescent="0.3">
      <c r="A179" s="15" t="s">
        <v>168</v>
      </c>
      <c r="B179" s="1" t="s">
        <v>185</v>
      </c>
      <c r="C179" s="1">
        <v>60</v>
      </c>
      <c r="D179" s="46">
        <v>44</v>
      </c>
      <c r="E179" s="1">
        <v>32.6</v>
      </c>
      <c r="F179" s="1">
        <v>0</v>
      </c>
      <c r="G179" s="2">
        <v>1</v>
      </c>
      <c r="H179" s="1">
        <v>2</v>
      </c>
      <c r="I179" s="1">
        <v>4</v>
      </c>
    </row>
    <row r="180" spans="1:9" ht="15.75" customHeight="1" x14ac:dyDescent="0.3">
      <c r="A180" s="15" t="s">
        <v>168</v>
      </c>
      <c r="B180" s="1" t="s">
        <v>185</v>
      </c>
      <c r="C180" s="1">
        <v>79</v>
      </c>
      <c r="D180" s="46">
        <v>39.200000000000003</v>
      </c>
      <c r="E180" s="1">
        <v>31.4</v>
      </c>
      <c r="F180" s="1">
        <v>0</v>
      </c>
      <c r="G180" s="2">
        <v>1</v>
      </c>
      <c r="H180" s="1">
        <v>0</v>
      </c>
      <c r="I180" s="1">
        <v>0</v>
      </c>
    </row>
    <row r="181" spans="1:9" ht="15.75" customHeight="1" x14ac:dyDescent="0.3">
      <c r="A181" s="15" t="s">
        <v>168</v>
      </c>
      <c r="B181" s="1" t="s">
        <v>186</v>
      </c>
      <c r="C181" s="1">
        <v>76</v>
      </c>
      <c r="D181" s="46">
        <v>1.53</v>
      </c>
      <c r="E181" s="1">
        <v>25.4</v>
      </c>
      <c r="F181" s="1">
        <v>0</v>
      </c>
      <c r="G181" s="2">
        <v>6</v>
      </c>
      <c r="H181" s="1">
        <v>4</v>
      </c>
      <c r="I181" s="1">
        <v>5</v>
      </c>
    </row>
    <row r="182" spans="1:9" ht="15.75" customHeight="1" x14ac:dyDescent="0.3">
      <c r="A182" s="1" t="s">
        <v>172</v>
      </c>
      <c r="B182" s="1" t="s">
        <v>176</v>
      </c>
      <c r="C182" s="1">
        <v>81</v>
      </c>
      <c r="D182" s="46">
        <v>1.6</v>
      </c>
      <c r="E182" s="1">
        <v>26.5</v>
      </c>
      <c r="F182" s="1">
        <v>0</v>
      </c>
      <c r="G182" s="2">
        <v>4</v>
      </c>
      <c r="H182" s="1">
        <v>12</v>
      </c>
      <c r="I182" s="1">
        <v>18</v>
      </c>
    </row>
    <row r="183" spans="1:9" ht="15.75" customHeight="1" x14ac:dyDescent="0.3">
      <c r="A183" s="1" t="s">
        <v>172</v>
      </c>
      <c r="B183" s="1" t="s">
        <v>177</v>
      </c>
      <c r="C183" s="1">
        <v>96</v>
      </c>
      <c r="D183" s="46">
        <v>1.1299999999999999</v>
      </c>
      <c r="E183" s="1">
        <v>26.4</v>
      </c>
      <c r="F183" s="1">
        <v>0</v>
      </c>
      <c r="G183" s="2">
        <v>3</v>
      </c>
      <c r="H183" s="1">
        <v>5</v>
      </c>
      <c r="I183" s="1">
        <v>5</v>
      </c>
    </row>
    <row r="184" spans="1:9" ht="15.75" customHeight="1" x14ac:dyDescent="0.3">
      <c r="A184" s="1" t="s">
        <v>172</v>
      </c>
      <c r="B184" s="1" t="s">
        <v>200</v>
      </c>
      <c r="C184" s="1">
        <v>99</v>
      </c>
      <c r="D184" s="46">
        <v>0.28000000000000003</v>
      </c>
      <c r="E184" s="1">
        <v>23.5</v>
      </c>
      <c r="F184" s="1">
        <v>0</v>
      </c>
      <c r="G184" s="2">
        <v>5</v>
      </c>
      <c r="H184" s="1">
        <v>7</v>
      </c>
      <c r="I184" s="1">
        <v>10</v>
      </c>
    </row>
    <row r="185" spans="1:9" ht="15.75" customHeight="1" x14ac:dyDescent="0.3">
      <c r="A185" s="1" t="s">
        <v>172</v>
      </c>
      <c r="B185" s="1" t="s">
        <v>180</v>
      </c>
      <c r="C185" s="1">
        <v>96</v>
      </c>
      <c r="D185" s="46">
        <v>0.64</v>
      </c>
      <c r="E185" s="1">
        <v>24.9</v>
      </c>
      <c r="F185" s="1">
        <v>0</v>
      </c>
      <c r="G185" s="2">
        <v>5</v>
      </c>
      <c r="H185" s="1">
        <v>9</v>
      </c>
      <c r="I185" s="1">
        <v>9</v>
      </c>
    </row>
    <row r="186" spans="1:9" ht="15.75" customHeight="1" x14ac:dyDescent="0.3">
      <c r="A186" s="1" t="s">
        <v>172</v>
      </c>
      <c r="B186" s="1" t="s">
        <v>181</v>
      </c>
      <c r="C186" s="1">
        <v>98</v>
      </c>
      <c r="D186" s="46">
        <v>2.2799999999999998</v>
      </c>
      <c r="E186" s="1">
        <v>23.7</v>
      </c>
      <c r="F186" s="1">
        <v>0</v>
      </c>
      <c r="G186" s="2">
        <v>3</v>
      </c>
      <c r="H186" s="1">
        <v>4</v>
      </c>
      <c r="I186" s="1">
        <v>4</v>
      </c>
    </row>
    <row r="187" spans="1:9" ht="15.75" customHeight="1" x14ac:dyDescent="0.3">
      <c r="A187" s="1" t="s">
        <v>172</v>
      </c>
      <c r="B187" s="1" t="s">
        <v>198</v>
      </c>
      <c r="C187" s="1">
        <v>99</v>
      </c>
      <c r="D187" s="46">
        <v>7.2350000000000003</v>
      </c>
      <c r="E187" s="1">
        <v>24.6</v>
      </c>
      <c r="F187" s="1">
        <v>1.4</v>
      </c>
      <c r="G187" s="2">
        <v>3</v>
      </c>
      <c r="H187" s="1">
        <v>10</v>
      </c>
      <c r="I187" s="1">
        <v>16</v>
      </c>
    </row>
    <row r="188" spans="1:9" ht="15.75" customHeight="1" x14ac:dyDescent="0.3">
      <c r="A188" s="1" t="s">
        <v>172</v>
      </c>
      <c r="B188" s="1" t="s">
        <v>199</v>
      </c>
      <c r="C188" s="1">
        <v>78</v>
      </c>
      <c r="D188" s="46">
        <v>17.850000000000001</v>
      </c>
      <c r="E188" s="1">
        <v>26.8</v>
      </c>
      <c r="F188" s="1">
        <v>0.7</v>
      </c>
      <c r="G188" s="2">
        <v>2</v>
      </c>
      <c r="H188" s="1">
        <v>3</v>
      </c>
      <c r="I188" s="1">
        <v>3</v>
      </c>
    </row>
    <row r="189" spans="1:9" ht="15.75" customHeight="1" x14ac:dyDescent="0.3">
      <c r="A189" s="1" t="s">
        <v>172</v>
      </c>
      <c r="B189" s="1" t="s">
        <v>183</v>
      </c>
      <c r="C189" s="1">
        <v>92</v>
      </c>
      <c r="D189" s="46">
        <v>44.68</v>
      </c>
      <c r="E189" s="1">
        <v>23.2</v>
      </c>
      <c r="F189" s="1">
        <v>0.6</v>
      </c>
      <c r="G189" s="2">
        <v>3</v>
      </c>
      <c r="H189" s="1">
        <v>8</v>
      </c>
      <c r="I189" s="1">
        <v>9</v>
      </c>
    </row>
    <row r="190" spans="1:9" ht="15.75" customHeight="1" x14ac:dyDescent="0.3">
      <c r="A190" s="1" t="s">
        <v>172</v>
      </c>
      <c r="B190" s="1" t="s">
        <v>183</v>
      </c>
      <c r="C190" s="1">
        <v>84</v>
      </c>
      <c r="D190" s="46">
        <v>0.5</v>
      </c>
      <c r="E190" s="1">
        <v>25.9</v>
      </c>
      <c r="F190" s="1">
        <v>0</v>
      </c>
      <c r="G190" s="2">
        <v>3</v>
      </c>
      <c r="H190" s="1">
        <v>4</v>
      </c>
      <c r="I190" s="1">
        <v>4</v>
      </c>
    </row>
    <row r="191" spans="1:9" ht="15.75" customHeight="1" x14ac:dyDescent="0.3">
      <c r="A191" s="1" t="s">
        <v>172</v>
      </c>
      <c r="B191" s="1" t="s">
        <v>186</v>
      </c>
      <c r="C191" s="1">
        <v>83</v>
      </c>
      <c r="D191" s="46">
        <v>1.1299999999999999</v>
      </c>
      <c r="E191" s="1">
        <v>25.5</v>
      </c>
      <c r="F191" s="1">
        <v>0</v>
      </c>
      <c r="G191" s="2">
        <v>6</v>
      </c>
      <c r="H191" s="1">
        <v>9</v>
      </c>
      <c r="I191" s="1">
        <v>19</v>
      </c>
    </row>
    <row r="192" spans="1:9" ht="15.75" customHeight="1" x14ac:dyDescent="0.3">
      <c r="D192" s="46"/>
    </row>
    <row r="193" spans="4:4" ht="15.75" customHeight="1" x14ac:dyDescent="0.3">
      <c r="D193" s="46"/>
    </row>
    <row r="194" spans="4:4" ht="15.75" customHeight="1" x14ac:dyDescent="0.3">
      <c r="D194" s="46"/>
    </row>
    <row r="195" spans="4:4" ht="15.75" customHeight="1" x14ac:dyDescent="0.3">
      <c r="D195" s="46"/>
    </row>
    <row r="196" spans="4:4" ht="15.75" customHeight="1" x14ac:dyDescent="0.3">
      <c r="D196" s="46"/>
    </row>
    <row r="197" spans="4:4" ht="15.75" customHeight="1" x14ac:dyDescent="0.3">
      <c r="D197" s="46"/>
    </row>
    <row r="198" spans="4:4" ht="15.75" customHeight="1" x14ac:dyDescent="0.3">
      <c r="D198" s="46"/>
    </row>
    <row r="199" spans="4:4" ht="15.75" customHeight="1" x14ac:dyDescent="0.3">
      <c r="D199" s="46"/>
    </row>
    <row r="200" spans="4:4" ht="15.75" customHeight="1" x14ac:dyDescent="0.3">
      <c r="D200" s="46"/>
    </row>
    <row r="201" spans="4:4" ht="15.75" customHeight="1" x14ac:dyDescent="0.3">
      <c r="D201" s="46"/>
    </row>
    <row r="202" spans="4:4" ht="15.75" customHeight="1" x14ac:dyDescent="0.3">
      <c r="D202" s="46"/>
    </row>
    <row r="203" spans="4:4" ht="15.75" customHeight="1" x14ac:dyDescent="0.3">
      <c r="D203" s="46"/>
    </row>
    <row r="204" spans="4:4" ht="15.75" customHeight="1" x14ac:dyDescent="0.3">
      <c r="D204" s="46"/>
    </row>
    <row r="205" spans="4:4" ht="15.75" customHeight="1" x14ac:dyDescent="0.3">
      <c r="D205" s="46"/>
    </row>
    <row r="206" spans="4:4" ht="15.75" customHeight="1" x14ac:dyDescent="0.3">
      <c r="D206" s="46"/>
    </row>
    <row r="207" spans="4:4" ht="15.75" customHeight="1" x14ac:dyDescent="0.3">
      <c r="D207" s="46"/>
    </row>
    <row r="208" spans="4:4" ht="15.75" customHeight="1" x14ac:dyDescent="0.3">
      <c r="D208" s="46"/>
    </row>
    <row r="209" spans="4:4" ht="15.75" customHeight="1" x14ac:dyDescent="0.3">
      <c r="D209" s="46"/>
    </row>
    <row r="210" spans="4:4" ht="15.75" customHeight="1" x14ac:dyDescent="0.3">
      <c r="D210" s="46"/>
    </row>
    <row r="211" spans="4:4" ht="15.75" customHeight="1" x14ac:dyDescent="0.3">
      <c r="D211" s="46"/>
    </row>
    <row r="212" spans="4:4" ht="15.75" customHeight="1" x14ac:dyDescent="0.3">
      <c r="D212" s="46"/>
    </row>
    <row r="213" spans="4:4" ht="15.75" customHeight="1" x14ac:dyDescent="0.3">
      <c r="D213" s="46"/>
    </row>
    <row r="214" spans="4:4" ht="15.75" customHeight="1" x14ac:dyDescent="0.3">
      <c r="D214" s="46"/>
    </row>
    <row r="215" spans="4:4" ht="15.75" customHeight="1" x14ac:dyDescent="0.3">
      <c r="D215" s="46"/>
    </row>
    <row r="216" spans="4:4" ht="15.75" customHeight="1" x14ac:dyDescent="0.3">
      <c r="D216" s="46"/>
    </row>
    <row r="217" spans="4:4" ht="15.75" customHeight="1" x14ac:dyDescent="0.3">
      <c r="D217" s="46"/>
    </row>
    <row r="218" spans="4:4" ht="15.75" customHeight="1" x14ac:dyDescent="0.3">
      <c r="D218" s="46"/>
    </row>
    <row r="219" spans="4:4" ht="15.75" customHeight="1" x14ac:dyDescent="0.3">
      <c r="D219" s="46"/>
    </row>
    <row r="220" spans="4:4" ht="15.75" customHeight="1" x14ac:dyDescent="0.3">
      <c r="D220" s="46"/>
    </row>
    <row r="221" spans="4:4" ht="15.75" customHeight="1" x14ac:dyDescent="0.3">
      <c r="D221" s="46"/>
    </row>
    <row r="222" spans="4:4" ht="15.75" customHeight="1" x14ac:dyDescent="0.3">
      <c r="D222" s="46"/>
    </row>
    <row r="223" spans="4:4" ht="15.75" customHeight="1" x14ac:dyDescent="0.3">
      <c r="D223" s="46"/>
    </row>
    <row r="224" spans="4:4" ht="15.75" customHeight="1" x14ac:dyDescent="0.3">
      <c r="D224" s="46"/>
    </row>
    <row r="225" spans="4:4" ht="15.75" customHeight="1" x14ac:dyDescent="0.3">
      <c r="D225" s="46"/>
    </row>
    <row r="226" spans="4:4" ht="15.75" customHeight="1" x14ac:dyDescent="0.3">
      <c r="D226" s="46"/>
    </row>
    <row r="227" spans="4:4" ht="15.75" customHeight="1" x14ac:dyDescent="0.3">
      <c r="D227" s="46"/>
    </row>
    <row r="228" spans="4:4" ht="15.75" customHeight="1" x14ac:dyDescent="0.3">
      <c r="D228" s="46"/>
    </row>
    <row r="229" spans="4:4" ht="15.75" customHeight="1" x14ac:dyDescent="0.3">
      <c r="D229" s="46"/>
    </row>
    <row r="230" spans="4:4" ht="15.75" customHeight="1" x14ac:dyDescent="0.3">
      <c r="D230" s="46"/>
    </row>
    <row r="231" spans="4:4" ht="15.75" customHeight="1" x14ac:dyDescent="0.3">
      <c r="D231" s="46"/>
    </row>
    <row r="232" spans="4:4" ht="15.75" customHeight="1" x14ac:dyDescent="0.3">
      <c r="D232" s="46"/>
    </row>
    <row r="233" spans="4:4" ht="15.75" customHeight="1" x14ac:dyDescent="0.3">
      <c r="D233" s="46"/>
    </row>
    <row r="234" spans="4:4" ht="15.75" customHeight="1" x14ac:dyDescent="0.3">
      <c r="D234" s="46"/>
    </row>
    <row r="235" spans="4:4" ht="15.75" customHeight="1" x14ac:dyDescent="0.3">
      <c r="D235" s="46"/>
    </row>
    <row r="236" spans="4:4" ht="15.75" customHeight="1" x14ac:dyDescent="0.3">
      <c r="D236" s="46"/>
    </row>
    <row r="237" spans="4:4" ht="15.75" customHeight="1" x14ac:dyDescent="0.3">
      <c r="D237" s="46"/>
    </row>
    <row r="238" spans="4:4" ht="15.75" customHeight="1" x14ac:dyDescent="0.3">
      <c r="D238" s="46"/>
    </row>
    <row r="239" spans="4:4" ht="15.75" customHeight="1" x14ac:dyDescent="0.3">
      <c r="D239" s="46"/>
    </row>
    <row r="240" spans="4:4" ht="15.75" customHeight="1" x14ac:dyDescent="0.3">
      <c r="D240" s="46"/>
    </row>
    <row r="241" spans="4:4" ht="15.75" customHeight="1" x14ac:dyDescent="0.3">
      <c r="D241" s="46"/>
    </row>
    <row r="242" spans="4:4" ht="15.75" customHeight="1" x14ac:dyDescent="0.3">
      <c r="D242" s="46"/>
    </row>
    <row r="243" spans="4:4" ht="15.75" customHeight="1" x14ac:dyDescent="0.3">
      <c r="D243" s="46"/>
    </row>
    <row r="244" spans="4:4" ht="15.75" customHeight="1" x14ac:dyDescent="0.3">
      <c r="D244" s="46"/>
    </row>
    <row r="245" spans="4:4" ht="15.75" customHeight="1" x14ac:dyDescent="0.3">
      <c r="D245" s="46"/>
    </row>
    <row r="246" spans="4:4" ht="15.75" customHeight="1" x14ac:dyDescent="0.3">
      <c r="D246" s="46"/>
    </row>
    <row r="247" spans="4:4" ht="15.75" customHeight="1" x14ac:dyDescent="0.3">
      <c r="D247" s="46"/>
    </row>
    <row r="248" spans="4:4" ht="15.75" customHeight="1" x14ac:dyDescent="0.3">
      <c r="D248" s="46"/>
    </row>
    <row r="249" spans="4:4" ht="15.75" customHeight="1" x14ac:dyDescent="0.3">
      <c r="D249" s="46"/>
    </row>
    <row r="250" spans="4:4" ht="15.75" customHeight="1" x14ac:dyDescent="0.3">
      <c r="D250" s="46"/>
    </row>
    <row r="251" spans="4:4" ht="15.75" customHeight="1" x14ac:dyDescent="0.3">
      <c r="D251" s="46"/>
    </row>
    <row r="252" spans="4:4" ht="15.75" customHeight="1" x14ac:dyDescent="0.3">
      <c r="D252" s="46"/>
    </row>
    <row r="253" spans="4:4" ht="15.75" customHeight="1" x14ac:dyDescent="0.3">
      <c r="D253" s="46"/>
    </row>
    <row r="254" spans="4:4" ht="15.75" customHeight="1" x14ac:dyDescent="0.3">
      <c r="D254" s="46"/>
    </row>
    <row r="255" spans="4:4" ht="15.75" customHeight="1" x14ac:dyDescent="0.3">
      <c r="D255" s="46"/>
    </row>
    <row r="256" spans="4:4" ht="15.75" customHeight="1" x14ac:dyDescent="0.3">
      <c r="D256" s="46"/>
    </row>
    <row r="257" spans="4:4" ht="15.75" customHeight="1" x14ac:dyDescent="0.3">
      <c r="D257" s="46"/>
    </row>
    <row r="258" spans="4:4" ht="15.75" customHeight="1" x14ac:dyDescent="0.3">
      <c r="D258" s="46"/>
    </row>
    <row r="259" spans="4:4" ht="15.75" customHeight="1" x14ac:dyDescent="0.3">
      <c r="D259" s="46"/>
    </row>
    <row r="260" spans="4:4" ht="15.75" customHeight="1" x14ac:dyDescent="0.3">
      <c r="D260" s="46"/>
    </row>
    <row r="261" spans="4:4" ht="15.75" customHeight="1" x14ac:dyDescent="0.3">
      <c r="D261" s="46"/>
    </row>
    <row r="262" spans="4:4" ht="15.75" customHeight="1" x14ac:dyDescent="0.3">
      <c r="D262" s="46"/>
    </row>
    <row r="263" spans="4:4" ht="15.75" customHeight="1" x14ac:dyDescent="0.3">
      <c r="D263" s="46"/>
    </row>
    <row r="264" spans="4:4" ht="15.75" customHeight="1" x14ac:dyDescent="0.3"/>
    <row r="265" spans="4:4" ht="15.75" customHeight="1" x14ac:dyDescent="0.3"/>
    <row r="266" spans="4:4" ht="15.75" customHeight="1" x14ac:dyDescent="0.3"/>
    <row r="267" spans="4:4" ht="15.75" customHeight="1" x14ac:dyDescent="0.3"/>
    <row r="268" spans="4:4" ht="15.75" customHeight="1" x14ac:dyDescent="0.3"/>
    <row r="269" spans="4:4" ht="15.75" customHeight="1" x14ac:dyDescent="0.3"/>
    <row r="270" spans="4:4" ht="15.75" customHeight="1" x14ac:dyDescent="0.3"/>
    <row r="271" spans="4:4" ht="15.75" customHeight="1" x14ac:dyDescent="0.3"/>
    <row r="272" spans="4:4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  <row r="1009" ht="15.75" customHeight="1" x14ac:dyDescent="0.3"/>
    <row r="1010" ht="15.75" customHeight="1" x14ac:dyDescent="0.3"/>
    <row r="1011" ht="15.75" customHeight="1" x14ac:dyDescent="0.3"/>
    <row r="1012" ht="15.75" customHeight="1" x14ac:dyDescent="0.3"/>
    <row r="1013" ht="15.75" customHeight="1" x14ac:dyDescent="0.3"/>
    <row r="1014" ht="15.75" customHeight="1" x14ac:dyDescent="0.3"/>
    <row r="1015" ht="15.75" customHeight="1" x14ac:dyDescent="0.3"/>
    <row r="1016" ht="15.75" customHeight="1" x14ac:dyDescent="0.3"/>
    <row r="1017" ht="15.75" customHeight="1" x14ac:dyDescent="0.3"/>
    <row r="1018" ht="15.75" customHeight="1" x14ac:dyDescent="0.3"/>
    <row r="1019" ht="15.75" customHeight="1" x14ac:dyDescent="0.3"/>
    <row r="1020" ht="15.75" customHeight="1" x14ac:dyDescent="0.3"/>
    <row r="1021" ht="15.75" customHeight="1" x14ac:dyDescent="0.3"/>
    <row r="1022" ht="15.75" customHeight="1" x14ac:dyDescent="0.3"/>
    <row r="1023" ht="15.75" customHeight="1" x14ac:dyDescent="0.3"/>
    <row r="1024" ht="15.75" customHeight="1" x14ac:dyDescent="0.3"/>
    <row r="1025" ht="15.75" customHeight="1" x14ac:dyDescent="0.3"/>
    <row r="1026" ht="15.75" customHeight="1" x14ac:dyDescent="0.3"/>
    <row r="1027" ht="15.75" customHeight="1" x14ac:dyDescent="0.3"/>
    <row r="1028" ht="15.75" customHeight="1" x14ac:dyDescent="0.3"/>
    <row r="1029" ht="15.75" customHeight="1" x14ac:dyDescent="0.3"/>
    <row r="1030" ht="15.75" customHeight="1" x14ac:dyDescent="0.3"/>
    <row r="1031" ht="15.75" customHeight="1" x14ac:dyDescent="0.3"/>
    <row r="1032" ht="15.75" customHeight="1" x14ac:dyDescent="0.3"/>
    <row r="1033" ht="15.75" customHeight="1" x14ac:dyDescent="0.3"/>
    <row r="1034" ht="15.75" customHeight="1" x14ac:dyDescent="0.3"/>
    <row r="1035" ht="15.75" customHeight="1" x14ac:dyDescent="0.3"/>
    <row r="1036" ht="15.75" customHeight="1" x14ac:dyDescent="0.3"/>
    <row r="1037" ht="15.75" customHeight="1" x14ac:dyDescent="0.3"/>
    <row r="1038" ht="15.75" customHeight="1" x14ac:dyDescent="0.3"/>
    <row r="1039" ht="15.75" customHeight="1" x14ac:dyDescent="0.3"/>
    <row r="1040" ht="15.75" customHeight="1" x14ac:dyDescent="0.3"/>
    <row r="1041" ht="15.75" customHeight="1" x14ac:dyDescent="0.3"/>
    <row r="1042" ht="15.75" customHeight="1" x14ac:dyDescent="0.3"/>
    <row r="1043" ht="15.75" customHeight="1" x14ac:dyDescent="0.3"/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1015"/>
  <sheetViews>
    <sheetView topLeftCell="A2" zoomScale="80" workbookViewId="0">
      <selection activeCell="K2" sqref="K2"/>
    </sheetView>
  </sheetViews>
  <sheetFormatPr defaultColWidth="12.77734375" defaultRowHeight="14.4" x14ac:dyDescent="0.3"/>
  <cols>
    <col min="1" max="1" width="7.21875" style="1" customWidth="1"/>
    <col min="2" max="2" width="14.77734375" style="1" customWidth="1"/>
    <col min="3" max="3" width="6.44140625" style="1" customWidth="1"/>
    <col min="4" max="4" width="8" style="1" customWidth="1"/>
    <col min="5" max="5" width="6.21875" style="1" customWidth="1"/>
    <col min="6" max="6" width="6" style="1" customWidth="1"/>
    <col min="7" max="7" width="11.44140625" style="2" customWidth="1"/>
    <col min="8" max="16384" width="12.77734375" style="1"/>
  </cols>
  <sheetData>
    <row r="1" spans="1:9" ht="15" hidden="1" customHeight="1" x14ac:dyDescent="0.3">
      <c r="G1" s="3"/>
    </row>
    <row r="2" spans="1:9" ht="234.6" x14ac:dyDescent="0.3">
      <c r="A2" s="6" t="s">
        <v>7</v>
      </c>
      <c r="B2" s="6" t="s">
        <v>8</v>
      </c>
      <c r="C2" s="7" t="s">
        <v>14</v>
      </c>
      <c r="D2" s="9" t="s">
        <v>15</v>
      </c>
      <c r="E2" s="7" t="s">
        <v>16</v>
      </c>
      <c r="F2" s="7" t="s">
        <v>17</v>
      </c>
      <c r="G2" s="8" t="s">
        <v>21</v>
      </c>
      <c r="H2" s="1" t="s">
        <v>174</v>
      </c>
      <c r="I2" s="1" t="s">
        <v>175</v>
      </c>
    </row>
    <row r="3" spans="1:9" ht="15.75" customHeight="1" x14ac:dyDescent="0.3">
      <c r="A3" s="15" t="s">
        <v>119</v>
      </c>
      <c r="B3" s="16" t="s">
        <v>177</v>
      </c>
      <c r="C3" s="15">
        <v>78</v>
      </c>
      <c r="D3" s="18">
        <v>1.915</v>
      </c>
      <c r="E3" s="15">
        <v>23.8</v>
      </c>
      <c r="F3" s="15">
        <v>0.8</v>
      </c>
      <c r="G3" s="17">
        <v>3</v>
      </c>
      <c r="H3" s="1">
        <v>7</v>
      </c>
      <c r="I3" s="1">
        <v>14</v>
      </c>
    </row>
    <row r="4" spans="1:9" ht="15.75" customHeight="1" x14ac:dyDescent="0.3">
      <c r="A4" s="15" t="s">
        <v>119</v>
      </c>
      <c r="B4" s="16" t="s">
        <v>200</v>
      </c>
      <c r="C4" s="20">
        <v>80</v>
      </c>
      <c r="D4" s="18">
        <v>0.4</v>
      </c>
      <c r="E4" s="15">
        <v>32</v>
      </c>
      <c r="F4" s="15">
        <v>0</v>
      </c>
      <c r="G4" s="17">
        <v>5</v>
      </c>
      <c r="H4" s="1">
        <v>3</v>
      </c>
      <c r="I4" s="1">
        <v>3</v>
      </c>
    </row>
    <row r="5" spans="1:9" ht="15.75" customHeight="1" x14ac:dyDescent="0.3">
      <c r="A5" s="15" t="s">
        <v>119</v>
      </c>
      <c r="B5" s="16" t="s">
        <v>200</v>
      </c>
      <c r="C5" s="20">
        <v>80</v>
      </c>
      <c r="D5" s="18">
        <v>0.52</v>
      </c>
      <c r="E5" s="15">
        <v>33</v>
      </c>
      <c r="F5" s="15">
        <v>0</v>
      </c>
      <c r="G5" s="17">
        <v>5</v>
      </c>
      <c r="H5" s="1">
        <v>1</v>
      </c>
      <c r="I5" s="1">
        <v>1</v>
      </c>
    </row>
    <row r="6" spans="1:9" ht="15.75" customHeight="1" x14ac:dyDescent="0.3">
      <c r="A6" s="15" t="s">
        <v>119</v>
      </c>
      <c r="B6" s="16" t="s">
        <v>200</v>
      </c>
      <c r="C6" s="20">
        <v>80</v>
      </c>
      <c r="D6" s="18">
        <v>0.4</v>
      </c>
      <c r="E6" s="15">
        <v>36</v>
      </c>
      <c r="F6" s="15">
        <v>0</v>
      </c>
      <c r="G6" s="17">
        <v>5</v>
      </c>
      <c r="H6" s="1">
        <v>1</v>
      </c>
      <c r="I6" s="1">
        <v>1</v>
      </c>
    </row>
    <row r="7" spans="1:9" ht="15.75" customHeight="1" x14ac:dyDescent="0.3">
      <c r="A7" s="15" t="s">
        <v>119</v>
      </c>
      <c r="B7" s="16" t="s">
        <v>200</v>
      </c>
      <c r="C7" s="20">
        <v>80</v>
      </c>
      <c r="D7" s="18">
        <v>0.4</v>
      </c>
      <c r="E7" s="15">
        <v>32</v>
      </c>
      <c r="F7" s="15">
        <v>0</v>
      </c>
      <c r="G7" s="17">
        <v>5</v>
      </c>
      <c r="H7" s="1">
        <v>2</v>
      </c>
      <c r="I7" s="1">
        <v>2</v>
      </c>
    </row>
    <row r="8" spans="1:9" ht="15.75" customHeight="1" x14ac:dyDescent="0.3">
      <c r="A8" s="15" t="s">
        <v>119</v>
      </c>
      <c r="B8" s="16" t="s">
        <v>200</v>
      </c>
      <c r="C8" s="20">
        <v>80</v>
      </c>
      <c r="D8" s="18">
        <v>0.4</v>
      </c>
      <c r="E8" s="15">
        <v>33</v>
      </c>
      <c r="F8" s="15">
        <v>0</v>
      </c>
      <c r="G8" s="17">
        <v>5</v>
      </c>
      <c r="H8" s="1">
        <v>1</v>
      </c>
      <c r="I8" s="1">
        <v>1</v>
      </c>
    </row>
    <row r="9" spans="1:9" ht="15.75" customHeight="1" x14ac:dyDescent="0.3">
      <c r="A9" s="15" t="s">
        <v>119</v>
      </c>
      <c r="B9" s="16" t="s">
        <v>200</v>
      </c>
      <c r="C9" s="20">
        <v>80</v>
      </c>
      <c r="D9" s="18">
        <v>0.51</v>
      </c>
      <c r="E9" s="15">
        <v>32</v>
      </c>
      <c r="F9" s="15">
        <v>0</v>
      </c>
      <c r="G9" s="17">
        <v>5</v>
      </c>
      <c r="H9" s="1">
        <v>3</v>
      </c>
      <c r="I9" s="1">
        <v>3</v>
      </c>
    </row>
    <row r="10" spans="1:9" ht="15.75" customHeight="1" x14ac:dyDescent="0.3">
      <c r="A10" s="15" t="s">
        <v>119</v>
      </c>
      <c r="B10" s="16" t="s">
        <v>200</v>
      </c>
      <c r="C10" s="20">
        <v>80</v>
      </c>
      <c r="D10" s="18">
        <v>0.5</v>
      </c>
      <c r="E10" s="15">
        <v>23</v>
      </c>
      <c r="F10" s="15">
        <v>0</v>
      </c>
      <c r="G10" s="17">
        <v>5</v>
      </c>
      <c r="H10" s="1">
        <v>1</v>
      </c>
      <c r="I10" s="1">
        <v>1</v>
      </c>
    </row>
    <row r="11" spans="1:9" ht="15.75" customHeight="1" x14ac:dyDescent="0.3">
      <c r="A11" s="15" t="s">
        <v>119</v>
      </c>
      <c r="B11" s="16" t="s">
        <v>200</v>
      </c>
      <c r="C11" s="15">
        <v>81</v>
      </c>
      <c r="D11" s="18">
        <v>2.0499999999999998</v>
      </c>
      <c r="E11" s="15">
        <v>24.9</v>
      </c>
      <c r="F11" s="15">
        <v>0</v>
      </c>
      <c r="G11" s="17">
        <v>5</v>
      </c>
      <c r="H11" s="1">
        <v>3</v>
      </c>
      <c r="I11" s="1">
        <v>3</v>
      </c>
    </row>
    <row r="12" spans="1:9" ht="15.75" customHeight="1" x14ac:dyDescent="0.3">
      <c r="A12" s="15" t="s">
        <v>119</v>
      </c>
      <c r="B12" s="16" t="s">
        <v>180</v>
      </c>
      <c r="C12" s="15">
        <v>81</v>
      </c>
      <c r="D12" s="18">
        <v>1.2809999999999999</v>
      </c>
      <c r="E12" s="15">
        <v>24.9</v>
      </c>
      <c r="F12" s="15">
        <v>0.8</v>
      </c>
      <c r="G12" s="17">
        <v>5</v>
      </c>
      <c r="H12" s="1">
        <v>3</v>
      </c>
      <c r="I12" s="1">
        <v>3</v>
      </c>
    </row>
    <row r="13" spans="1:9" ht="15.75" customHeight="1" x14ac:dyDescent="0.3">
      <c r="A13" s="15" t="s">
        <v>119</v>
      </c>
      <c r="B13" s="16" t="s">
        <v>180</v>
      </c>
      <c r="C13" s="18">
        <v>68.67</v>
      </c>
      <c r="D13" s="18">
        <v>94.13</v>
      </c>
      <c r="E13" s="15">
        <v>25</v>
      </c>
      <c r="F13" s="15">
        <v>1.2</v>
      </c>
      <c r="G13" s="17">
        <v>5</v>
      </c>
      <c r="H13" s="1">
        <v>1</v>
      </c>
      <c r="I13" s="1">
        <v>1</v>
      </c>
    </row>
    <row r="14" spans="1:9" ht="15.75" customHeight="1" x14ac:dyDescent="0.3">
      <c r="A14" s="15" t="s">
        <v>119</v>
      </c>
      <c r="B14" s="16" t="s">
        <v>181</v>
      </c>
      <c r="C14" s="15">
        <v>80</v>
      </c>
      <c r="D14" s="18">
        <v>9.35</v>
      </c>
      <c r="E14" s="15">
        <v>25.5</v>
      </c>
      <c r="F14" s="15">
        <v>2.6</v>
      </c>
      <c r="G14" s="17">
        <v>3</v>
      </c>
      <c r="H14" s="1">
        <v>3</v>
      </c>
      <c r="I14" s="1">
        <v>3</v>
      </c>
    </row>
    <row r="15" spans="1:9" ht="15.75" customHeight="1" x14ac:dyDescent="0.3">
      <c r="A15" s="15" t="s">
        <v>119</v>
      </c>
      <c r="B15" s="16" t="s">
        <v>181</v>
      </c>
      <c r="C15" s="15">
        <v>68.58</v>
      </c>
      <c r="D15" s="18">
        <v>6.6</v>
      </c>
      <c r="E15" s="15">
        <v>25.7</v>
      </c>
      <c r="F15" s="15">
        <v>2.1</v>
      </c>
      <c r="G15" s="17">
        <v>3</v>
      </c>
      <c r="H15" s="1">
        <v>3</v>
      </c>
      <c r="I15" s="1">
        <v>3</v>
      </c>
    </row>
    <row r="16" spans="1:9" ht="15.75" customHeight="1" x14ac:dyDescent="0.3">
      <c r="A16" s="15" t="s">
        <v>119</v>
      </c>
      <c r="B16" s="16" t="s">
        <v>181</v>
      </c>
      <c r="C16" s="20">
        <v>70</v>
      </c>
      <c r="D16" s="18">
        <v>4.2</v>
      </c>
      <c r="E16" s="15">
        <v>23</v>
      </c>
      <c r="F16" s="15">
        <v>0</v>
      </c>
      <c r="G16" s="17">
        <v>3</v>
      </c>
      <c r="H16" s="1">
        <v>2</v>
      </c>
      <c r="I16" s="1">
        <v>2</v>
      </c>
    </row>
    <row r="17" spans="1:9" ht="15.75" customHeight="1" x14ac:dyDescent="0.3">
      <c r="A17" s="15" t="s">
        <v>119</v>
      </c>
      <c r="B17" s="16" t="s">
        <v>198</v>
      </c>
      <c r="C17" s="20">
        <v>70</v>
      </c>
      <c r="D17" s="18">
        <v>4.2</v>
      </c>
      <c r="E17" s="15">
        <v>21</v>
      </c>
      <c r="F17" s="15">
        <v>0</v>
      </c>
      <c r="G17" s="17">
        <v>3</v>
      </c>
      <c r="H17" s="1">
        <v>4</v>
      </c>
      <c r="I17" s="1">
        <v>4</v>
      </c>
    </row>
    <row r="18" spans="1:9" ht="15.75" customHeight="1" x14ac:dyDescent="0.3">
      <c r="A18" s="15" t="s">
        <v>119</v>
      </c>
      <c r="B18" s="16" t="s">
        <v>198</v>
      </c>
      <c r="C18" s="20">
        <v>70</v>
      </c>
      <c r="D18" s="18">
        <v>4.2</v>
      </c>
      <c r="E18" s="15">
        <v>20</v>
      </c>
      <c r="F18" s="15">
        <v>0</v>
      </c>
      <c r="G18" s="17">
        <v>3</v>
      </c>
      <c r="H18" s="1">
        <v>1</v>
      </c>
      <c r="I18" s="1">
        <v>1</v>
      </c>
    </row>
    <row r="19" spans="1:9" ht="15.75" customHeight="1" x14ac:dyDescent="0.3">
      <c r="A19" s="15" t="s">
        <v>119</v>
      </c>
      <c r="B19" s="16" t="s">
        <v>198</v>
      </c>
      <c r="C19" s="20">
        <v>70</v>
      </c>
      <c r="D19" s="18">
        <v>4.2</v>
      </c>
      <c r="E19" s="15">
        <v>21</v>
      </c>
      <c r="F19" s="15">
        <v>0</v>
      </c>
      <c r="G19" s="17">
        <v>3</v>
      </c>
      <c r="H19" s="1">
        <v>1</v>
      </c>
      <c r="I19" s="1">
        <v>1</v>
      </c>
    </row>
    <row r="20" spans="1:9" ht="15.75" customHeight="1" x14ac:dyDescent="0.3">
      <c r="A20" s="15" t="s">
        <v>119</v>
      </c>
      <c r="B20" s="16" t="s">
        <v>198</v>
      </c>
      <c r="C20" s="20">
        <v>70</v>
      </c>
      <c r="D20" s="18">
        <v>4.2</v>
      </c>
      <c r="E20" s="15">
        <v>22</v>
      </c>
      <c r="F20" s="15">
        <v>0</v>
      </c>
      <c r="G20" s="17">
        <v>3</v>
      </c>
      <c r="H20" s="1">
        <v>5</v>
      </c>
      <c r="I20" s="1">
        <v>5</v>
      </c>
    </row>
    <row r="21" spans="1:9" ht="15.75" customHeight="1" x14ac:dyDescent="0.3">
      <c r="A21" s="15" t="s">
        <v>119</v>
      </c>
      <c r="B21" s="16" t="s">
        <v>198</v>
      </c>
      <c r="C21" s="20">
        <v>70</v>
      </c>
      <c r="D21" s="18">
        <v>4.2</v>
      </c>
      <c r="E21" s="15">
        <v>23</v>
      </c>
      <c r="F21" s="15">
        <v>0</v>
      </c>
      <c r="G21" s="17">
        <v>3</v>
      </c>
      <c r="H21" s="1">
        <v>2</v>
      </c>
      <c r="I21" s="1">
        <v>2</v>
      </c>
    </row>
    <row r="22" spans="1:9" ht="15.75" customHeight="1" x14ac:dyDescent="0.3">
      <c r="A22" s="15" t="s">
        <v>119</v>
      </c>
      <c r="B22" s="16" t="s">
        <v>198</v>
      </c>
      <c r="C22" s="20">
        <v>70</v>
      </c>
      <c r="D22" s="18">
        <v>4.2</v>
      </c>
      <c r="E22" s="15">
        <v>22</v>
      </c>
      <c r="F22" s="15">
        <v>0</v>
      </c>
      <c r="G22" s="17">
        <v>3</v>
      </c>
      <c r="H22" s="1">
        <v>1</v>
      </c>
      <c r="I22" s="1">
        <v>1</v>
      </c>
    </row>
    <row r="23" spans="1:9" ht="15.75" customHeight="1" x14ac:dyDescent="0.3">
      <c r="A23" s="15" t="s">
        <v>119</v>
      </c>
      <c r="B23" s="16" t="s">
        <v>198</v>
      </c>
      <c r="C23" s="20">
        <v>70</v>
      </c>
      <c r="D23" s="18">
        <v>4.2</v>
      </c>
      <c r="E23" s="15">
        <v>25</v>
      </c>
      <c r="F23" s="15">
        <v>0</v>
      </c>
      <c r="G23" s="17">
        <v>3</v>
      </c>
      <c r="H23" s="1">
        <v>1</v>
      </c>
      <c r="I23" s="1">
        <v>1</v>
      </c>
    </row>
    <row r="24" spans="1:9" ht="15.75" customHeight="1" x14ac:dyDescent="0.3">
      <c r="A24" s="15" t="s">
        <v>119</v>
      </c>
      <c r="B24" s="16" t="s">
        <v>198</v>
      </c>
      <c r="C24" s="20">
        <v>70</v>
      </c>
      <c r="D24" s="18">
        <v>4.2</v>
      </c>
      <c r="E24" s="15">
        <v>23</v>
      </c>
      <c r="F24" s="15">
        <v>0</v>
      </c>
      <c r="G24" s="17">
        <v>3</v>
      </c>
      <c r="H24" s="1">
        <v>1</v>
      </c>
      <c r="I24" s="1">
        <v>1</v>
      </c>
    </row>
    <row r="25" spans="1:9" ht="15.75" customHeight="1" x14ac:dyDescent="0.3">
      <c r="A25" s="15" t="s">
        <v>119</v>
      </c>
      <c r="B25" s="16" t="s">
        <v>198</v>
      </c>
      <c r="C25" s="20">
        <v>70</v>
      </c>
      <c r="D25" s="18">
        <v>4.2</v>
      </c>
      <c r="E25" s="15">
        <v>29</v>
      </c>
      <c r="F25" s="15">
        <v>0</v>
      </c>
      <c r="G25" s="17">
        <v>3</v>
      </c>
      <c r="H25" s="1">
        <v>1</v>
      </c>
      <c r="I25" s="1">
        <v>1</v>
      </c>
    </row>
    <row r="26" spans="1:9" ht="15.75" customHeight="1" x14ac:dyDescent="0.3">
      <c r="A26" s="15" t="s">
        <v>119</v>
      </c>
      <c r="B26" s="16" t="s">
        <v>198</v>
      </c>
      <c r="C26" s="20">
        <v>70</v>
      </c>
      <c r="D26" s="18">
        <v>4.2</v>
      </c>
      <c r="E26" s="15">
        <v>23</v>
      </c>
      <c r="F26" s="15">
        <v>0</v>
      </c>
      <c r="G26" s="17">
        <v>3</v>
      </c>
      <c r="H26" s="1">
        <v>1</v>
      </c>
      <c r="I26" s="1">
        <v>1</v>
      </c>
    </row>
    <row r="27" spans="1:9" ht="15.75" customHeight="1" x14ac:dyDescent="0.3">
      <c r="A27" s="15" t="s">
        <v>119</v>
      </c>
      <c r="B27" s="16" t="s">
        <v>198</v>
      </c>
      <c r="C27" s="20">
        <v>70</v>
      </c>
      <c r="D27" s="18">
        <v>4.2</v>
      </c>
      <c r="E27" s="15">
        <v>23</v>
      </c>
      <c r="F27" s="15">
        <v>0</v>
      </c>
      <c r="G27" s="17">
        <v>3</v>
      </c>
      <c r="H27" s="1">
        <v>1</v>
      </c>
      <c r="I27" s="1">
        <v>1</v>
      </c>
    </row>
    <row r="28" spans="1:9" ht="15.75" customHeight="1" x14ac:dyDescent="0.3">
      <c r="A28" s="15" t="s">
        <v>119</v>
      </c>
      <c r="B28" s="16" t="s">
        <v>198</v>
      </c>
      <c r="C28" s="15">
        <v>69.17</v>
      </c>
      <c r="D28" s="18">
        <v>4.55</v>
      </c>
      <c r="E28" s="15">
        <v>27.5</v>
      </c>
      <c r="F28" s="15">
        <v>0.56999999999999995</v>
      </c>
      <c r="G28" s="21">
        <v>3</v>
      </c>
      <c r="H28" s="1">
        <v>3</v>
      </c>
      <c r="I28" s="1">
        <v>3</v>
      </c>
    </row>
    <row r="29" spans="1:9" ht="15.75" customHeight="1" x14ac:dyDescent="0.3">
      <c r="A29" s="15" t="s">
        <v>119</v>
      </c>
      <c r="B29" s="16" t="s">
        <v>198</v>
      </c>
      <c r="C29" s="20">
        <v>69</v>
      </c>
      <c r="D29" s="18">
        <v>4.55</v>
      </c>
      <c r="E29" s="15">
        <v>21</v>
      </c>
      <c r="F29" s="15">
        <v>0</v>
      </c>
      <c r="G29" s="21">
        <v>3</v>
      </c>
      <c r="H29" s="1">
        <v>1</v>
      </c>
      <c r="I29" s="1">
        <v>1</v>
      </c>
    </row>
    <row r="30" spans="1:9" ht="15.75" customHeight="1" x14ac:dyDescent="0.3">
      <c r="A30" s="15" t="s">
        <v>134</v>
      </c>
      <c r="B30" s="16" t="s">
        <v>176</v>
      </c>
      <c r="C30" s="15">
        <v>79</v>
      </c>
      <c r="D30" s="18">
        <v>0.309</v>
      </c>
      <c r="E30" s="15">
        <v>23.3</v>
      </c>
      <c r="F30" s="15">
        <v>0.5</v>
      </c>
      <c r="G30" s="17">
        <v>4</v>
      </c>
      <c r="H30" s="1">
        <v>10</v>
      </c>
      <c r="I30" s="1">
        <v>10</v>
      </c>
    </row>
    <row r="31" spans="1:9" ht="15.75" customHeight="1" x14ac:dyDescent="0.3">
      <c r="A31" s="15" t="s">
        <v>134</v>
      </c>
      <c r="B31" s="16" t="s">
        <v>176</v>
      </c>
      <c r="C31" s="15">
        <v>80</v>
      </c>
      <c r="D31" s="18">
        <v>0.32</v>
      </c>
      <c r="E31" s="15">
        <v>24</v>
      </c>
      <c r="F31" s="15">
        <v>0</v>
      </c>
      <c r="G31" s="17">
        <v>4</v>
      </c>
      <c r="H31" s="1">
        <v>7</v>
      </c>
      <c r="I31" s="1">
        <v>7</v>
      </c>
    </row>
    <row r="32" spans="1:9" ht="15.75" customHeight="1" x14ac:dyDescent="0.3">
      <c r="A32" s="15" t="s">
        <v>134</v>
      </c>
      <c r="B32" s="16" t="s">
        <v>177</v>
      </c>
      <c r="C32" s="15">
        <v>80</v>
      </c>
      <c r="D32" s="18">
        <v>1.85</v>
      </c>
      <c r="E32" s="15">
        <v>25.3</v>
      </c>
      <c r="F32" s="15">
        <v>0.8</v>
      </c>
      <c r="G32" s="17">
        <v>3</v>
      </c>
      <c r="H32" s="1">
        <v>14</v>
      </c>
      <c r="I32" s="1">
        <v>17</v>
      </c>
    </row>
    <row r="33" spans="1:9" ht="15.75" customHeight="1" x14ac:dyDescent="0.3">
      <c r="A33" s="15" t="s">
        <v>134</v>
      </c>
      <c r="B33" s="23" t="s">
        <v>177</v>
      </c>
      <c r="C33" s="15">
        <v>58</v>
      </c>
      <c r="D33" s="18">
        <v>0.27</v>
      </c>
      <c r="E33" s="15">
        <v>26.8</v>
      </c>
      <c r="F33" s="15">
        <v>0.5</v>
      </c>
      <c r="G33" s="17">
        <v>3</v>
      </c>
      <c r="H33" s="1">
        <v>5</v>
      </c>
      <c r="I33" s="1">
        <v>5</v>
      </c>
    </row>
    <row r="34" spans="1:9" ht="15.75" customHeight="1" x14ac:dyDescent="0.3">
      <c r="A34" s="15" t="s">
        <v>134</v>
      </c>
      <c r="B34" s="23" t="s">
        <v>200</v>
      </c>
      <c r="C34" s="20">
        <v>77</v>
      </c>
      <c r="D34" s="18">
        <v>0.28999999999999998</v>
      </c>
      <c r="E34" s="15">
        <v>22</v>
      </c>
      <c r="F34" s="15">
        <v>0</v>
      </c>
      <c r="G34" s="17">
        <v>5</v>
      </c>
      <c r="H34" s="1">
        <v>2</v>
      </c>
      <c r="I34" s="1">
        <v>2</v>
      </c>
    </row>
    <row r="35" spans="1:9" ht="15.75" customHeight="1" x14ac:dyDescent="0.3">
      <c r="A35" s="15" t="s">
        <v>134</v>
      </c>
      <c r="B35" s="23" t="s">
        <v>200</v>
      </c>
      <c r="C35" s="15">
        <v>77</v>
      </c>
      <c r="D35" s="18">
        <v>0.28999999999999998</v>
      </c>
      <c r="E35" s="15">
        <v>25.9</v>
      </c>
      <c r="F35" s="15">
        <v>0</v>
      </c>
      <c r="G35" s="17">
        <v>5</v>
      </c>
      <c r="H35" s="1">
        <v>12</v>
      </c>
      <c r="I35" s="1">
        <v>12</v>
      </c>
    </row>
    <row r="36" spans="1:9" ht="15.75" customHeight="1" x14ac:dyDescent="0.3">
      <c r="A36" s="15" t="s">
        <v>134</v>
      </c>
      <c r="B36" s="23" t="s">
        <v>200</v>
      </c>
      <c r="C36" s="15">
        <v>55</v>
      </c>
      <c r="D36" s="18">
        <v>4.9000000000000002E-2</v>
      </c>
      <c r="E36" s="15">
        <v>27.2</v>
      </c>
      <c r="F36" s="15">
        <v>0</v>
      </c>
      <c r="G36" s="17">
        <v>5</v>
      </c>
      <c r="H36" s="1">
        <v>3</v>
      </c>
      <c r="I36" s="1">
        <v>3</v>
      </c>
    </row>
    <row r="37" spans="1:9" ht="15.75" customHeight="1" x14ac:dyDescent="0.3">
      <c r="A37" s="15" t="s">
        <v>134</v>
      </c>
      <c r="B37" s="23" t="s">
        <v>180</v>
      </c>
      <c r="C37" s="15">
        <v>76</v>
      </c>
      <c r="D37" s="18">
        <v>0.30399999999999999</v>
      </c>
      <c r="E37" s="15">
        <v>24.9</v>
      </c>
      <c r="F37" s="15">
        <v>2</v>
      </c>
      <c r="G37" s="17">
        <v>5</v>
      </c>
      <c r="H37" s="1">
        <v>0</v>
      </c>
      <c r="I37" s="1">
        <v>0</v>
      </c>
    </row>
    <row r="38" spans="1:9" ht="15.75" customHeight="1" x14ac:dyDescent="0.3">
      <c r="A38" s="15" t="s">
        <v>134</v>
      </c>
      <c r="B38" s="23" t="s">
        <v>180</v>
      </c>
      <c r="C38" s="15">
        <v>47</v>
      </c>
      <c r="D38" s="18">
        <v>0.13600000000000001</v>
      </c>
      <c r="E38" s="15">
        <v>29.3</v>
      </c>
      <c r="F38" s="15">
        <v>0.7</v>
      </c>
      <c r="G38" s="17">
        <v>5</v>
      </c>
      <c r="H38" s="1">
        <v>2</v>
      </c>
      <c r="I38" s="1">
        <v>3</v>
      </c>
    </row>
    <row r="39" spans="1:9" ht="15.75" customHeight="1" x14ac:dyDescent="0.3">
      <c r="A39" s="15" t="s">
        <v>134</v>
      </c>
      <c r="B39" s="23" t="s">
        <v>181</v>
      </c>
      <c r="C39" s="20">
        <v>63</v>
      </c>
      <c r="D39" s="18">
        <v>0.08</v>
      </c>
      <c r="E39" s="15">
        <v>21</v>
      </c>
      <c r="F39" s="15">
        <v>0</v>
      </c>
      <c r="G39" s="17">
        <v>3</v>
      </c>
      <c r="H39" s="1">
        <v>1</v>
      </c>
      <c r="I39" s="1">
        <v>1</v>
      </c>
    </row>
    <row r="40" spans="1:9" ht="15.75" customHeight="1" x14ac:dyDescent="0.3">
      <c r="A40" s="15" t="s">
        <v>138</v>
      </c>
      <c r="B40" s="23" t="s">
        <v>181</v>
      </c>
      <c r="C40" s="15">
        <v>63</v>
      </c>
      <c r="D40" s="18">
        <v>6.6900000000000001E-2</v>
      </c>
      <c r="E40" s="15">
        <v>33.700000000000003</v>
      </c>
      <c r="F40" s="15">
        <v>2.4</v>
      </c>
      <c r="G40" s="17">
        <v>3</v>
      </c>
      <c r="H40" s="1">
        <v>4</v>
      </c>
      <c r="I40" s="1">
        <v>4</v>
      </c>
    </row>
    <row r="41" spans="1:9" ht="15.75" customHeight="1" x14ac:dyDescent="0.3">
      <c r="A41" s="15" t="s">
        <v>134</v>
      </c>
      <c r="B41" s="23" t="s">
        <v>181</v>
      </c>
      <c r="C41" s="15">
        <v>44</v>
      </c>
      <c r="D41" s="18">
        <v>21.4</v>
      </c>
      <c r="E41" s="15">
        <v>34.4</v>
      </c>
      <c r="F41" s="15">
        <v>2</v>
      </c>
      <c r="G41" s="17">
        <v>3</v>
      </c>
      <c r="H41" s="1">
        <v>4</v>
      </c>
      <c r="I41" s="1">
        <v>4</v>
      </c>
    </row>
    <row r="42" spans="1:9" ht="15.75" customHeight="1" x14ac:dyDescent="0.3">
      <c r="A42" s="15" t="s">
        <v>134</v>
      </c>
      <c r="B42" s="23" t="s">
        <v>198</v>
      </c>
      <c r="C42" s="15">
        <v>57</v>
      </c>
      <c r="D42" s="18">
        <v>32.799999999999997</v>
      </c>
      <c r="E42" s="15">
        <v>30.4</v>
      </c>
      <c r="F42" s="15">
        <v>3.9</v>
      </c>
      <c r="G42" s="17">
        <v>3</v>
      </c>
      <c r="H42" s="1">
        <v>1</v>
      </c>
      <c r="I42" s="1">
        <v>1</v>
      </c>
    </row>
    <row r="43" spans="1:9" ht="15.75" customHeight="1" x14ac:dyDescent="0.3">
      <c r="A43" s="15" t="s">
        <v>134</v>
      </c>
      <c r="B43" s="15" t="s">
        <v>198</v>
      </c>
      <c r="C43" s="15">
        <v>28</v>
      </c>
      <c r="D43" s="18">
        <v>31.5</v>
      </c>
      <c r="E43" s="15">
        <v>43.8</v>
      </c>
      <c r="F43" s="15">
        <v>1.1000000000000001</v>
      </c>
      <c r="G43" s="17">
        <v>3</v>
      </c>
      <c r="H43" s="1">
        <v>2</v>
      </c>
      <c r="I43" s="1">
        <v>2</v>
      </c>
    </row>
    <row r="44" spans="1:9" ht="15.75" customHeight="1" x14ac:dyDescent="0.3">
      <c r="A44" s="15" t="s">
        <v>141</v>
      </c>
      <c r="B44" s="26" t="s">
        <v>176</v>
      </c>
      <c r="C44" s="30">
        <v>95</v>
      </c>
      <c r="D44" s="29">
        <v>0.59</v>
      </c>
      <c r="E44" s="30">
        <v>23.4</v>
      </c>
      <c r="F44" s="30">
        <v>0</v>
      </c>
      <c r="G44" s="21">
        <v>4</v>
      </c>
      <c r="H44" s="1">
        <v>9</v>
      </c>
      <c r="I44" s="1">
        <v>18</v>
      </c>
    </row>
    <row r="45" spans="1:9" ht="15.75" customHeight="1" x14ac:dyDescent="0.3">
      <c r="A45" s="15" t="s">
        <v>141</v>
      </c>
      <c r="B45" s="26" t="s">
        <v>177</v>
      </c>
      <c r="C45" s="30">
        <v>99</v>
      </c>
      <c r="D45" s="29">
        <v>34.6</v>
      </c>
      <c r="E45" s="30">
        <v>25.4</v>
      </c>
      <c r="F45" s="30">
        <v>2.2999999999999998</v>
      </c>
      <c r="G45" s="21">
        <v>3</v>
      </c>
      <c r="H45" s="1">
        <v>11</v>
      </c>
      <c r="I45" s="1">
        <v>11</v>
      </c>
    </row>
    <row r="46" spans="1:9" ht="15.75" customHeight="1" x14ac:dyDescent="0.3">
      <c r="A46" s="15" t="s">
        <v>141</v>
      </c>
      <c r="B46" s="26" t="s">
        <v>200</v>
      </c>
      <c r="C46" s="33">
        <v>99</v>
      </c>
      <c r="D46" s="29">
        <v>0.42</v>
      </c>
      <c r="E46" s="30">
        <v>22</v>
      </c>
      <c r="F46" s="30">
        <v>0</v>
      </c>
      <c r="G46" s="21">
        <v>5</v>
      </c>
      <c r="H46" s="1">
        <v>7</v>
      </c>
      <c r="I46" s="1">
        <v>10</v>
      </c>
    </row>
    <row r="47" spans="1:9" ht="15.75" customHeight="1" x14ac:dyDescent="0.3">
      <c r="A47" s="15" t="s">
        <v>141</v>
      </c>
      <c r="B47" s="26" t="s">
        <v>200</v>
      </c>
      <c r="C47" s="30">
        <v>99</v>
      </c>
      <c r="D47" s="34">
        <v>0.47249999999999998</v>
      </c>
      <c r="E47" s="30">
        <v>25.7</v>
      </c>
      <c r="F47" s="26">
        <v>0</v>
      </c>
      <c r="G47" s="21">
        <v>5</v>
      </c>
      <c r="H47" s="1">
        <v>8</v>
      </c>
      <c r="I47" s="1">
        <v>9</v>
      </c>
    </row>
    <row r="48" spans="1:9" ht="15.75" customHeight="1" x14ac:dyDescent="0.3">
      <c r="A48" s="15" t="s">
        <v>141</v>
      </c>
      <c r="B48" s="26" t="s">
        <v>200</v>
      </c>
      <c r="C48" s="30">
        <v>99</v>
      </c>
      <c r="D48" s="29">
        <v>32.6</v>
      </c>
      <c r="E48" s="30">
        <v>23.7</v>
      </c>
      <c r="F48" s="26">
        <v>0</v>
      </c>
      <c r="G48" s="21">
        <v>5</v>
      </c>
      <c r="H48" s="1">
        <v>3</v>
      </c>
      <c r="I48" s="1">
        <v>3</v>
      </c>
    </row>
    <row r="49" spans="1:9" ht="15.75" customHeight="1" x14ac:dyDescent="0.3">
      <c r="A49" s="15" t="s">
        <v>141</v>
      </c>
      <c r="B49" s="26" t="s">
        <v>180</v>
      </c>
      <c r="C49" s="30">
        <v>97</v>
      </c>
      <c r="D49" s="35">
        <v>0.53600000000000003</v>
      </c>
      <c r="E49" s="30">
        <v>24.9</v>
      </c>
      <c r="F49" s="30">
        <v>0</v>
      </c>
      <c r="G49" s="21">
        <v>5</v>
      </c>
      <c r="H49" s="1">
        <v>5</v>
      </c>
      <c r="I49" s="1">
        <v>9</v>
      </c>
    </row>
    <row r="50" spans="1:9" ht="15.75" customHeight="1" x14ac:dyDescent="0.3">
      <c r="A50" s="15" t="s">
        <v>141</v>
      </c>
      <c r="B50" s="26" t="s">
        <v>180</v>
      </c>
      <c r="C50" s="30">
        <v>99</v>
      </c>
      <c r="D50" s="29">
        <v>47.9</v>
      </c>
      <c r="E50" s="30">
        <v>24.1</v>
      </c>
      <c r="F50" s="30">
        <v>0.5</v>
      </c>
      <c r="G50" s="21">
        <v>5</v>
      </c>
      <c r="H50" s="1">
        <v>1</v>
      </c>
      <c r="I50" s="1">
        <v>1</v>
      </c>
    </row>
    <row r="51" spans="1:9" ht="15.75" customHeight="1" x14ac:dyDescent="0.3">
      <c r="A51" s="15" t="s">
        <v>141</v>
      </c>
      <c r="B51" s="26" t="s">
        <v>181</v>
      </c>
      <c r="C51" s="30">
        <v>99</v>
      </c>
      <c r="D51" s="29">
        <v>53.2</v>
      </c>
      <c r="E51" s="30">
        <v>27.5</v>
      </c>
      <c r="F51" s="30">
        <v>0</v>
      </c>
      <c r="G51" s="21">
        <v>3</v>
      </c>
      <c r="H51" s="1">
        <v>4</v>
      </c>
      <c r="I51" s="1">
        <v>7</v>
      </c>
    </row>
    <row r="52" spans="1:9" ht="15.75" customHeight="1" x14ac:dyDescent="0.3">
      <c r="A52" s="15" t="s">
        <v>141</v>
      </c>
      <c r="B52" s="26" t="s">
        <v>181</v>
      </c>
      <c r="C52" s="30">
        <v>99</v>
      </c>
      <c r="D52" s="29">
        <v>8.23</v>
      </c>
      <c r="E52" s="30">
        <v>23.7</v>
      </c>
      <c r="F52" s="30">
        <v>0</v>
      </c>
      <c r="G52" s="21">
        <v>3</v>
      </c>
      <c r="H52" s="1">
        <v>2</v>
      </c>
      <c r="I52" s="1">
        <v>4</v>
      </c>
    </row>
    <row r="53" spans="1:9" ht="15.75" customHeight="1" x14ac:dyDescent="0.3">
      <c r="A53" s="15" t="s">
        <v>141</v>
      </c>
      <c r="B53" s="26" t="s">
        <v>198</v>
      </c>
      <c r="C53" s="30">
        <v>77</v>
      </c>
      <c r="D53" s="29">
        <v>8.5399999999999991</v>
      </c>
      <c r="E53" s="30">
        <v>28</v>
      </c>
      <c r="F53" s="30">
        <v>1.75</v>
      </c>
      <c r="G53" s="21">
        <v>3</v>
      </c>
      <c r="H53" s="1">
        <v>6</v>
      </c>
      <c r="I53" s="1">
        <v>12</v>
      </c>
    </row>
    <row r="54" spans="1:9" ht="15.75" customHeight="1" x14ac:dyDescent="0.3">
      <c r="A54" s="15" t="s">
        <v>141</v>
      </c>
      <c r="B54" s="26" t="s">
        <v>198</v>
      </c>
      <c r="C54" s="30">
        <v>99</v>
      </c>
      <c r="D54" s="29">
        <v>7.51</v>
      </c>
      <c r="E54" s="30">
        <v>23.7</v>
      </c>
      <c r="F54" s="30">
        <v>0</v>
      </c>
      <c r="G54" s="21">
        <v>3</v>
      </c>
      <c r="H54" s="1">
        <v>4</v>
      </c>
      <c r="I54" s="1">
        <v>15</v>
      </c>
    </row>
    <row r="55" spans="1:9" ht="15.75" customHeight="1" x14ac:dyDescent="0.3">
      <c r="A55" s="15" t="s">
        <v>141</v>
      </c>
      <c r="B55" s="27" t="s">
        <v>183</v>
      </c>
      <c r="C55" s="30">
        <v>79</v>
      </c>
      <c r="D55" s="29">
        <v>73.7</v>
      </c>
      <c r="E55" s="30">
        <v>29.1</v>
      </c>
      <c r="F55" s="30">
        <v>1</v>
      </c>
      <c r="G55" s="21">
        <v>3</v>
      </c>
      <c r="H55" s="1">
        <v>0</v>
      </c>
      <c r="I55" s="1">
        <v>0</v>
      </c>
    </row>
    <row r="56" spans="1:9" ht="15.75" customHeight="1" x14ac:dyDescent="0.3">
      <c r="A56" s="15" t="s">
        <v>141</v>
      </c>
      <c r="B56" s="27" t="s">
        <v>186</v>
      </c>
      <c r="C56" s="30">
        <v>75</v>
      </c>
      <c r="D56" s="35">
        <v>0.71899999999999997</v>
      </c>
      <c r="E56" s="30">
        <v>25.8</v>
      </c>
      <c r="F56" s="30">
        <v>0</v>
      </c>
      <c r="G56" s="21">
        <v>6</v>
      </c>
      <c r="H56" s="1">
        <v>0</v>
      </c>
      <c r="I56" s="1">
        <v>0</v>
      </c>
    </row>
    <row r="57" spans="1:9" ht="15.75" customHeight="1" x14ac:dyDescent="0.3">
      <c r="A57" s="15" t="s">
        <v>146</v>
      </c>
      <c r="B57" s="23" t="s">
        <v>176</v>
      </c>
      <c r="C57" s="15">
        <v>99</v>
      </c>
      <c r="D57" s="36">
        <v>0.27700000000000002</v>
      </c>
      <c r="E57" s="15">
        <v>26.4</v>
      </c>
      <c r="F57" s="15">
        <v>0</v>
      </c>
      <c r="G57" s="17">
        <v>4</v>
      </c>
      <c r="H57" s="1">
        <v>6</v>
      </c>
      <c r="I57" s="1">
        <v>22</v>
      </c>
    </row>
    <row r="58" spans="1:9" ht="15.75" customHeight="1" x14ac:dyDescent="0.3">
      <c r="A58" s="15" t="s">
        <v>146</v>
      </c>
      <c r="B58" s="23" t="s">
        <v>177</v>
      </c>
      <c r="C58" s="15">
        <v>92</v>
      </c>
      <c r="D58" s="18">
        <v>0.78</v>
      </c>
      <c r="E58" s="15">
        <v>24.6</v>
      </c>
      <c r="F58" s="15">
        <v>0</v>
      </c>
      <c r="G58" s="17">
        <v>3</v>
      </c>
      <c r="H58" s="1">
        <v>9</v>
      </c>
      <c r="I58" s="1">
        <v>14</v>
      </c>
    </row>
    <row r="59" spans="1:9" ht="15.75" customHeight="1" x14ac:dyDescent="0.3">
      <c r="A59" s="15" t="s">
        <v>146</v>
      </c>
      <c r="B59" s="23" t="s">
        <v>200</v>
      </c>
      <c r="C59" s="15">
        <v>94</v>
      </c>
      <c r="D59" s="36">
        <v>0.50800000000000001</v>
      </c>
      <c r="E59" s="15">
        <v>24.8</v>
      </c>
      <c r="F59" s="15">
        <v>0</v>
      </c>
      <c r="G59" s="17">
        <v>5</v>
      </c>
      <c r="H59" s="1">
        <v>8</v>
      </c>
      <c r="I59" s="1">
        <v>8</v>
      </c>
    </row>
    <row r="60" spans="1:9" ht="15.75" customHeight="1" x14ac:dyDescent="0.3">
      <c r="A60" s="15" t="s">
        <v>146</v>
      </c>
      <c r="B60" s="23" t="s">
        <v>200</v>
      </c>
      <c r="C60" s="15">
        <v>94</v>
      </c>
      <c r="D60" s="36">
        <v>0.5</v>
      </c>
      <c r="E60" s="15">
        <v>24.8</v>
      </c>
      <c r="F60" s="15">
        <v>0</v>
      </c>
      <c r="G60" s="17">
        <v>5</v>
      </c>
      <c r="H60" s="1">
        <v>2</v>
      </c>
      <c r="I60" s="1">
        <v>6</v>
      </c>
    </row>
    <row r="61" spans="1:9" ht="15.75" customHeight="1" x14ac:dyDescent="0.3">
      <c r="A61" s="15" t="s">
        <v>146</v>
      </c>
      <c r="B61" s="23" t="s">
        <v>200</v>
      </c>
      <c r="C61" s="20">
        <v>94</v>
      </c>
      <c r="D61" s="36">
        <v>0.5</v>
      </c>
      <c r="E61" s="15">
        <v>23</v>
      </c>
      <c r="F61" s="15">
        <v>0</v>
      </c>
      <c r="G61" s="17">
        <v>5</v>
      </c>
      <c r="H61" s="1">
        <v>5</v>
      </c>
      <c r="I61" s="1">
        <v>5</v>
      </c>
    </row>
    <row r="62" spans="1:9" ht="15.75" customHeight="1" x14ac:dyDescent="0.3">
      <c r="A62" s="15" t="s">
        <v>146</v>
      </c>
      <c r="B62" s="23" t="s">
        <v>200</v>
      </c>
      <c r="C62" s="20">
        <v>94</v>
      </c>
      <c r="D62" s="36">
        <v>0.5</v>
      </c>
      <c r="E62" s="15">
        <v>22</v>
      </c>
      <c r="F62" s="15">
        <v>0</v>
      </c>
      <c r="G62" s="17">
        <v>5</v>
      </c>
      <c r="H62" s="1">
        <v>1</v>
      </c>
      <c r="I62" s="1">
        <v>1</v>
      </c>
    </row>
    <row r="63" spans="1:9" ht="15.75" customHeight="1" x14ac:dyDescent="0.3">
      <c r="A63" s="15" t="s">
        <v>146</v>
      </c>
      <c r="B63" s="23" t="s">
        <v>181</v>
      </c>
      <c r="C63" s="15">
        <v>99</v>
      </c>
      <c r="D63" s="18">
        <v>7.59</v>
      </c>
      <c r="E63" s="15">
        <v>23.9</v>
      </c>
      <c r="F63" s="15">
        <v>0</v>
      </c>
      <c r="G63" s="17">
        <v>3</v>
      </c>
      <c r="H63" s="1">
        <v>5</v>
      </c>
      <c r="I63" s="1">
        <v>6</v>
      </c>
    </row>
    <row r="64" spans="1:9" ht="15.75" customHeight="1" x14ac:dyDescent="0.3">
      <c r="A64" s="15" t="s">
        <v>146</v>
      </c>
      <c r="B64" s="23" t="s">
        <v>198</v>
      </c>
      <c r="C64" s="15">
        <v>99</v>
      </c>
      <c r="D64" s="18">
        <v>13.05</v>
      </c>
      <c r="E64" s="15">
        <v>25.9</v>
      </c>
      <c r="F64" s="15">
        <v>0.45</v>
      </c>
      <c r="G64" s="17">
        <v>3</v>
      </c>
      <c r="H64" s="1">
        <v>4</v>
      </c>
      <c r="I64" s="1">
        <v>4</v>
      </c>
    </row>
    <row r="65" spans="1:9" ht="15.75" customHeight="1" x14ac:dyDescent="0.3">
      <c r="A65" s="15" t="s">
        <v>146</v>
      </c>
      <c r="B65" s="23" t="s">
        <v>183</v>
      </c>
      <c r="C65" s="15">
        <v>79</v>
      </c>
      <c r="D65" s="18">
        <v>15.5</v>
      </c>
      <c r="E65" s="15">
        <v>28.3</v>
      </c>
      <c r="F65" s="15">
        <v>0</v>
      </c>
      <c r="G65" s="17">
        <v>3</v>
      </c>
      <c r="H65" s="1">
        <v>3</v>
      </c>
      <c r="I65" s="1">
        <v>3</v>
      </c>
    </row>
    <row r="66" spans="1:9" ht="15.75" customHeight="1" x14ac:dyDescent="0.3">
      <c r="A66" s="15" t="s">
        <v>146</v>
      </c>
      <c r="B66" s="23" t="s">
        <v>183</v>
      </c>
      <c r="C66" s="15">
        <v>79</v>
      </c>
      <c r="D66" s="18">
        <v>4.87</v>
      </c>
      <c r="E66" s="15">
        <v>25.2</v>
      </c>
      <c r="F66" s="15">
        <v>0</v>
      </c>
      <c r="G66" s="17">
        <v>3</v>
      </c>
      <c r="H66" s="1">
        <v>0</v>
      </c>
      <c r="I66" s="1">
        <v>0</v>
      </c>
    </row>
    <row r="67" spans="1:9" ht="15.75" customHeight="1" x14ac:dyDescent="0.3">
      <c r="A67" s="15" t="s">
        <v>146</v>
      </c>
      <c r="B67" s="23" t="s">
        <v>186</v>
      </c>
      <c r="C67" s="15">
        <v>79</v>
      </c>
      <c r="D67" s="18">
        <v>0.56999999999999995</v>
      </c>
      <c r="E67" s="15">
        <v>24.8</v>
      </c>
      <c r="F67" s="15">
        <v>0</v>
      </c>
      <c r="G67" s="17">
        <v>6</v>
      </c>
      <c r="H67" s="1">
        <v>3</v>
      </c>
      <c r="I67" s="1">
        <v>4</v>
      </c>
    </row>
    <row r="68" spans="1:9" ht="15.75" customHeight="1" x14ac:dyDescent="0.3">
      <c r="A68" s="15" t="s">
        <v>146</v>
      </c>
      <c r="B68" s="23" t="s">
        <v>186</v>
      </c>
      <c r="C68" s="15">
        <v>96</v>
      </c>
      <c r="D68" s="18">
        <v>15.05</v>
      </c>
      <c r="E68" s="15">
        <v>30.2</v>
      </c>
      <c r="F68" s="15">
        <v>0</v>
      </c>
      <c r="G68" s="17">
        <v>6</v>
      </c>
      <c r="H68" s="1">
        <v>2</v>
      </c>
      <c r="I68" s="1">
        <v>6</v>
      </c>
    </row>
    <row r="69" spans="1:9" ht="15.75" customHeight="1" x14ac:dyDescent="0.3">
      <c r="A69" s="15" t="s">
        <v>146</v>
      </c>
      <c r="B69" s="15" t="s">
        <v>186</v>
      </c>
      <c r="C69" s="15">
        <v>57</v>
      </c>
      <c r="D69" s="18">
        <v>153.19999999999999</v>
      </c>
      <c r="E69" s="15">
        <v>30.2</v>
      </c>
      <c r="F69" s="15">
        <v>0.4</v>
      </c>
      <c r="G69" s="17">
        <v>6</v>
      </c>
      <c r="H69" s="1">
        <v>2</v>
      </c>
      <c r="I69" s="1">
        <v>3</v>
      </c>
    </row>
    <row r="70" spans="1:9" ht="15.75" customHeight="1" x14ac:dyDescent="0.3">
      <c r="A70" s="15" t="s">
        <v>153</v>
      </c>
      <c r="B70" s="23" t="s">
        <v>176</v>
      </c>
      <c r="C70" s="15">
        <v>98</v>
      </c>
      <c r="D70" s="18">
        <v>7.54</v>
      </c>
      <c r="E70" s="15">
        <v>25.8</v>
      </c>
      <c r="F70" s="15">
        <v>0</v>
      </c>
      <c r="G70" s="17">
        <v>4</v>
      </c>
      <c r="H70" s="1">
        <v>5</v>
      </c>
      <c r="I70" s="1">
        <v>7</v>
      </c>
    </row>
    <row r="71" spans="1:9" ht="15.75" customHeight="1" x14ac:dyDescent="0.3">
      <c r="A71" s="15" t="s">
        <v>153</v>
      </c>
      <c r="B71" s="23" t="s">
        <v>176</v>
      </c>
      <c r="C71" s="15">
        <v>99</v>
      </c>
      <c r="D71" s="18">
        <v>6.06</v>
      </c>
      <c r="E71" s="15">
        <v>25.35</v>
      </c>
      <c r="F71" s="15">
        <v>0</v>
      </c>
      <c r="G71" s="17">
        <v>4</v>
      </c>
      <c r="H71" s="1">
        <v>9</v>
      </c>
      <c r="I71" s="1">
        <v>9</v>
      </c>
    </row>
    <row r="72" spans="1:9" ht="15.75" customHeight="1" x14ac:dyDescent="0.3">
      <c r="A72" s="15" t="s">
        <v>153</v>
      </c>
      <c r="B72" s="23" t="s">
        <v>177</v>
      </c>
      <c r="C72" s="15">
        <v>98</v>
      </c>
      <c r="D72" s="18">
        <v>0.77</v>
      </c>
      <c r="E72" s="15">
        <v>22.6</v>
      </c>
      <c r="F72" s="15">
        <v>0</v>
      </c>
      <c r="G72" s="17">
        <v>3</v>
      </c>
      <c r="H72" s="1">
        <v>8</v>
      </c>
      <c r="I72" s="1">
        <v>14</v>
      </c>
    </row>
    <row r="73" spans="1:9" ht="15.75" customHeight="1" x14ac:dyDescent="0.3">
      <c r="A73" s="15" t="s">
        <v>153</v>
      </c>
      <c r="B73" s="23" t="s">
        <v>177</v>
      </c>
      <c r="C73" s="15">
        <v>82</v>
      </c>
      <c r="D73" s="36">
        <v>0.19800000000000001</v>
      </c>
      <c r="E73" s="15">
        <v>24.3</v>
      </c>
      <c r="F73" s="15">
        <v>0</v>
      </c>
      <c r="G73" s="17">
        <v>3</v>
      </c>
      <c r="H73" s="1">
        <v>9</v>
      </c>
      <c r="I73" s="1">
        <v>12</v>
      </c>
    </row>
    <row r="74" spans="1:9" ht="15.75" customHeight="1" x14ac:dyDescent="0.3">
      <c r="A74" s="15" t="s">
        <v>153</v>
      </c>
      <c r="B74" s="23" t="s">
        <v>200</v>
      </c>
      <c r="C74" s="15">
        <v>98</v>
      </c>
      <c r="D74" s="18">
        <v>3.69</v>
      </c>
      <c r="E74" s="15">
        <v>22.35</v>
      </c>
      <c r="F74" s="15">
        <v>0</v>
      </c>
      <c r="G74" s="17">
        <v>5</v>
      </c>
      <c r="H74" s="1">
        <v>3</v>
      </c>
      <c r="I74" s="1">
        <v>7</v>
      </c>
    </row>
    <row r="75" spans="1:9" ht="15.75" customHeight="1" x14ac:dyDescent="0.3">
      <c r="A75" s="15" t="s">
        <v>153</v>
      </c>
      <c r="B75" s="23" t="s">
        <v>200</v>
      </c>
      <c r="C75" s="15">
        <v>98</v>
      </c>
      <c r="D75" s="18">
        <v>3.69</v>
      </c>
      <c r="E75" s="15">
        <v>22.35</v>
      </c>
      <c r="F75" s="15">
        <v>0</v>
      </c>
      <c r="G75" s="17">
        <v>5</v>
      </c>
      <c r="H75" s="1">
        <v>13</v>
      </c>
      <c r="I75" s="1">
        <v>14</v>
      </c>
    </row>
    <row r="76" spans="1:9" ht="15.75" customHeight="1" x14ac:dyDescent="0.3">
      <c r="A76" s="15" t="s">
        <v>153</v>
      </c>
      <c r="B76" s="23" t="s">
        <v>200</v>
      </c>
      <c r="C76" s="15">
        <v>90</v>
      </c>
      <c r="D76" s="36">
        <v>3.5000000000000003E-2</v>
      </c>
      <c r="E76" s="15">
        <v>24.2</v>
      </c>
      <c r="F76" s="15">
        <v>0</v>
      </c>
      <c r="G76" s="17">
        <v>5</v>
      </c>
      <c r="H76" s="1">
        <v>1</v>
      </c>
      <c r="I76" s="1">
        <v>1</v>
      </c>
    </row>
    <row r="77" spans="1:9" ht="15.75" customHeight="1" x14ac:dyDescent="0.3">
      <c r="A77" s="15" t="s">
        <v>153</v>
      </c>
      <c r="B77" s="23" t="s">
        <v>200</v>
      </c>
      <c r="C77" s="15">
        <v>61</v>
      </c>
      <c r="D77" s="36">
        <v>9.4E-2</v>
      </c>
      <c r="E77" s="15">
        <v>25.5</v>
      </c>
      <c r="F77" s="15">
        <v>0</v>
      </c>
      <c r="G77" s="17">
        <v>5</v>
      </c>
      <c r="H77" s="1">
        <v>6</v>
      </c>
      <c r="I77" s="1">
        <v>8</v>
      </c>
    </row>
    <row r="78" spans="1:9" ht="15.75" customHeight="1" x14ac:dyDescent="0.3">
      <c r="A78" s="15" t="s">
        <v>153</v>
      </c>
      <c r="B78" s="23" t="s">
        <v>200</v>
      </c>
      <c r="C78" s="15">
        <v>65</v>
      </c>
      <c r="D78" s="36">
        <v>3.5000000000000003E-2</v>
      </c>
      <c r="E78" s="15">
        <v>25.7</v>
      </c>
      <c r="F78" s="15">
        <v>0</v>
      </c>
      <c r="G78" s="17">
        <v>5</v>
      </c>
      <c r="H78" s="1">
        <v>3</v>
      </c>
      <c r="I78" s="1">
        <v>3</v>
      </c>
    </row>
    <row r="79" spans="1:9" ht="15.75" customHeight="1" x14ac:dyDescent="0.3">
      <c r="A79" s="15" t="s">
        <v>153</v>
      </c>
      <c r="B79" s="23" t="s">
        <v>180</v>
      </c>
      <c r="C79" s="15">
        <v>85</v>
      </c>
      <c r="D79" s="18">
        <v>3.81</v>
      </c>
      <c r="E79" s="15">
        <v>25</v>
      </c>
      <c r="F79" s="15">
        <v>0</v>
      </c>
      <c r="G79" s="17">
        <v>5</v>
      </c>
      <c r="H79" s="1">
        <v>3</v>
      </c>
      <c r="I79" s="1">
        <v>3</v>
      </c>
    </row>
    <row r="80" spans="1:9" ht="15.75" customHeight="1" x14ac:dyDescent="0.3">
      <c r="A80" s="15" t="s">
        <v>153</v>
      </c>
      <c r="B80" s="23" t="s">
        <v>180</v>
      </c>
      <c r="C80" s="15">
        <v>61</v>
      </c>
      <c r="D80" s="18">
        <v>4.78</v>
      </c>
      <c r="E80" s="15">
        <v>28.7</v>
      </c>
      <c r="F80" s="15">
        <v>0</v>
      </c>
      <c r="G80" s="17">
        <v>5</v>
      </c>
      <c r="H80" s="1">
        <v>0</v>
      </c>
      <c r="I80" s="1">
        <v>0</v>
      </c>
    </row>
    <row r="81" spans="1:9" ht="15.75" customHeight="1" x14ac:dyDescent="0.3">
      <c r="A81" s="15" t="s">
        <v>153</v>
      </c>
      <c r="B81" s="23" t="s">
        <v>180</v>
      </c>
      <c r="C81" s="15">
        <v>47</v>
      </c>
      <c r="D81" s="36">
        <v>0.74399999999999999</v>
      </c>
      <c r="E81" s="15">
        <v>29.9</v>
      </c>
      <c r="F81" s="15">
        <v>0</v>
      </c>
      <c r="G81" s="17">
        <v>5</v>
      </c>
      <c r="H81" s="1">
        <v>2</v>
      </c>
      <c r="I81" s="1">
        <v>2</v>
      </c>
    </row>
    <row r="82" spans="1:9" ht="15.75" customHeight="1" x14ac:dyDescent="0.3">
      <c r="A82" s="15" t="s">
        <v>153</v>
      </c>
      <c r="B82" s="23" t="s">
        <v>180</v>
      </c>
      <c r="C82" s="15">
        <v>50</v>
      </c>
      <c r="D82" s="36">
        <v>0.7</v>
      </c>
      <c r="E82" s="15">
        <v>26.3</v>
      </c>
      <c r="F82" s="15">
        <v>0</v>
      </c>
      <c r="G82" s="17">
        <v>5</v>
      </c>
      <c r="H82" s="1">
        <v>2</v>
      </c>
      <c r="I82" s="1">
        <v>5</v>
      </c>
    </row>
    <row r="83" spans="1:9" ht="15.75" customHeight="1" x14ac:dyDescent="0.3">
      <c r="A83" s="15" t="s">
        <v>153</v>
      </c>
      <c r="B83" s="23" t="s">
        <v>181</v>
      </c>
      <c r="C83" s="15">
        <v>85</v>
      </c>
      <c r="D83" s="18">
        <v>13.84</v>
      </c>
      <c r="E83" s="15">
        <v>26.7</v>
      </c>
      <c r="F83" s="15">
        <v>0</v>
      </c>
      <c r="G83" s="17">
        <v>3</v>
      </c>
      <c r="H83" s="1">
        <v>4</v>
      </c>
      <c r="I83" s="1">
        <v>6</v>
      </c>
    </row>
    <row r="84" spans="1:9" ht="15.75" customHeight="1" x14ac:dyDescent="0.3">
      <c r="A84" s="15" t="s">
        <v>153</v>
      </c>
      <c r="B84" s="23" t="s">
        <v>181</v>
      </c>
      <c r="C84" s="15">
        <v>55</v>
      </c>
      <c r="D84" s="18">
        <v>55.3</v>
      </c>
      <c r="E84" s="15">
        <v>30.2</v>
      </c>
      <c r="F84" s="15">
        <v>0</v>
      </c>
      <c r="G84" s="17">
        <v>3</v>
      </c>
      <c r="H84" s="1">
        <v>0</v>
      </c>
      <c r="I84" s="1">
        <v>0</v>
      </c>
    </row>
    <row r="85" spans="1:9" ht="15.75" customHeight="1" x14ac:dyDescent="0.3">
      <c r="A85" s="15" t="s">
        <v>153</v>
      </c>
      <c r="B85" s="23" t="s">
        <v>181</v>
      </c>
      <c r="C85" s="15">
        <v>51</v>
      </c>
      <c r="D85" s="18">
        <v>26.78</v>
      </c>
      <c r="E85" s="15">
        <v>30.7</v>
      </c>
      <c r="F85" s="15">
        <v>0</v>
      </c>
      <c r="G85" s="17">
        <v>3</v>
      </c>
      <c r="H85" s="1">
        <v>2</v>
      </c>
      <c r="I85" s="1">
        <v>2</v>
      </c>
    </row>
    <row r="86" spans="1:9" ht="15.75" customHeight="1" x14ac:dyDescent="0.3">
      <c r="A86" s="15" t="s">
        <v>153</v>
      </c>
      <c r="B86" s="23" t="s">
        <v>198</v>
      </c>
      <c r="C86" s="15">
        <v>90</v>
      </c>
      <c r="D86" s="18">
        <v>8.44</v>
      </c>
      <c r="E86" s="15">
        <v>27.4</v>
      </c>
      <c r="F86" s="15">
        <v>0.8</v>
      </c>
      <c r="G86" s="17">
        <v>3</v>
      </c>
      <c r="H86" s="1">
        <v>12</v>
      </c>
      <c r="I86" s="1">
        <v>17</v>
      </c>
    </row>
    <row r="87" spans="1:9" ht="15.75" customHeight="1" x14ac:dyDescent="0.3">
      <c r="A87" s="15" t="s">
        <v>153</v>
      </c>
      <c r="B87" s="16" t="s">
        <v>198</v>
      </c>
      <c r="C87" s="15">
        <v>58</v>
      </c>
      <c r="D87" s="18">
        <v>30.1</v>
      </c>
      <c r="E87" s="15">
        <v>29.1</v>
      </c>
      <c r="F87" s="15">
        <v>0</v>
      </c>
      <c r="G87" s="17">
        <v>3</v>
      </c>
      <c r="H87" s="1">
        <v>2</v>
      </c>
      <c r="I87" s="1">
        <v>2</v>
      </c>
    </row>
    <row r="88" spans="1:9" ht="15.75" customHeight="1" x14ac:dyDescent="0.3">
      <c r="A88" s="15" t="s">
        <v>153</v>
      </c>
      <c r="B88" s="23" t="s">
        <v>183</v>
      </c>
      <c r="C88" s="15">
        <v>95</v>
      </c>
      <c r="D88" s="18">
        <v>10.69</v>
      </c>
      <c r="E88" s="15">
        <v>22.8</v>
      </c>
      <c r="F88" s="15">
        <v>1.2</v>
      </c>
      <c r="G88" s="17">
        <v>3</v>
      </c>
      <c r="H88" s="1">
        <v>4</v>
      </c>
      <c r="I88" s="1">
        <v>7</v>
      </c>
    </row>
    <row r="89" spans="1:9" ht="15.75" customHeight="1" x14ac:dyDescent="0.3">
      <c r="A89" s="15" t="s">
        <v>153</v>
      </c>
      <c r="B89" s="23" t="s">
        <v>183</v>
      </c>
      <c r="C89" s="15">
        <v>95</v>
      </c>
      <c r="D89" s="18">
        <v>5.99</v>
      </c>
      <c r="E89" s="15">
        <v>25.7</v>
      </c>
      <c r="F89" s="15">
        <v>0</v>
      </c>
      <c r="G89" s="17">
        <v>3</v>
      </c>
      <c r="H89" s="1">
        <v>5</v>
      </c>
      <c r="I89" s="1">
        <v>7</v>
      </c>
    </row>
    <row r="90" spans="1:9" ht="15.75" customHeight="1" x14ac:dyDescent="0.3">
      <c r="A90" s="15" t="s">
        <v>153</v>
      </c>
      <c r="B90" s="16" t="s">
        <v>183</v>
      </c>
      <c r="C90" s="15">
        <v>98</v>
      </c>
      <c r="D90" s="18">
        <v>3.61</v>
      </c>
      <c r="E90" s="15">
        <v>23</v>
      </c>
      <c r="F90" s="15">
        <v>0</v>
      </c>
      <c r="G90" s="17">
        <v>3</v>
      </c>
      <c r="H90" s="1">
        <v>0</v>
      </c>
      <c r="I90" s="1">
        <v>0</v>
      </c>
    </row>
    <row r="91" spans="1:9" ht="15.75" customHeight="1" x14ac:dyDescent="0.3">
      <c r="A91" s="15" t="s">
        <v>153</v>
      </c>
      <c r="B91" s="23" t="s">
        <v>183</v>
      </c>
      <c r="C91" s="15">
        <v>80</v>
      </c>
      <c r="D91" s="18">
        <v>6.89</v>
      </c>
      <c r="E91" s="15">
        <v>24.3</v>
      </c>
      <c r="F91" s="15">
        <v>0.87</v>
      </c>
      <c r="G91" s="17">
        <v>3</v>
      </c>
      <c r="H91" s="1">
        <v>2</v>
      </c>
      <c r="I91" s="1">
        <v>2</v>
      </c>
    </row>
    <row r="92" spans="1:9" ht="15.75" customHeight="1" x14ac:dyDescent="0.3">
      <c r="A92" s="15" t="s">
        <v>153</v>
      </c>
      <c r="B92" s="23" t="s">
        <v>186</v>
      </c>
      <c r="C92" s="15">
        <v>95</v>
      </c>
      <c r="D92" s="18">
        <v>1.44</v>
      </c>
      <c r="E92" s="15">
        <v>25.1</v>
      </c>
      <c r="F92" s="15">
        <v>0</v>
      </c>
      <c r="G92" s="17">
        <v>6</v>
      </c>
      <c r="H92" s="1">
        <v>2</v>
      </c>
      <c r="I92" s="1">
        <v>7</v>
      </c>
    </row>
    <row r="93" spans="1:9" ht="15.75" customHeight="1" x14ac:dyDescent="0.3">
      <c r="A93" s="15" t="s">
        <v>153</v>
      </c>
      <c r="B93" s="23" t="s">
        <v>186</v>
      </c>
      <c r="C93" s="15">
        <v>99</v>
      </c>
      <c r="D93" s="18">
        <v>0.54</v>
      </c>
      <c r="E93" s="15">
        <v>21.9</v>
      </c>
      <c r="F93" s="15">
        <v>0</v>
      </c>
      <c r="G93" s="17">
        <v>6</v>
      </c>
      <c r="H93" s="1">
        <v>3</v>
      </c>
      <c r="I93" s="1">
        <v>3</v>
      </c>
    </row>
    <row r="94" spans="1:9" ht="15.75" customHeight="1" x14ac:dyDescent="0.3">
      <c r="A94" s="15" t="s">
        <v>153</v>
      </c>
      <c r="B94" s="23" t="s">
        <v>186</v>
      </c>
      <c r="C94" s="15">
        <v>99</v>
      </c>
      <c r="D94" s="18">
        <v>0.63</v>
      </c>
      <c r="E94" s="15">
        <v>25.1</v>
      </c>
      <c r="F94" s="15">
        <v>0</v>
      </c>
      <c r="G94" s="17">
        <v>6</v>
      </c>
      <c r="H94" s="1">
        <v>3</v>
      </c>
      <c r="I94" s="1">
        <v>8</v>
      </c>
    </row>
    <row r="95" spans="1:9" ht="15.75" customHeight="1" x14ac:dyDescent="0.3">
      <c r="A95" s="15" t="s">
        <v>153</v>
      </c>
      <c r="B95" s="23" t="s">
        <v>186</v>
      </c>
      <c r="C95" s="15">
        <v>99</v>
      </c>
      <c r="D95" s="18">
        <v>1.67</v>
      </c>
      <c r="E95" s="15">
        <v>25.2</v>
      </c>
      <c r="F95" s="15">
        <v>0</v>
      </c>
      <c r="G95" s="17">
        <v>6</v>
      </c>
      <c r="H95" s="1">
        <v>3</v>
      </c>
      <c r="I95" s="1">
        <v>4</v>
      </c>
    </row>
    <row r="96" spans="1:9" ht="15.75" customHeight="1" x14ac:dyDescent="0.3">
      <c r="A96" s="15" t="s">
        <v>158</v>
      </c>
      <c r="B96" s="23" t="s">
        <v>176</v>
      </c>
      <c r="C96" s="15">
        <v>96</v>
      </c>
      <c r="D96" s="18">
        <v>1.1399999999999999</v>
      </c>
      <c r="E96" s="15">
        <v>26.4</v>
      </c>
      <c r="F96" s="15">
        <v>0</v>
      </c>
      <c r="G96" s="17">
        <v>4</v>
      </c>
      <c r="H96" s="1">
        <v>4</v>
      </c>
      <c r="I96" s="1">
        <v>7</v>
      </c>
    </row>
    <row r="97" spans="1:9" ht="15.75" customHeight="1" x14ac:dyDescent="0.3">
      <c r="A97" s="15" t="s">
        <v>158</v>
      </c>
      <c r="B97" s="23" t="s">
        <v>176</v>
      </c>
      <c r="C97" s="15">
        <v>99</v>
      </c>
      <c r="D97" s="18">
        <v>8.51</v>
      </c>
      <c r="E97" s="15">
        <v>26.5</v>
      </c>
      <c r="F97" s="15">
        <v>0</v>
      </c>
      <c r="G97" s="17">
        <v>4</v>
      </c>
      <c r="H97" s="1">
        <v>9</v>
      </c>
      <c r="I97" s="1">
        <v>9</v>
      </c>
    </row>
    <row r="98" spans="1:9" ht="15.75" customHeight="1" x14ac:dyDescent="0.3">
      <c r="A98" s="15" t="s">
        <v>158</v>
      </c>
      <c r="B98" s="23" t="s">
        <v>176</v>
      </c>
      <c r="C98" s="15">
        <v>99</v>
      </c>
      <c r="D98" s="18">
        <v>8.52</v>
      </c>
      <c r="E98" s="15">
        <v>26.5</v>
      </c>
      <c r="F98" s="15">
        <v>0</v>
      </c>
      <c r="G98" s="17">
        <v>4</v>
      </c>
      <c r="H98" s="1">
        <v>5</v>
      </c>
      <c r="I98" s="1">
        <v>6</v>
      </c>
    </row>
    <row r="99" spans="1:9" ht="15.75" customHeight="1" x14ac:dyDescent="0.3">
      <c r="A99" s="15" t="s">
        <v>158</v>
      </c>
      <c r="B99" s="23" t="s">
        <v>178</v>
      </c>
      <c r="C99" s="15">
        <v>99</v>
      </c>
      <c r="D99" s="18">
        <v>6.93</v>
      </c>
      <c r="E99" s="15">
        <v>23.5</v>
      </c>
      <c r="F99" s="15">
        <v>0</v>
      </c>
      <c r="G99" s="17">
        <v>3</v>
      </c>
      <c r="H99" s="1">
        <v>7</v>
      </c>
      <c r="I99" s="1">
        <v>7</v>
      </c>
    </row>
    <row r="100" spans="1:9" ht="15.75" customHeight="1" x14ac:dyDescent="0.3">
      <c r="A100" s="15" t="s">
        <v>158</v>
      </c>
      <c r="B100" s="23" t="s">
        <v>178</v>
      </c>
      <c r="C100" s="15">
        <v>99</v>
      </c>
      <c r="D100" s="18">
        <v>6.8</v>
      </c>
      <c r="E100" s="15">
        <v>23.5</v>
      </c>
      <c r="F100" s="15">
        <v>0</v>
      </c>
      <c r="G100" s="17">
        <v>3</v>
      </c>
      <c r="H100" s="1">
        <v>1</v>
      </c>
      <c r="I100" s="1">
        <v>1</v>
      </c>
    </row>
    <row r="101" spans="1:9" ht="15.75" customHeight="1" x14ac:dyDescent="0.3">
      <c r="A101" s="15" t="s">
        <v>158</v>
      </c>
      <c r="B101" s="23" t="s">
        <v>200</v>
      </c>
      <c r="C101" s="15">
        <v>89</v>
      </c>
      <c r="D101" s="18">
        <v>2.74</v>
      </c>
      <c r="E101" s="15">
        <v>23.5</v>
      </c>
      <c r="F101" s="15">
        <v>0</v>
      </c>
      <c r="G101" s="17">
        <v>5</v>
      </c>
      <c r="H101" s="1">
        <v>13</v>
      </c>
      <c r="I101" s="1">
        <v>16</v>
      </c>
    </row>
    <row r="102" spans="1:9" ht="15.75" customHeight="1" x14ac:dyDescent="0.3">
      <c r="A102" s="15" t="s">
        <v>158</v>
      </c>
      <c r="B102" s="23" t="s">
        <v>200</v>
      </c>
      <c r="C102" s="15">
        <v>99</v>
      </c>
      <c r="D102" s="18">
        <v>0.32</v>
      </c>
      <c r="E102" s="15">
        <v>21.5</v>
      </c>
      <c r="F102" s="15">
        <v>0</v>
      </c>
      <c r="G102" s="17">
        <v>5</v>
      </c>
      <c r="H102" s="1">
        <v>3</v>
      </c>
      <c r="I102" s="1">
        <v>3</v>
      </c>
    </row>
    <row r="103" spans="1:9" ht="15.75" customHeight="1" x14ac:dyDescent="0.3">
      <c r="A103" s="15" t="s">
        <v>158</v>
      </c>
      <c r="B103" s="23" t="s">
        <v>200</v>
      </c>
      <c r="C103" s="15">
        <v>87</v>
      </c>
      <c r="D103" s="18">
        <v>0.03</v>
      </c>
      <c r="E103" s="15">
        <v>23.2</v>
      </c>
      <c r="F103" s="15">
        <v>0</v>
      </c>
      <c r="G103" s="17">
        <v>5</v>
      </c>
      <c r="H103" s="1">
        <v>3</v>
      </c>
      <c r="I103" s="1">
        <v>3</v>
      </c>
    </row>
    <row r="104" spans="1:9" ht="15.75" customHeight="1" x14ac:dyDescent="0.3">
      <c r="A104" s="15" t="s">
        <v>158</v>
      </c>
      <c r="B104" s="23" t="s">
        <v>200</v>
      </c>
      <c r="C104" s="15">
        <v>85</v>
      </c>
      <c r="D104" s="18">
        <v>0.04</v>
      </c>
      <c r="E104" s="15">
        <v>23.2</v>
      </c>
      <c r="F104" s="15">
        <v>0</v>
      </c>
      <c r="G104" s="17">
        <v>5</v>
      </c>
      <c r="H104" s="1">
        <v>1</v>
      </c>
      <c r="I104" s="1">
        <v>1</v>
      </c>
    </row>
    <row r="105" spans="1:9" ht="15.75" customHeight="1" x14ac:dyDescent="0.3">
      <c r="A105" s="15" t="s">
        <v>158</v>
      </c>
      <c r="B105" s="23" t="s">
        <v>180</v>
      </c>
      <c r="C105" s="15">
        <v>88</v>
      </c>
      <c r="D105" s="18">
        <v>0.69</v>
      </c>
      <c r="E105" s="15">
        <v>23.4</v>
      </c>
      <c r="F105" s="15">
        <v>6</v>
      </c>
      <c r="G105" s="17">
        <v>5</v>
      </c>
      <c r="H105" s="1">
        <v>8</v>
      </c>
      <c r="I105" s="1">
        <v>9</v>
      </c>
    </row>
    <row r="106" spans="1:9" ht="15.75" customHeight="1" x14ac:dyDescent="0.3">
      <c r="A106" s="15" t="s">
        <v>158</v>
      </c>
      <c r="B106" s="23" t="s">
        <v>180</v>
      </c>
      <c r="C106" s="15">
        <v>88</v>
      </c>
      <c r="D106" s="18">
        <v>1.86</v>
      </c>
      <c r="E106" s="15">
        <v>27.2</v>
      </c>
      <c r="F106" s="15">
        <v>0.6</v>
      </c>
      <c r="G106" s="17">
        <v>5</v>
      </c>
      <c r="H106" s="1">
        <v>4</v>
      </c>
      <c r="I106" s="1">
        <v>4</v>
      </c>
    </row>
    <row r="107" spans="1:9" ht="15.75" customHeight="1" x14ac:dyDescent="0.3">
      <c r="A107" s="15" t="s">
        <v>158</v>
      </c>
      <c r="B107" s="23" t="s">
        <v>181</v>
      </c>
      <c r="C107" s="15">
        <v>80</v>
      </c>
      <c r="D107" s="18">
        <v>51.6</v>
      </c>
      <c r="E107" s="15">
        <v>28.7</v>
      </c>
      <c r="F107" s="15">
        <v>2.5</v>
      </c>
      <c r="G107" s="17">
        <v>3</v>
      </c>
      <c r="H107" s="1">
        <v>5</v>
      </c>
      <c r="I107" s="1">
        <v>5</v>
      </c>
    </row>
    <row r="108" spans="1:9" ht="15.75" customHeight="1" x14ac:dyDescent="0.3">
      <c r="A108" s="15" t="s">
        <v>158</v>
      </c>
      <c r="B108" s="23" t="s">
        <v>198</v>
      </c>
      <c r="C108" s="15">
        <v>71</v>
      </c>
      <c r="D108" s="18">
        <v>7.17</v>
      </c>
      <c r="E108" s="15">
        <v>26.1</v>
      </c>
      <c r="F108" s="15">
        <v>1.9</v>
      </c>
      <c r="G108" s="17">
        <v>3</v>
      </c>
      <c r="H108" s="1">
        <v>9</v>
      </c>
      <c r="I108" s="1">
        <v>11</v>
      </c>
    </row>
    <row r="109" spans="1:9" ht="15.75" customHeight="1" x14ac:dyDescent="0.3">
      <c r="A109" s="15" t="s">
        <v>158</v>
      </c>
      <c r="B109" s="23" t="s">
        <v>198</v>
      </c>
      <c r="C109" s="15">
        <v>74</v>
      </c>
      <c r="D109" s="18">
        <v>7.5</v>
      </c>
      <c r="E109" s="15">
        <v>26</v>
      </c>
      <c r="F109" s="15">
        <v>0</v>
      </c>
      <c r="G109" s="17">
        <v>3</v>
      </c>
      <c r="H109" s="1">
        <v>1</v>
      </c>
      <c r="I109" s="1">
        <v>1</v>
      </c>
    </row>
    <row r="110" spans="1:9" ht="15.75" customHeight="1" x14ac:dyDescent="0.3">
      <c r="A110" s="15" t="s">
        <v>158</v>
      </c>
      <c r="B110" s="23" t="s">
        <v>198</v>
      </c>
      <c r="C110" s="15">
        <v>54</v>
      </c>
      <c r="D110" s="18">
        <v>10.85</v>
      </c>
      <c r="E110" s="15">
        <v>28.3</v>
      </c>
      <c r="F110" s="15">
        <v>1.45</v>
      </c>
      <c r="G110" s="17">
        <v>3</v>
      </c>
      <c r="H110" s="1">
        <v>4</v>
      </c>
      <c r="I110" s="1">
        <v>4</v>
      </c>
    </row>
    <row r="111" spans="1:9" ht="15.75" customHeight="1" x14ac:dyDescent="0.3">
      <c r="A111" s="15" t="s">
        <v>158</v>
      </c>
      <c r="B111" s="23" t="s">
        <v>183</v>
      </c>
      <c r="C111" s="15">
        <v>77</v>
      </c>
      <c r="D111" s="18">
        <v>19</v>
      </c>
      <c r="E111" s="15">
        <v>23.9</v>
      </c>
      <c r="F111" s="15">
        <v>0</v>
      </c>
      <c r="G111" s="17">
        <v>3</v>
      </c>
      <c r="H111" s="1">
        <v>4</v>
      </c>
      <c r="I111" s="1">
        <v>13</v>
      </c>
    </row>
    <row r="112" spans="1:9" ht="15.75" customHeight="1" x14ac:dyDescent="0.3">
      <c r="A112" s="15" t="s">
        <v>158</v>
      </c>
      <c r="B112" s="23" t="s">
        <v>183</v>
      </c>
      <c r="C112" s="15">
        <v>99</v>
      </c>
      <c r="D112" s="18">
        <v>29.59</v>
      </c>
      <c r="E112" s="15">
        <v>24.9</v>
      </c>
      <c r="F112" s="15">
        <v>0.65</v>
      </c>
      <c r="G112" s="17">
        <v>3</v>
      </c>
      <c r="H112" s="1">
        <v>4</v>
      </c>
      <c r="I112" s="1">
        <v>7</v>
      </c>
    </row>
    <row r="113" spans="1:9" ht="15.75" customHeight="1" x14ac:dyDescent="0.3">
      <c r="A113" s="15" t="s">
        <v>158</v>
      </c>
      <c r="B113" s="23" t="s">
        <v>183</v>
      </c>
      <c r="C113" s="15">
        <v>74</v>
      </c>
      <c r="D113" s="18">
        <v>1.52</v>
      </c>
      <c r="E113" s="15">
        <v>19.829999999999998</v>
      </c>
      <c r="F113" s="15">
        <v>0.85</v>
      </c>
      <c r="G113" s="17">
        <v>3</v>
      </c>
      <c r="H113" s="1">
        <v>2</v>
      </c>
      <c r="I113" s="1">
        <v>2</v>
      </c>
    </row>
    <row r="114" spans="1:9" ht="15.75" customHeight="1" x14ac:dyDescent="0.3">
      <c r="A114" s="15" t="s">
        <v>158</v>
      </c>
      <c r="B114" s="23" t="s">
        <v>186</v>
      </c>
      <c r="C114" s="15">
        <v>95</v>
      </c>
      <c r="D114" s="18">
        <v>0.4</v>
      </c>
      <c r="E114" s="15">
        <v>17.100000000000001</v>
      </c>
      <c r="F114" s="15">
        <v>0</v>
      </c>
      <c r="G114" s="17">
        <v>6</v>
      </c>
      <c r="H114" s="1">
        <v>10</v>
      </c>
      <c r="I114" s="1">
        <v>33</v>
      </c>
    </row>
    <row r="115" spans="1:9" ht="15.75" customHeight="1" x14ac:dyDescent="0.3">
      <c r="A115" s="15" t="s">
        <v>158</v>
      </c>
      <c r="B115" s="23" t="s">
        <v>186</v>
      </c>
      <c r="C115" s="15">
        <v>95</v>
      </c>
      <c r="D115" s="18">
        <v>0.42</v>
      </c>
      <c r="E115" s="15">
        <v>17.2</v>
      </c>
      <c r="F115" s="15">
        <v>0</v>
      </c>
      <c r="G115" s="17">
        <v>6</v>
      </c>
      <c r="H115" s="1">
        <v>1</v>
      </c>
      <c r="I115" s="1">
        <v>1</v>
      </c>
    </row>
    <row r="116" spans="1:9" ht="15.75" customHeight="1" x14ac:dyDescent="0.3">
      <c r="A116" s="15" t="s">
        <v>158</v>
      </c>
      <c r="B116" s="23" t="s">
        <v>186</v>
      </c>
      <c r="C116" s="15">
        <v>95</v>
      </c>
      <c r="D116" s="18">
        <v>0.41</v>
      </c>
      <c r="E116" s="15">
        <v>17.100000000000001</v>
      </c>
      <c r="F116" s="15">
        <v>0</v>
      </c>
      <c r="G116" s="17">
        <v>6</v>
      </c>
      <c r="H116" s="1">
        <v>8</v>
      </c>
      <c r="I116" s="1">
        <v>11</v>
      </c>
    </row>
    <row r="117" spans="1:9" ht="15.75" customHeight="1" x14ac:dyDescent="0.3">
      <c r="A117" s="15" t="s">
        <v>158</v>
      </c>
      <c r="B117" s="23" t="s">
        <v>186</v>
      </c>
      <c r="C117" s="15">
        <v>87</v>
      </c>
      <c r="D117" s="18">
        <v>0.16</v>
      </c>
      <c r="E117" s="15">
        <v>20.2</v>
      </c>
      <c r="F117" s="15">
        <v>0</v>
      </c>
      <c r="G117" s="17">
        <v>6</v>
      </c>
      <c r="H117" s="1">
        <v>6</v>
      </c>
      <c r="I117" s="1">
        <v>6</v>
      </c>
    </row>
    <row r="118" spans="1:9" ht="15.75" customHeight="1" x14ac:dyDescent="0.3">
      <c r="A118" s="15" t="s">
        <v>164</v>
      </c>
      <c r="B118" s="23" t="s">
        <v>176</v>
      </c>
      <c r="C118" s="15">
        <v>89</v>
      </c>
      <c r="D118" s="18">
        <v>1.36</v>
      </c>
      <c r="E118" s="15">
        <v>23.18</v>
      </c>
      <c r="F118" s="15">
        <v>0</v>
      </c>
      <c r="G118" s="17">
        <v>4</v>
      </c>
      <c r="H118" s="1">
        <v>8</v>
      </c>
      <c r="I118" s="1">
        <v>11</v>
      </c>
    </row>
    <row r="119" spans="1:9" ht="15.75" customHeight="1" x14ac:dyDescent="0.3">
      <c r="A119" s="15" t="s">
        <v>164</v>
      </c>
      <c r="B119" s="23" t="s">
        <v>177</v>
      </c>
      <c r="C119" s="15">
        <v>94</v>
      </c>
      <c r="D119" s="18">
        <v>7.68</v>
      </c>
      <c r="E119" s="15">
        <v>26.7</v>
      </c>
      <c r="F119" s="15">
        <v>0.75</v>
      </c>
      <c r="G119" s="17">
        <v>3</v>
      </c>
      <c r="H119" s="1">
        <v>6</v>
      </c>
      <c r="I119" s="1">
        <v>8</v>
      </c>
    </row>
    <row r="120" spans="1:9" ht="15.75" customHeight="1" x14ac:dyDescent="0.3">
      <c r="A120" s="15" t="s">
        <v>164</v>
      </c>
      <c r="B120" s="23" t="s">
        <v>177</v>
      </c>
      <c r="C120" s="15">
        <v>90</v>
      </c>
      <c r="D120" s="18">
        <v>1.5</v>
      </c>
      <c r="E120" s="15">
        <v>23.4</v>
      </c>
      <c r="F120" s="15">
        <v>0</v>
      </c>
      <c r="G120" s="17">
        <v>3</v>
      </c>
      <c r="H120" s="1">
        <v>1</v>
      </c>
      <c r="I120" s="1">
        <v>1</v>
      </c>
    </row>
    <row r="121" spans="1:9" ht="15.75" customHeight="1" x14ac:dyDescent="0.3">
      <c r="A121" s="15" t="s">
        <v>164</v>
      </c>
      <c r="B121" s="23" t="s">
        <v>200</v>
      </c>
      <c r="C121" s="15">
        <v>91</v>
      </c>
      <c r="D121" s="18">
        <v>1.1499999999999999</v>
      </c>
      <c r="E121" s="15">
        <v>24.4</v>
      </c>
      <c r="F121" s="15">
        <v>0</v>
      </c>
      <c r="G121" s="17">
        <v>5</v>
      </c>
      <c r="H121" s="1">
        <v>8</v>
      </c>
      <c r="I121" s="1">
        <v>8</v>
      </c>
    </row>
    <row r="122" spans="1:9" ht="15.75" customHeight="1" x14ac:dyDescent="0.3">
      <c r="A122" s="15" t="s">
        <v>164</v>
      </c>
      <c r="B122" s="23" t="s">
        <v>200</v>
      </c>
      <c r="C122" s="15">
        <v>94</v>
      </c>
      <c r="D122" s="18">
        <v>1.2</v>
      </c>
      <c r="E122" s="15">
        <v>24.4</v>
      </c>
      <c r="F122" s="15">
        <v>0</v>
      </c>
      <c r="G122" s="17">
        <v>5</v>
      </c>
      <c r="H122" s="1">
        <v>1</v>
      </c>
      <c r="I122" s="1">
        <v>1</v>
      </c>
    </row>
    <row r="123" spans="1:9" ht="15.75" customHeight="1" x14ac:dyDescent="0.3">
      <c r="A123" s="15" t="s">
        <v>164</v>
      </c>
      <c r="B123" s="23" t="s">
        <v>200</v>
      </c>
      <c r="C123" s="15">
        <v>85</v>
      </c>
      <c r="D123" s="18">
        <v>1.3</v>
      </c>
      <c r="E123" s="15">
        <v>24.4</v>
      </c>
      <c r="F123" s="15">
        <v>0</v>
      </c>
      <c r="G123" s="17">
        <v>5</v>
      </c>
      <c r="H123" s="1">
        <v>8</v>
      </c>
      <c r="I123" s="1">
        <v>8</v>
      </c>
    </row>
    <row r="124" spans="1:9" ht="15.75" customHeight="1" x14ac:dyDescent="0.3">
      <c r="A124" s="15" t="s">
        <v>164</v>
      </c>
      <c r="B124" s="23" t="s">
        <v>180</v>
      </c>
      <c r="C124" s="15">
        <v>91</v>
      </c>
      <c r="D124" s="18">
        <v>0.57999999999999996</v>
      </c>
      <c r="E124" s="15">
        <v>26.4</v>
      </c>
      <c r="F124" s="15">
        <v>0</v>
      </c>
      <c r="G124" s="17">
        <v>5</v>
      </c>
      <c r="H124" s="1">
        <v>10</v>
      </c>
      <c r="I124" s="1">
        <v>10</v>
      </c>
    </row>
    <row r="125" spans="1:9" ht="15.75" customHeight="1" x14ac:dyDescent="0.3">
      <c r="A125" s="15" t="s">
        <v>164</v>
      </c>
      <c r="B125" s="23" t="s">
        <v>180</v>
      </c>
      <c r="C125" s="15">
        <v>91</v>
      </c>
      <c r="D125" s="18">
        <v>0.81</v>
      </c>
      <c r="E125" s="15">
        <v>23.28</v>
      </c>
      <c r="F125" s="15">
        <v>0</v>
      </c>
      <c r="G125" s="17">
        <v>5</v>
      </c>
      <c r="H125" s="1">
        <v>5</v>
      </c>
      <c r="I125" s="1">
        <v>5</v>
      </c>
    </row>
    <row r="126" spans="1:9" ht="15.75" customHeight="1" x14ac:dyDescent="0.3">
      <c r="A126" s="15" t="s">
        <v>164</v>
      </c>
      <c r="B126" s="23" t="s">
        <v>181</v>
      </c>
      <c r="C126" s="15">
        <v>91</v>
      </c>
      <c r="D126" s="18">
        <v>0.81</v>
      </c>
      <c r="E126" s="15">
        <v>23.3</v>
      </c>
      <c r="F126" s="15">
        <v>0</v>
      </c>
      <c r="G126" s="17">
        <v>3</v>
      </c>
      <c r="H126" s="1">
        <v>1</v>
      </c>
      <c r="I126" s="1">
        <v>2</v>
      </c>
    </row>
    <row r="127" spans="1:9" ht="15.75" customHeight="1" x14ac:dyDescent="0.3">
      <c r="A127" s="15" t="s">
        <v>164</v>
      </c>
      <c r="B127" s="23" t="s">
        <v>181</v>
      </c>
      <c r="C127" s="15">
        <v>99</v>
      </c>
      <c r="D127" s="18">
        <v>85.6</v>
      </c>
      <c r="E127" s="15">
        <v>28.5</v>
      </c>
      <c r="F127" s="15">
        <v>1.2</v>
      </c>
      <c r="G127" s="17">
        <v>3</v>
      </c>
      <c r="H127" s="1">
        <v>1</v>
      </c>
      <c r="I127" s="1">
        <v>1</v>
      </c>
    </row>
    <row r="128" spans="1:9" ht="15.75" customHeight="1" x14ac:dyDescent="0.3">
      <c r="A128" s="15" t="s">
        <v>164</v>
      </c>
      <c r="B128" s="23" t="s">
        <v>181</v>
      </c>
      <c r="C128" s="15">
        <v>91</v>
      </c>
      <c r="D128" s="18">
        <v>13.15</v>
      </c>
      <c r="E128" s="15">
        <v>26.13</v>
      </c>
      <c r="F128" s="15">
        <v>0</v>
      </c>
      <c r="G128" s="17">
        <v>3</v>
      </c>
      <c r="H128" s="1">
        <v>3</v>
      </c>
      <c r="I128" s="1">
        <v>3</v>
      </c>
    </row>
    <row r="129" spans="1:9" ht="15.75" customHeight="1" x14ac:dyDescent="0.3">
      <c r="A129" s="15" t="s">
        <v>164</v>
      </c>
      <c r="B129" s="23" t="s">
        <v>198</v>
      </c>
      <c r="C129" s="15">
        <v>75</v>
      </c>
      <c r="D129" s="18">
        <v>17.2</v>
      </c>
      <c r="E129" s="15">
        <v>28</v>
      </c>
      <c r="F129" s="15">
        <v>0</v>
      </c>
      <c r="G129" s="17">
        <v>3</v>
      </c>
      <c r="H129" s="1">
        <v>2</v>
      </c>
      <c r="I129" s="1">
        <v>2</v>
      </c>
    </row>
    <row r="130" spans="1:9" s="44" customFormat="1" ht="15.75" customHeight="1" x14ac:dyDescent="0.3">
      <c r="A130" s="39" t="s">
        <v>164</v>
      </c>
      <c r="B130" s="40" t="s">
        <v>198</v>
      </c>
      <c r="C130" s="39">
        <v>93</v>
      </c>
      <c r="D130" s="42">
        <v>14.5</v>
      </c>
      <c r="E130" s="39">
        <v>28.73</v>
      </c>
      <c r="F130" s="39">
        <v>0</v>
      </c>
      <c r="G130" s="43">
        <v>3</v>
      </c>
      <c r="H130" s="44">
        <v>6</v>
      </c>
      <c r="I130" s="44">
        <v>9</v>
      </c>
    </row>
    <row r="131" spans="1:9" ht="15.75" customHeight="1" x14ac:dyDescent="0.3">
      <c r="A131" s="15" t="s">
        <v>164</v>
      </c>
      <c r="B131" s="23" t="s">
        <v>198</v>
      </c>
      <c r="C131" s="15">
        <v>74</v>
      </c>
      <c r="D131" s="18">
        <v>18</v>
      </c>
      <c r="E131" s="15">
        <v>28</v>
      </c>
      <c r="F131" s="15">
        <v>0</v>
      </c>
      <c r="G131" s="17">
        <v>3</v>
      </c>
      <c r="H131" s="1">
        <v>2</v>
      </c>
      <c r="I131" s="1">
        <v>2</v>
      </c>
    </row>
    <row r="132" spans="1:9" ht="15.75" customHeight="1" x14ac:dyDescent="0.3">
      <c r="A132" s="15" t="s">
        <v>164</v>
      </c>
      <c r="B132" s="23" t="s">
        <v>183</v>
      </c>
      <c r="C132" s="15">
        <v>89</v>
      </c>
      <c r="D132" s="18">
        <v>7.61</v>
      </c>
      <c r="E132" s="15">
        <v>23.8</v>
      </c>
      <c r="F132" s="15">
        <v>0.75</v>
      </c>
      <c r="G132" s="17">
        <v>3</v>
      </c>
      <c r="H132" s="1">
        <v>5</v>
      </c>
      <c r="I132" s="1">
        <v>10</v>
      </c>
    </row>
    <row r="133" spans="1:9" ht="15.75" customHeight="1" x14ac:dyDescent="0.3">
      <c r="A133" s="15" t="s">
        <v>164</v>
      </c>
      <c r="B133" s="23" t="s">
        <v>183</v>
      </c>
      <c r="C133" s="15">
        <v>81</v>
      </c>
      <c r="D133" s="18">
        <v>5.23</v>
      </c>
      <c r="E133" s="15">
        <v>27.03</v>
      </c>
      <c r="F133" s="15">
        <v>0</v>
      </c>
      <c r="G133" s="17">
        <v>3</v>
      </c>
      <c r="H133" s="1">
        <v>4</v>
      </c>
      <c r="I133" s="1">
        <v>5</v>
      </c>
    </row>
    <row r="134" spans="1:9" ht="15.75" customHeight="1" x14ac:dyDescent="0.3">
      <c r="A134" s="15" t="s">
        <v>164</v>
      </c>
      <c r="B134" s="23" t="s">
        <v>186</v>
      </c>
      <c r="C134" s="15">
        <v>86</v>
      </c>
      <c r="D134" s="18">
        <v>0.14000000000000001</v>
      </c>
      <c r="E134" s="15">
        <v>18.55</v>
      </c>
      <c r="F134" s="15">
        <v>0</v>
      </c>
      <c r="G134" s="17">
        <v>6</v>
      </c>
      <c r="H134" s="1">
        <v>5</v>
      </c>
      <c r="I134" s="1">
        <v>5</v>
      </c>
    </row>
    <row r="135" spans="1:9" ht="15.75" customHeight="1" x14ac:dyDescent="0.3">
      <c r="A135" s="15" t="s">
        <v>164</v>
      </c>
      <c r="B135" s="23" t="s">
        <v>186</v>
      </c>
      <c r="C135" s="15">
        <v>87</v>
      </c>
      <c r="D135" s="18">
        <v>0.15</v>
      </c>
      <c r="E135" s="15">
        <v>15.2</v>
      </c>
      <c r="F135" s="15">
        <v>0</v>
      </c>
      <c r="G135" s="17">
        <v>6</v>
      </c>
      <c r="H135" s="1">
        <v>3</v>
      </c>
      <c r="I135" s="1">
        <v>3</v>
      </c>
    </row>
    <row r="136" spans="1:9" ht="15.75" customHeight="1" x14ac:dyDescent="0.3">
      <c r="A136" s="15" t="s">
        <v>164</v>
      </c>
      <c r="B136" s="23" t="s">
        <v>186</v>
      </c>
      <c r="C136" s="15">
        <v>83</v>
      </c>
      <c r="D136" s="18">
        <v>0.20499999999999999</v>
      </c>
      <c r="E136" s="15">
        <v>24.8</v>
      </c>
      <c r="F136" s="15">
        <v>0</v>
      </c>
      <c r="G136" s="17">
        <v>6</v>
      </c>
      <c r="H136" s="1">
        <v>0</v>
      </c>
      <c r="I136" s="1">
        <v>0</v>
      </c>
    </row>
    <row r="137" spans="1:9" ht="15.75" customHeight="1" x14ac:dyDescent="0.3">
      <c r="A137" s="15" t="s">
        <v>168</v>
      </c>
      <c r="B137" s="15" t="s">
        <v>176</v>
      </c>
      <c r="C137" s="15">
        <v>92</v>
      </c>
      <c r="D137" s="18">
        <v>0.14000000000000001</v>
      </c>
      <c r="E137" s="15">
        <v>22.5</v>
      </c>
      <c r="F137" s="15">
        <v>0</v>
      </c>
      <c r="G137" s="17">
        <v>4</v>
      </c>
      <c r="H137" s="1">
        <v>6</v>
      </c>
      <c r="I137" s="1">
        <v>11</v>
      </c>
    </row>
    <row r="138" spans="1:9" ht="15.75" customHeight="1" x14ac:dyDescent="0.3">
      <c r="A138" s="15" t="s">
        <v>168</v>
      </c>
      <c r="B138" s="15" t="s">
        <v>176</v>
      </c>
      <c r="C138" s="15">
        <v>92</v>
      </c>
      <c r="D138" s="18">
        <v>0.14000000000000001</v>
      </c>
      <c r="E138" s="15">
        <v>22.5</v>
      </c>
      <c r="F138" s="15">
        <v>0</v>
      </c>
      <c r="G138" s="17">
        <v>4</v>
      </c>
      <c r="H138" s="1">
        <v>1</v>
      </c>
      <c r="I138" s="1">
        <v>2</v>
      </c>
    </row>
    <row r="139" spans="1:9" ht="15.75" customHeight="1" x14ac:dyDescent="0.3">
      <c r="A139" s="15" t="s">
        <v>168</v>
      </c>
      <c r="B139" s="15" t="s">
        <v>177</v>
      </c>
      <c r="C139" s="15">
        <v>97</v>
      </c>
      <c r="D139" s="18">
        <v>4.5999999999999996</v>
      </c>
      <c r="E139" s="15">
        <v>24.3</v>
      </c>
      <c r="F139" s="15">
        <v>0</v>
      </c>
      <c r="G139" s="17">
        <v>3</v>
      </c>
      <c r="H139" s="1">
        <v>17</v>
      </c>
      <c r="I139" s="1">
        <v>24</v>
      </c>
    </row>
    <row r="140" spans="1:9" ht="15.75" customHeight="1" x14ac:dyDescent="0.3">
      <c r="A140" s="15" t="s">
        <v>168</v>
      </c>
      <c r="B140" s="15" t="s">
        <v>200</v>
      </c>
      <c r="C140" s="15">
        <v>99</v>
      </c>
      <c r="D140" s="18">
        <v>24.2</v>
      </c>
      <c r="E140" s="15">
        <v>26.1</v>
      </c>
      <c r="F140" s="15">
        <v>0</v>
      </c>
      <c r="G140" s="17">
        <v>5</v>
      </c>
      <c r="H140" s="1">
        <v>1</v>
      </c>
      <c r="I140" s="1">
        <v>1</v>
      </c>
    </row>
    <row r="141" spans="1:9" ht="15.75" customHeight="1" x14ac:dyDescent="0.3">
      <c r="A141" s="15" t="s">
        <v>168</v>
      </c>
      <c r="B141" s="15" t="s">
        <v>200</v>
      </c>
      <c r="C141" s="15">
        <v>99</v>
      </c>
      <c r="D141" s="18">
        <v>24.2</v>
      </c>
      <c r="E141" s="15">
        <v>26.1</v>
      </c>
      <c r="F141" s="15">
        <v>0</v>
      </c>
      <c r="G141" s="17">
        <v>5</v>
      </c>
      <c r="H141" s="1">
        <v>11</v>
      </c>
      <c r="I141" s="1">
        <v>11</v>
      </c>
    </row>
    <row r="142" spans="1:9" ht="15.75" customHeight="1" x14ac:dyDescent="0.3">
      <c r="A142" s="15" t="s">
        <v>168</v>
      </c>
      <c r="B142" s="15" t="s">
        <v>200</v>
      </c>
      <c r="C142" s="15">
        <v>84</v>
      </c>
      <c r="D142" s="18">
        <v>0.17</v>
      </c>
      <c r="E142" s="15">
        <v>24</v>
      </c>
      <c r="F142" s="15">
        <v>0</v>
      </c>
      <c r="G142" s="17">
        <v>5</v>
      </c>
      <c r="H142" s="1">
        <v>2</v>
      </c>
      <c r="I142" s="1">
        <v>2</v>
      </c>
    </row>
    <row r="143" spans="1:9" ht="15.75" customHeight="1" x14ac:dyDescent="0.3">
      <c r="A143" s="15" t="s">
        <v>168</v>
      </c>
      <c r="B143" s="15" t="s">
        <v>180</v>
      </c>
      <c r="C143" s="15">
        <v>97</v>
      </c>
      <c r="D143" s="18">
        <v>1.08</v>
      </c>
      <c r="E143" s="15">
        <v>25.4</v>
      </c>
      <c r="F143" s="15">
        <v>0</v>
      </c>
      <c r="G143" s="17">
        <v>5</v>
      </c>
      <c r="H143" s="1">
        <v>6</v>
      </c>
      <c r="I143" s="1">
        <v>8</v>
      </c>
    </row>
    <row r="144" spans="1:9" ht="15.75" customHeight="1" x14ac:dyDescent="0.3">
      <c r="A144" s="15" t="s">
        <v>168</v>
      </c>
      <c r="B144" s="15" t="s">
        <v>180</v>
      </c>
      <c r="C144" s="15">
        <v>97</v>
      </c>
      <c r="D144" s="18">
        <v>1.08</v>
      </c>
      <c r="E144" s="15">
        <v>25.4</v>
      </c>
      <c r="F144" s="15">
        <v>0</v>
      </c>
      <c r="G144" s="17">
        <v>5</v>
      </c>
      <c r="H144" s="1">
        <v>9</v>
      </c>
      <c r="I144" s="1">
        <v>9</v>
      </c>
    </row>
    <row r="145" spans="1:9" ht="15.75" customHeight="1" x14ac:dyDescent="0.3">
      <c r="A145" s="15" t="s">
        <v>168</v>
      </c>
      <c r="B145" s="1" t="s">
        <v>180</v>
      </c>
      <c r="C145" s="1">
        <v>80</v>
      </c>
      <c r="D145" s="46">
        <v>0.04</v>
      </c>
      <c r="E145" s="1">
        <v>25.3</v>
      </c>
      <c r="F145" s="1">
        <v>0</v>
      </c>
      <c r="G145" s="2">
        <v>5</v>
      </c>
      <c r="H145" s="1">
        <v>0</v>
      </c>
      <c r="I145" s="1">
        <v>0</v>
      </c>
    </row>
    <row r="146" spans="1:9" ht="15.75" customHeight="1" x14ac:dyDescent="0.3">
      <c r="A146" s="15" t="s">
        <v>168</v>
      </c>
      <c r="B146" s="1" t="s">
        <v>181</v>
      </c>
      <c r="C146" s="1">
        <v>87</v>
      </c>
      <c r="D146" s="46">
        <v>9.8000000000000007</v>
      </c>
      <c r="E146" s="1">
        <v>34.5</v>
      </c>
      <c r="F146" s="1">
        <v>0</v>
      </c>
      <c r="G146" s="2">
        <v>3</v>
      </c>
      <c r="H146" s="1">
        <v>4</v>
      </c>
      <c r="I146" s="1">
        <v>4</v>
      </c>
    </row>
    <row r="147" spans="1:9" ht="15.75" customHeight="1" x14ac:dyDescent="0.3">
      <c r="A147" s="15" t="s">
        <v>168</v>
      </c>
      <c r="B147" s="1" t="s">
        <v>181</v>
      </c>
      <c r="C147" s="1">
        <v>87</v>
      </c>
      <c r="D147" s="46">
        <v>9.8000000000000007</v>
      </c>
      <c r="E147" s="1">
        <v>34.5</v>
      </c>
      <c r="F147" s="1">
        <v>0</v>
      </c>
      <c r="G147" s="2">
        <v>3</v>
      </c>
      <c r="H147" s="1">
        <v>3</v>
      </c>
      <c r="I147" s="1">
        <v>3</v>
      </c>
    </row>
    <row r="148" spans="1:9" ht="15.75" customHeight="1" x14ac:dyDescent="0.3">
      <c r="A148" s="15" t="s">
        <v>168</v>
      </c>
      <c r="B148" s="1" t="s">
        <v>181</v>
      </c>
      <c r="C148" s="1">
        <v>80</v>
      </c>
      <c r="D148" s="46">
        <v>1.5</v>
      </c>
      <c r="E148" s="1">
        <v>26.9</v>
      </c>
      <c r="F148" s="1">
        <v>0</v>
      </c>
      <c r="G148" s="2">
        <v>3</v>
      </c>
      <c r="H148" s="1">
        <v>3</v>
      </c>
      <c r="I148" s="1">
        <v>4</v>
      </c>
    </row>
    <row r="149" spans="1:9" ht="15.75" customHeight="1" x14ac:dyDescent="0.3">
      <c r="A149" s="15" t="s">
        <v>168</v>
      </c>
      <c r="B149" s="1" t="s">
        <v>198</v>
      </c>
      <c r="C149" s="1">
        <v>81</v>
      </c>
      <c r="D149" s="46">
        <v>36.6</v>
      </c>
      <c r="E149" s="1">
        <v>31.4</v>
      </c>
      <c r="F149" s="1">
        <v>0.8</v>
      </c>
      <c r="G149" s="2">
        <v>3</v>
      </c>
      <c r="H149" s="1">
        <v>7</v>
      </c>
      <c r="I149" s="1">
        <v>7</v>
      </c>
    </row>
    <row r="150" spans="1:9" ht="15.75" customHeight="1" x14ac:dyDescent="0.3">
      <c r="A150" s="15" t="s">
        <v>168</v>
      </c>
      <c r="B150" s="1" t="s">
        <v>198</v>
      </c>
      <c r="C150" s="1">
        <v>79</v>
      </c>
      <c r="D150" s="46">
        <v>13.35</v>
      </c>
      <c r="E150" s="1">
        <v>29.2</v>
      </c>
      <c r="F150" s="1">
        <v>0</v>
      </c>
      <c r="G150" s="2">
        <v>3</v>
      </c>
      <c r="H150" s="1">
        <v>2</v>
      </c>
      <c r="I150" s="1">
        <v>2</v>
      </c>
    </row>
    <row r="151" spans="1:9" ht="15.75" customHeight="1" x14ac:dyDescent="0.3">
      <c r="A151" s="15" t="s">
        <v>168</v>
      </c>
      <c r="B151" s="1" t="s">
        <v>183</v>
      </c>
      <c r="C151" s="1">
        <v>89</v>
      </c>
      <c r="D151" s="46">
        <v>1.1000000000000001</v>
      </c>
      <c r="E151" s="1">
        <v>22.3</v>
      </c>
      <c r="F151" s="1">
        <v>0</v>
      </c>
      <c r="G151" s="2">
        <v>3</v>
      </c>
      <c r="H151" s="1">
        <v>7</v>
      </c>
      <c r="I151" s="1">
        <v>10</v>
      </c>
    </row>
    <row r="152" spans="1:9" ht="15.75" customHeight="1" x14ac:dyDescent="0.3">
      <c r="A152" s="15" t="s">
        <v>168</v>
      </c>
      <c r="B152" s="1" t="s">
        <v>183</v>
      </c>
      <c r="C152" s="1">
        <v>89</v>
      </c>
      <c r="D152" s="46">
        <v>1</v>
      </c>
      <c r="E152" s="1">
        <v>22.2</v>
      </c>
      <c r="F152" s="1">
        <v>0</v>
      </c>
      <c r="G152" s="2">
        <v>3</v>
      </c>
      <c r="H152" s="1">
        <v>4</v>
      </c>
      <c r="I152" s="1">
        <v>4</v>
      </c>
    </row>
    <row r="153" spans="1:9" ht="15.75" customHeight="1" x14ac:dyDescent="0.3">
      <c r="A153" s="15" t="s">
        <v>168</v>
      </c>
      <c r="B153" s="1" t="s">
        <v>183</v>
      </c>
      <c r="C153" s="1">
        <v>72</v>
      </c>
      <c r="D153" s="1">
        <v>0.75</v>
      </c>
      <c r="E153" s="1">
        <v>25</v>
      </c>
      <c r="F153" s="1">
        <v>0.9</v>
      </c>
      <c r="G153" s="2">
        <v>3</v>
      </c>
      <c r="H153" s="1">
        <v>2</v>
      </c>
      <c r="I153" s="1">
        <v>3</v>
      </c>
    </row>
    <row r="154" spans="1:9" ht="15.75" customHeight="1" x14ac:dyDescent="0.3">
      <c r="A154" s="15" t="s">
        <v>168</v>
      </c>
      <c r="B154" s="1" t="s">
        <v>186</v>
      </c>
      <c r="C154" s="1">
        <v>76</v>
      </c>
      <c r="D154" s="46">
        <v>1.53</v>
      </c>
      <c r="E154" s="1">
        <v>25.4</v>
      </c>
      <c r="F154" s="1">
        <v>0</v>
      </c>
      <c r="G154" s="2">
        <v>6</v>
      </c>
      <c r="H154" s="1">
        <v>4</v>
      </c>
      <c r="I154" s="1">
        <v>5</v>
      </c>
    </row>
    <row r="155" spans="1:9" ht="15.75" customHeight="1" x14ac:dyDescent="0.3">
      <c r="A155" s="1" t="s">
        <v>172</v>
      </c>
      <c r="B155" s="1" t="s">
        <v>176</v>
      </c>
      <c r="C155" s="1">
        <v>81</v>
      </c>
      <c r="D155" s="46">
        <v>1.6</v>
      </c>
      <c r="E155" s="1">
        <v>26.5</v>
      </c>
      <c r="F155" s="1">
        <v>0</v>
      </c>
      <c r="G155" s="2">
        <v>4</v>
      </c>
      <c r="H155" s="1">
        <v>12</v>
      </c>
      <c r="I155" s="1">
        <v>18</v>
      </c>
    </row>
    <row r="156" spans="1:9" ht="15.75" customHeight="1" x14ac:dyDescent="0.3">
      <c r="A156" s="1" t="s">
        <v>172</v>
      </c>
      <c r="B156" s="1" t="s">
        <v>177</v>
      </c>
      <c r="C156" s="1">
        <v>96</v>
      </c>
      <c r="D156" s="46">
        <v>1.1299999999999999</v>
      </c>
      <c r="E156" s="1">
        <v>26.4</v>
      </c>
      <c r="F156" s="1">
        <v>0</v>
      </c>
      <c r="G156" s="2">
        <v>3</v>
      </c>
      <c r="H156" s="1">
        <v>5</v>
      </c>
      <c r="I156" s="1">
        <v>5</v>
      </c>
    </row>
    <row r="157" spans="1:9" ht="15.75" customHeight="1" x14ac:dyDescent="0.3">
      <c r="A157" s="1" t="s">
        <v>172</v>
      </c>
      <c r="B157" s="1" t="s">
        <v>200</v>
      </c>
      <c r="C157" s="1">
        <v>99</v>
      </c>
      <c r="D157" s="46">
        <v>0.28000000000000003</v>
      </c>
      <c r="E157" s="1">
        <v>23.5</v>
      </c>
      <c r="F157" s="1">
        <v>0</v>
      </c>
      <c r="G157" s="2">
        <v>5</v>
      </c>
      <c r="H157" s="1">
        <v>7</v>
      </c>
      <c r="I157" s="1">
        <v>10</v>
      </c>
    </row>
    <row r="158" spans="1:9" ht="15.75" customHeight="1" x14ac:dyDescent="0.3">
      <c r="A158" s="1" t="s">
        <v>172</v>
      </c>
      <c r="B158" s="1" t="s">
        <v>180</v>
      </c>
      <c r="C158" s="1">
        <v>96</v>
      </c>
      <c r="D158" s="46">
        <v>0.64</v>
      </c>
      <c r="E158" s="1">
        <v>24.9</v>
      </c>
      <c r="F158" s="1">
        <v>0</v>
      </c>
      <c r="G158" s="2">
        <v>5</v>
      </c>
      <c r="H158" s="1">
        <v>9</v>
      </c>
      <c r="I158" s="1">
        <v>9</v>
      </c>
    </row>
    <row r="159" spans="1:9" ht="15.75" customHeight="1" x14ac:dyDescent="0.3">
      <c r="A159" s="1" t="s">
        <v>172</v>
      </c>
      <c r="B159" s="1" t="s">
        <v>181</v>
      </c>
      <c r="C159" s="1">
        <v>98</v>
      </c>
      <c r="D159" s="46">
        <v>2.2799999999999998</v>
      </c>
      <c r="E159" s="1">
        <v>23.7</v>
      </c>
      <c r="F159" s="1">
        <v>0</v>
      </c>
      <c r="G159" s="2">
        <v>3</v>
      </c>
      <c r="H159" s="1">
        <v>4</v>
      </c>
      <c r="I159" s="1">
        <v>4</v>
      </c>
    </row>
    <row r="160" spans="1:9" ht="15.75" customHeight="1" x14ac:dyDescent="0.3">
      <c r="A160" s="1" t="s">
        <v>172</v>
      </c>
      <c r="B160" s="1" t="s">
        <v>198</v>
      </c>
      <c r="C160" s="1">
        <v>99</v>
      </c>
      <c r="D160" s="46">
        <v>7.2350000000000003</v>
      </c>
      <c r="E160" s="1">
        <v>24.6</v>
      </c>
      <c r="F160" s="1">
        <v>1.4</v>
      </c>
      <c r="G160" s="2">
        <v>3</v>
      </c>
      <c r="H160" s="1">
        <v>10</v>
      </c>
      <c r="I160" s="1">
        <v>16</v>
      </c>
    </row>
    <row r="161" spans="1:9" ht="15.75" customHeight="1" x14ac:dyDescent="0.3">
      <c r="A161" s="1" t="s">
        <v>172</v>
      </c>
      <c r="B161" s="1" t="s">
        <v>183</v>
      </c>
      <c r="C161" s="1">
        <v>92</v>
      </c>
      <c r="D161" s="46">
        <v>44.68</v>
      </c>
      <c r="E161" s="1">
        <v>23.2</v>
      </c>
      <c r="F161" s="1">
        <v>0.6</v>
      </c>
      <c r="G161" s="2">
        <v>3</v>
      </c>
      <c r="H161" s="1">
        <v>8</v>
      </c>
      <c r="I161" s="1">
        <v>9</v>
      </c>
    </row>
    <row r="162" spans="1:9" ht="15.75" customHeight="1" x14ac:dyDescent="0.3">
      <c r="A162" s="1" t="s">
        <v>172</v>
      </c>
      <c r="B162" s="1" t="s">
        <v>183</v>
      </c>
      <c r="C162" s="1">
        <v>84</v>
      </c>
      <c r="D162" s="46">
        <v>0.5</v>
      </c>
      <c r="E162" s="1">
        <v>25.9</v>
      </c>
      <c r="F162" s="1">
        <v>0</v>
      </c>
      <c r="G162" s="2">
        <v>3</v>
      </c>
      <c r="H162" s="1">
        <v>4</v>
      </c>
      <c r="I162" s="1">
        <v>4</v>
      </c>
    </row>
    <row r="163" spans="1:9" ht="15.75" customHeight="1" x14ac:dyDescent="0.3">
      <c r="A163" s="1" t="s">
        <v>172</v>
      </c>
      <c r="B163" s="1" t="s">
        <v>186</v>
      </c>
      <c r="C163" s="1">
        <v>83</v>
      </c>
      <c r="D163" s="46">
        <v>1.1299999999999999</v>
      </c>
      <c r="E163" s="1">
        <v>25.5</v>
      </c>
      <c r="F163" s="1">
        <v>0</v>
      </c>
      <c r="G163" s="2">
        <v>6</v>
      </c>
      <c r="H163" s="1">
        <v>9</v>
      </c>
      <c r="I163" s="1">
        <v>19</v>
      </c>
    </row>
    <row r="164" spans="1:9" ht="15.75" customHeight="1" x14ac:dyDescent="0.3">
      <c r="D164" s="46"/>
    </row>
    <row r="165" spans="1:9" ht="15.75" customHeight="1" x14ac:dyDescent="0.3">
      <c r="D165" s="46"/>
    </row>
    <row r="166" spans="1:9" ht="15.75" customHeight="1" x14ac:dyDescent="0.3">
      <c r="D166" s="46"/>
    </row>
    <row r="167" spans="1:9" ht="15.75" customHeight="1" x14ac:dyDescent="0.3">
      <c r="D167" s="46"/>
    </row>
    <row r="168" spans="1:9" ht="15.75" customHeight="1" x14ac:dyDescent="0.3">
      <c r="D168" s="46"/>
    </row>
    <row r="169" spans="1:9" ht="15.75" customHeight="1" x14ac:dyDescent="0.3">
      <c r="D169" s="46"/>
    </row>
    <row r="170" spans="1:9" ht="15.75" customHeight="1" x14ac:dyDescent="0.3">
      <c r="D170" s="46"/>
    </row>
    <row r="171" spans="1:9" ht="15.75" customHeight="1" x14ac:dyDescent="0.3">
      <c r="D171" s="46"/>
    </row>
    <row r="172" spans="1:9" ht="15.75" customHeight="1" x14ac:dyDescent="0.3">
      <c r="D172" s="46"/>
    </row>
    <row r="173" spans="1:9" ht="15.75" customHeight="1" x14ac:dyDescent="0.3">
      <c r="D173" s="46"/>
    </row>
    <row r="174" spans="1:9" ht="15.75" customHeight="1" x14ac:dyDescent="0.3">
      <c r="D174" s="46"/>
    </row>
    <row r="175" spans="1:9" ht="15.75" customHeight="1" x14ac:dyDescent="0.3">
      <c r="D175" s="46"/>
    </row>
    <row r="176" spans="1:9" ht="15.75" customHeight="1" x14ac:dyDescent="0.3">
      <c r="D176" s="46"/>
    </row>
    <row r="177" spans="4:4" ht="15.75" customHeight="1" x14ac:dyDescent="0.3">
      <c r="D177" s="46"/>
    </row>
    <row r="178" spans="4:4" ht="15.75" customHeight="1" x14ac:dyDescent="0.3">
      <c r="D178" s="46"/>
    </row>
    <row r="179" spans="4:4" ht="15.75" customHeight="1" x14ac:dyDescent="0.3">
      <c r="D179" s="46"/>
    </row>
    <row r="180" spans="4:4" ht="15.75" customHeight="1" x14ac:dyDescent="0.3">
      <c r="D180" s="46"/>
    </row>
    <row r="181" spans="4:4" ht="15.75" customHeight="1" x14ac:dyDescent="0.3">
      <c r="D181" s="46"/>
    </row>
    <row r="182" spans="4:4" ht="15.75" customHeight="1" x14ac:dyDescent="0.3">
      <c r="D182" s="46"/>
    </row>
    <row r="183" spans="4:4" ht="15.75" customHeight="1" x14ac:dyDescent="0.3">
      <c r="D183" s="46"/>
    </row>
    <row r="184" spans="4:4" ht="15.75" customHeight="1" x14ac:dyDescent="0.3">
      <c r="D184" s="46"/>
    </row>
    <row r="185" spans="4:4" ht="15.75" customHeight="1" x14ac:dyDescent="0.3">
      <c r="D185" s="46"/>
    </row>
    <row r="186" spans="4:4" ht="15.75" customHeight="1" x14ac:dyDescent="0.3">
      <c r="D186" s="46"/>
    </row>
    <row r="187" spans="4:4" ht="15.75" customHeight="1" x14ac:dyDescent="0.3">
      <c r="D187" s="46"/>
    </row>
    <row r="188" spans="4:4" ht="15.75" customHeight="1" x14ac:dyDescent="0.3">
      <c r="D188" s="46"/>
    </row>
    <row r="189" spans="4:4" ht="15.75" customHeight="1" x14ac:dyDescent="0.3">
      <c r="D189" s="46"/>
    </row>
    <row r="190" spans="4:4" ht="15.75" customHeight="1" x14ac:dyDescent="0.3">
      <c r="D190" s="46"/>
    </row>
    <row r="191" spans="4:4" ht="15.75" customHeight="1" x14ac:dyDescent="0.3">
      <c r="D191" s="46"/>
    </row>
    <row r="192" spans="4:4" ht="15.75" customHeight="1" x14ac:dyDescent="0.3">
      <c r="D192" s="46"/>
    </row>
    <row r="193" spans="4:4" ht="15.75" customHeight="1" x14ac:dyDescent="0.3">
      <c r="D193" s="46"/>
    </row>
    <row r="194" spans="4:4" ht="15.75" customHeight="1" x14ac:dyDescent="0.3">
      <c r="D194" s="46"/>
    </row>
    <row r="195" spans="4:4" ht="15.75" customHeight="1" x14ac:dyDescent="0.3">
      <c r="D195" s="46"/>
    </row>
    <row r="196" spans="4:4" ht="15.75" customHeight="1" x14ac:dyDescent="0.3">
      <c r="D196" s="46"/>
    </row>
    <row r="197" spans="4:4" ht="15.75" customHeight="1" x14ac:dyDescent="0.3">
      <c r="D197" s="46"/>
    </row>
    <row r="198" spans="4:4" ht="15.75" customHeight="1" x14ac:dyDescent="0.3">
      <c r="D198" s="46"/>
    </row>
    <row r="199" spans="4:4" ht="15.75" customHeight="1" x14ac:dyDescent="0.3">
      <c r="D199" s="46"/>
    </row>
    <row r="200" spans="4:4" ht="15.75" customHeight="1" x14ac:dyDescent="0.3">
      <c r="D200" s="46"/>
    </row>
    <row r="201" spans="4:4" ht="15.75" customHeight="1" x14ac:dyDescent="0.3">
      <c r="D201" s="46"/>
    </row>
    <row r="202" spans="4:4" ht="15.75" customHeight="1" x14ac:dyDescent="0.3">
      <c r="D202" s="46"/>
    </row>
    <row r="203" spans="4:4" ht="15.75" customHeight="1" x14ac:dyDescent="0.3">
      <c r="D203" s="46"/>
    </row>
    <row r="204" spans="4:4" ht="15.75" customHeight="1" x14ac:dyDescent="0.3">
      <c r="D204" s="46"/>
    </row>
    <row r="205" spans="4:4" ht="15.75" customHeight="1" x14ac:dyDescent="0.3">
      <c r="D205" s="46"/>
    </row>
    <row r="206" spans="4:4" ht="15.75" customHeight="1" x14ac:dyDescent="0.3">
      <c r="D206" s="46"/>
    </row>
    <row r="207" spans="4:4" ht="15.75" customHeight="1" x14ac:dyDescent="0.3">
      <c r="D207" s="46"/>
    </row>
    <row r="208" spans="4:4" ht="15.75" customHeight="1" x14ac:dyDescent="0.3">
      <c r="D208" s="46"/>
    </row>
    <row r="209" spans="4:4" ht="15.75" customHeight="1" x14ac:dyDescent="0.3">
      <c r="D209" s="46"/>
    </row>
    <row r="210" spans="4:4" ht="15.75" customHeight="1" x14ac:dyDescent="0.3">
      <c r="D210" s="46"/>
    </row>
    <row r="211" spans="4:4" ht="15.75" customHeight="1" x14ac:dyDescent="0.3">
      <c r="D211" s="46"/>
    </row>
    <row r="212" spans="4:4" ht="15.75" customHeight="1" x14ac:dyDescent="0.3">
      <c r="D212" s="46"/>
    </row>
    <row r="213" spans="4:4" ht="15.75" customHeight="1" x14ac:dyDescent="0.3">
      <c r="D213" s="46"/>
    </row>
    <row r="214" spans="4:4" ht="15.75" customHeight="1" x14ac:dyDescent="0.3">
      <c r="D214" s="46"/>
    </row>
    <row r="215" spans="4:4" ht="15.75" customHeight="1" x14ac:dyDescent="0.3">
      <c r="D215" s="46"/>
    </row>
    <row r="216" spans="4:4" ht="15.75" customHeight="1" x14ac:dyDescent="0.3">
      <c r="D216" s="46"/>
    </row>
    <row r="217" spans="4:4" ht="15.75" customHeight="1" x14ac:dyDescent="0.3">
      <c r="D217" s="46"/>
    </row>
    <row r="218" spans="4:4" ht="15.75" customHeight="1" x14ac:dyDescent="0.3">
      <c r="D218" s="46"/>
    </row>
    <row r="219" spans="4:4" ht="15.75" customHeight="1" x14ac:dyDescent="0.3">
      <c r="D219" s="46"/>
    </row>
    <row r="220" spans="4:4" ht="15.75" customHeight="1" x14ac:dyDescent="0.3">
      <c r="D220" s="46"/>
    </row>
    <row r="221" spans="4:4" ht="15.75" customHeight="1" x14ac:dyDescent="0.3">
      <c r="D221" s="46"/>
    </row>
    <row r="222" spans="4:4" ht="15.75" customHeight="1" x14ac:dyDescent="0.3">
      <c r="D222" s="46"/>
    </row>
    <row r="223" spans="4:4" ht="15.75" customHeight="1" x14ac:dyDescent="0.3">
      <c r="D223" s="46"/>
    </row>
    <row r="224" spans="4:4" ht="15.75" customHeight="1" x14ac:dyDescent="0.3">
      <c r="D224" s="46"/>
    </row>
    <row r="225" spans="4:4" ht="15.75" customHeight="1" x14ac:dyDescent="0.3">
      <c r="D225" s="46"/>
    </row>
    <row r="226" spans="4:4" ht="15.75" customHeight="1" x14ac:dyDescent="0.3">
      <c r="D226" s="46"/>
    </row>
    <row r="227" spans="4:4" ht="15.75" customHeight="1" x14ac:dyDescent="0.3">
      <c r="D227" s="46"/>
    </row>
    <row r="228" spans="4:4" ht="15.75" customHeight="1" x14ac:dyDescent="0.3">
      <c r="D228" s="46"/>
    </row>
    <row r="229" spans="4:4" ht="15.75" customHeight="1" x14ac:dyDescent="0.3">
      <c r="D229" s="46"/>
    </row>
    <row r="230" spans="4:4" ht="15.75" customHeight="1" x14ac:dyDescent="0.3">
      <c r="D230" s="46"/>
    </row>
    <row r="231" spans="4:4" ht="15.75" customHeight="1" x14ac:dyDescent="0.3">
      <c r="D231" s="46"/>
    </row>
    <row r="232" spans="4:4" ht="15.75" customHeight="1" x14ac:dyDescent="0.3">
      <c r="D232" s="46"/>
    </row>
    <row r="233" spans="4:4" ht="15.75" customHeight="1" x14ac:dyDescent="0.3">
      <c r="D233" s="46"/>
    </row>
    <row r="234" spans="4:4" ht="15.75" customHeight="1" x14ac:dyDescent="0.3">
      <c r="D234" s="46"/>
    </row>
    <row r="235" spans="4:4" ht="15.75" customHeight="1" x14ac:dyDescent="0.3">
      <c r="D235" s="46"/>
    </row>
    <row r="236" spans="4:4" ht="15.75" customHeight="1" x14ac:dyDescent="0.3"/>
    <row r="237" spans="4:4" ht="15.75" customHeight="1" x14ac:dyDescent="0.3"/>
    <row r="238" spans="4:4" ht="15.75" customHeight="1" x14ac:dyDescent="0.3"/>
    <row r="239" spans="4:4" ht="15.75" customHeight="1" x14ac:dyDescent="0.3"/>
    <row r="240" spans="4:4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  <row r="1009" ht="15.75" customHeight="1" x14ac:dyDescent="0.3"/>
    <row r="1010" ht="15.75" customHeight="1" x14ac:dyDescent="0.3"/>
    <row r="1011" ht="15.75" customHeight="1" x14ac:dyDescent="0.3"/>
    <row r="1012" ht="15.75" customHeight="1" x14ac:dyDescent="0.3"/>
    <row r="1013" ht="15.75" customHeight="1" x14ac:dyDescent="0.3"/>
    <row r="1014" ht="15.75" customHeight="1" x14ac:dyDescent="0.3"/>
    <row r="1015" ht="15.75" customHeight="1" x14ac:dyDescent="0.3"/>
  </sheetData>
  <autoFilter ref="A2:I2" xr:uid="{00000000-0009-0000-0000-000010000000}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133"/>
  <sheetViews>
    <sheetView workbookViewId="0">
      <selection activeCell="J138" sqref="J138"/>
    </sheetView>
  </sheetViews>
  <sheetFormatPr defaultRowHeight="14.4" x14ac:dyDescent="0.3"/>
  <sheetData>
    <row r="1" spans="1:11" ht="120.6" x14ac:dyDescent="0.3">
      <c r="A1" s="6" t="s">
        <v>196</v>
      </c>
      <c r="B1" s="6" t="s">
        <v>187</v>
      </c>
      <c r="C1" s="7" t="s">
        <v>188</v>
      </c>
      <c r="D1" s="9" t="s">
        <v>189</v>
      </c>
      <c r="E1" s="7" t="s">
        <v>190</v>
      </c>
      <c r="F1" s="7" t="s">
        <v>191</v>
      </c>
      <c r="G1" s="7" t="s">
        <v>192</v>
      </c>
      <c r="H1" s="7" t="s">
        <v>197</v>
      </c>
      <c r="I1" s="8" t="s">
        <v>194</v>
      </c>
      <c r="J1" s="1" t="s">
        <v>195</v>
      </c>
      <c r="K1" s="1" t="s">
        <v>175</v>
      </c>
    </row>
    <row r="2" spans="1:11" x14ac:dyDescent="0.3">
      <c r="A2" s="15" t="s">
        <v>146</v>
      </c>
      <c r="B2" s="23" t="s">
        <v>176</v>
      </c>
      <c r="C2" s="15">
        <v>99</v>
      </c>
      <c r="D2" s="36">
        <v>0.27700000000000002</v>
      </c>
      <c r="E2" s="15">
        <v>26.4</v>
      </c>
      <c r="F2" s="15">
        <v>0</v>
      </c>
      <c r="G2" s="15">
        <v>100</v>
      </c>
      <c r="H2" s="15">
        <v>2000</v>
      </c>
      <c r="I2" s="17">
        <v>4</v>
      </c>
      <c r="J2" s="1">
        <v>6</v>
      </c>
      <c r="K2" s="1">
        <v>22</v>
      </c>
    </row>
    <row r="3" spans="1:11" x14ac:dyDescent="0.3">
      <c r="A3" s="15" t="s">
        <v>146</v>
      </c>
      <c r="B3" s="23" t="s">
        <v>177</v>
      </c>
      <c r="C3" s="15">
        <v>92</v>
      </c>
      <c r="D3" s="18">
        <v>0.78</v>
      </c>
      <c r="E3" s="15">
        <v>24.6</v>
      </c>
      <c r="F3" s="15">
        <v>0</v>
      </c>
      <c r="G3" s="15">
        <v>5</v>
      </c>
      <c r="H3" s="15">
        <v>2000</v>
      </c>
      <c r="I3" s="17">
        <v>3</v>
      </c>
      <c r="J3" s="1">
        <v>9</v>
      </c>
      <c r="K3" s="1">
        <v>14</v>
      </c>
    </row>
    <row r="4" spans="1:11" x14ac:dyDescent="0.3">
      <c r="A4" s="15" t="s">
        <v>146</v>
      </c>
      <c r="B4" s="23" t="s">
        <v>200</v>
      </c>
      <c r="C4" s="15">
        <v>94</v>
      </c>
      <c r="D4" s="36">
        <v>0.50800000000000001</v>
      </c>
      <c r="E4" s="15">
        <v>24.8</v>
      </c>
      <c r="F4" s="15">
        <v>0</v>
      </c>
      <c r="G4" s="15">
        <v>5</v>
      </c>
      <c r="H4" s="15">
        <v>2000</v>
      </c>
      <c r="I4" s="17">
        <v>5</v>
      </c>
      <c r="J4" s="1">
        <v>8</v>
      </c>
      <c r="K4" s="1">
        <v>8</v>
      </c>
    </row>
    <row r="5" spans="1:11" x14ac:dyDescent="0.3">
      <c r="A5" s="15" t="s">
        <v>146</v>
      </c>
      <c r="B5" s="23" t="s">
        <v>200</v>
      </c>
      <c r="C5" s="15">
        <v>94</v>
      </c>
      <c r="D5" s="36">
        <v>0.5</v>
      </c>
      <c r="E5" s="15">
        <v>24.8</v>
      </c>
      <c r="F5" s="15">
        <v>0</v>
      </c>
      <c r="G5" s="15">
        <v>100</v>
      </c>
      <c r="H5" s="15">
        <v>870</v>
      </c>
      <c r="I5" s="17">
        <v>5</v>
      </c>
      <c r="J5" s="1">
        <v>2</v>
      </c>
      <c r="K5" s="1">
        <v>6</v>
      </c>
    </row>
    <row r="6" spans="1:11" x14ac:dyDescent="0.3">
      <c r="A6" s="15" t="s">
        <v>146</v>
      </c>
      <c r="B6" s="23" t="s">
        <v>200</v>
      </c>
      <c r="C6" s="20">
        <v>94</v>
      </c>
      <c r="D6" s="36">
        <v>0.5</v>
      </c>
      <c r="E6" s="15">
        <v>23</v>
      </c>
      <c r="F6" s="15">
        <v>0</v>
      </c>
      <c r="G6" s="15">
        <v>100</v>
      </c>
      <c r="H6" s="15">
        <v>2000</v>
      </c>
      <c r="I6" s="17">
        <v>5</v>
      </c>
      <c r="J6" s="1">
        <v>5</v>
      </c>
      <c r="K6" s="1">
        <v>5</v>
      </c>
    </row>
    <row r="7" spans="1:11" x14ac:dyDescent="0.3">
      <c r="A7" s="15" t="s">
        <v>146</v>
      </c>
      <c r="B7" s="23" t="s">
        <v>200</v>
      </c>
      <c r="C7" s="20">
        <v>94</v>
      </c>
      <c r="D7" s="36">
        <v>0.5</v>
      </c>
      <c r="E7" s="15">
        <v>22</v>
      </c>
      <c r="F7" s="15">
        <v>0</v>
      </c>
      <c r="G7" s="15">
        <v>100</v>
      </c>
      <c r="H7" s="15">
        <v>2000</v>
      </c>
      <c r="I7" s="17">
        <v>5</v>
      </c>
      <c r="J7" s="1">
        <v>1</v>
      </c>
      <c r="K7" s="1">
        <v>1</v>
      </c>
    </row>
    <row r="8" spans="1:11" x14ac:dyDescent="0.3">
      <c r="A8" s="15" t="s">
        <v>146</v>
      </c>
      <c r="B8" s="23" t="s">
        <v>181</v>
      </c>
      <c r="C8" s="15">
        <v>99</v>
      </c>
      <c r="D8" s="18">
        <v>7.59</v>
      </c>
      <c r="E8" s="15">
        <v>23.9</v>
      </c>
      <c r="F8" s="15">
        <v>0</v>
      </c>
      <c r="G8" s="15">
        <v>100</v>
      </c>
      <c r="H8" s="15">
        <v>870</v>
      </c>
      <c r="I8" s="17">
        <v>3</v>
      </c>
      <c r="J8" s="1">
        <v>5</v>
      </c>
      <c r="K8" s="1">
        <v>6</v>
      </c>
    </row>
    <row r="9" spans="1:11" x14ac:dyDescent="0.3">
      <c r="A9" s="15" t="s">
        <v>146</v>
      </c>
      <c r="B9" s="23" t="s">
        <v>198</v>
      </c>
      <c r="C9" s="15">
        <v>99</v>
      </c>
      <c r="D9" s="18">
        <v>13.05</v>
      </c>
      <c r="E9" s="15">
        <v>25.9</v>
      </c>
      <c r="F9" s="15">
        <v>0.45</v>
      </c>
      <c r="G9" s="15">
        <v>100</v>
      </c>
      <c r="H9" s="15">
        <v>870</v>
      </c>
      <c r="I9" s="17">
        <v>3</v>
      </c>
      <c r="J9" s="1">
        <v>4</v>
      </c>
      <c r="K9" s="1">
        <v>4</v>
      </c>
    </row>
    <row r="10" spans="1:11" x14ac:dyDescent="0.3">
      <c r="A10" s="15" t="s">
        <v>146</v>
      </c>
      <c r="B10" s="23" t="s">
        <v>199</v>
      </c>
      <c r="C10" s="15">
        <v>93</v>
      </c>
      <c r="D10" s="18">
        <v>6.64</v>
      </c>
      <c r="E10" s="15">
        <v>26</v>
      </c>
      <c r="F10" s="15">
        <v>0</v>
      </c>
      <c r="G10" s="15">
        <v>100</v>
      </c>
      <c r="H10" s="15">
        <v>870</v>
      </c>
      <c r="I10" s="17">
        <v>2</v>
      </c>
      <c r="J10" s="1">
        <v>7</v>
      </c>
      <c r="K10" s="1">
        <v>13</v>
      </c>
    </row>
    <row r="11" spans="1:11" x14ac:dyDescent="0.3">
      <c r="A11" s="15" t="s">
        <v>146</v>
      </c>
      <c r="B11" s="23" t="s">
        <v>199</v>
      </c>
      <c r="C11" s="15">
        <v>59</v>
      </c>
      <c r="D11" s="18">
        <v>39.5</v>
      </c>
      <c r="E11" s="15">
        <v>31.13</v>
      </c>
      <c r="F11" s="15">
        <v>2.1</v>
      </c>
      <c r="G11" s="15">
        <v>100</v>
      </c>
      <c r="H11" s="15">
        <v>2000</v>
      </c>
      <c r="I11" s="17">
        <v>2</v>
      </c>
      <c r="J11" s="1">
        <v>4</v>
      </c>
      <c r="K11" s="1">
        <v>9</v>
      </c>
    </row>
    <row r="12" spans="1:11" x14ac:dyDescent="0.3">
      <c r="A12" s="15" t="s">
        <v>146</v>
      </c>
      <c r="B12" s="23" t="s">
        <v>199</v>
      </c>
      <c r="C12" s="15">
        <v>80</v>
      </c>
      <c r="D12" s="18">
        <v>6.56</v>
      </c>
      <c r="E12" s="15">
        <v>23.9</v>
      </c>
      <c r="F12" s="15">
        <v>0</v>
      </c>
      <c r="G12" s="15">
        <v>100</v>
      </c>
      <c r="H12" s="15">
        <v>2000</v>
      </c>
      <c r="I12" s="17">
        <v>2</v>
      </c>
      <c r="J12" s="1">
        <v>0</v>
      </c>
      <c r="K12" s="1">
        <v>0</v>
      </c>
    </row>
    <row r="13" spans="1:11" x14ac:dyDescent="0.3">
      <c r="A13" s="15" t="s">
        <v>146</v>
      </c>
      <c r="B13" s="23" t="s">
        <v>183</v>
      </c>
      <c r="C13" s="15">
        <v>79</v>
      </c>
      <c r="D13" s="18">
        <v>15.5</v>
      </c>
      <c r="E13" s="15">
        <v>28.3</v>
      </c>
      <c r="F13" s="15">
        <v>0</v>
      </c>
      <c r="G13" s="15">
        <v>100</v>
      </c>
      <c r="H13" s="15">
        <v>1360</v>
      </c>
      <c r="I13" s="17">
        <v>3</v>
      </c>
      <c r="J13" s="1">
        <v>3</v>
      </c>
      <c r="K13" s="1">
        <v>3</v>
      </c>
    </row>
    <row r="14" spans="1:11" x14ac:dyDescent="0.3">
      <c r="A14" s="15" t="s">
        <v>146</v>
      </c>
      <c r="B14" s="23" t="s">
        <v>183</v>
      </c>
      <c r="C14" s="15">
        <v>79</v>
      </c>
      <c r="D14" s="18">
        <v>4.87</v>
      </c>
      <c r="E14" s="15">
        <v>25.2</v>
      </c>
      <c r="F14" s="15">
        <v>0</v>
      </c>
      <c r="G14" s="15">
        <v>100</v>
      </c>
      <c r="H14" s="15">
        <v>2000</v>
      </c>
      <c r="I14" s="17">
        <v>3</v>
      </c>
      <c r="J14" s="1">
        <v>0</v>
      </c>
      <c r="K14" s="1">
        <v>0</v>
      </c>
    </row>
    <row r="15" spans="1:11" x14ac:dyDescent="0.3">
      <c r="A15" s="15" t="s">
        <v>146</v>
      </c>
      <c r="B15" s="23" t="s">
        <v>185</v>
      </c>
      <c r="C15" s="15">
        <v>86</v>
      </c>
      <c r="D15" s="18">
        <v>19.5</v>
      </c>
      <c r="E15" s="15">
        <v>27.4</v>
      </c>
      <c r="F15" s="15">
        <v>2.9</v>
      </c>
      <c r="G15" s="15">
        <v>100</v>
      </c>
      <c r="H15" s="15">
        <v>1360</v>
      </c>
      <c r="I15" s="17">
        <v>1</v>
      </c>
      <c r="J15" s="1">
        <v>3</v>
      </c>
      <c r="K15" s="1">
        <v>5</v>
      </c>
    </row>
    <row r="16" spans="1:11" x14ac:dyDescent="0.3">
      <c r="A16" s="15" t="s">
        <v>146</v>
      </c>
      <c r="B16" s="23" t="s">
        <v>186</v>
      </c>
      <c r="C16" s="15">
        <v>79</v>
      </c>
      <c r="D16" s="18">
        <v>0.56999999999999995</v>
      </c>
      <c r="E16" s="15">
        <v>24.8</v>
      </c>
      <c r="F16" s="15">
        <v>0</v>
      </c>
      <c r="G16" s="15">
        <v>100</v>
      </c>
      <c r="H16" s="15">
        <v>1360</v>
      </c>
      <c r="I16" s="17">
        <v>6</v>
      </c>
      <c r="J16" s="1">
        <v>3</v>
      </c>
      <c r="K16" s="1">
        <v>4</v>
      </c>
    </row>
    <row r="17" spans="1:11" x14ac:dyDescent="0.3">
      <c r="A17" s="15" t="s">
        <v>146</v>
      </c>
      <c r="B17" s="23" t="s">
        <v>186</v>
      </c>
      <c r="C17" s="15">
        <v>96</v>
      </c>
      <c r="D17" s="18">
        <v>15.05</v>
      </c>
      <c r="E17" s="15">
        <v>30.2</v>
      </c>
      <c r="F17" s="15">
        <v>0</v>
      </c>
      <c r="G17" s="15">
        <v>100</v>
      </c>
      <c r="H17" s="15">
        <v>2000</v>
      </c>
      <c r="I17" s="17">
        <v>6</v>
      </c>
      <c r="J17" s="1">
        <v>2</v>
      </c>
      <c r="K17" s="1">
        <v>6</v>
      </c>
    </row>
    <row r="18" spans="1:11" x14ac:dyDescent="0.3">
      <c r="A18" s="15" t="s">
        <v>146</v>
      </c>
      <c r="B18" s="15" t="s">
        <v>186</v>
      </c>
      <c r="C18" s="15">
        <v>57</v>
      </c>
      <c r="D18" s="18">
        <v>153.19999999999999</v>
      </c>
      <c r="E18" s="15">
        <v>30.2</v>
      </c>
      <c r="F18" s="15">
        <v>0.4</v>
      </c>
      <c r="G18" s="15">
        <v>100</v>
      </c>
      <c r="H18" s="15">
        <v>2000</v>
      </c>
      <c r="I18" s="17">
        <v>6</v>
      </c>
      <c r="J18" s="1">
        <v>2</v>
      </c>
      <c r="K18" s="1">
        <v>3</v>
      </c>
    </row>
    <row r="19" spans="1:11" x14ac:dyDescent="0.3">
      <c r="A19" s="15" t="s">
        <v>153</v>
      </c>
      <c r="B19" s="23" t="s">
        <v>176</v>
      </c>
      <c r="C19" s="15">
        <v>98</v>
      </c>
      <c r="D19" s="18">
        <v>7.54</v>
      </c>
      <c r="E19" s="15">
        <v>25.8</v>
      </c>
      <c r="F19" s="15">
        <v>0</v>
      </c>
      <c r="G19" s="15">
        <v>100</v>
      </c>
      <c r="H19" s="15">
        <v>2000</v>
      </c>
      <c r="I19" s="17">
        <v>4</v>
      </c>
      <c r="J19" s="1">
        <v>5</v>
      </c>
      <c r="K19" s="1">
        <v>7</v>
      </c>
    </row>
    <row r="20" spans="1:11" x14ac:dyDescent="0.3">
      <c r="A20" s="15" t="s">
        <v>153</v>
      </c>
      <c r="B20" s="23" t="s">
        <v>176</v>
      </c>
      <c r="C20" s="15">
        <v>99</v>
      </c>
      <c r="D20" s="18">
        <v>6.06</v>
      </c>
      <c r="E20" s="15">
        <v>25.35</v>
      </c>
      <c r="F20" s="15">
        <v>0</v>
      </c>
      <c r="G20" s="15">
        <v>100</v>
      </c>
      <c r="H20" s="15">
        <v>580</v>
      </c>
      <c r="I20" s="17">
        <v>4</v>
      </c>
      <c r="J20" s="1">
        <v>9</v>
      </c>
      <c r="K20" s="1">
        <v>9</v>
      </c>
    </row>
    <row r="21" spans="1:11" x14ac:dyDescent="0.3">
      <c r="A21" s="15" t="s">
        <v>153</v>
      </c>
      <c r="B21" s="23" t="s">
        <v>177</v>
      </c>
      <c r="C21" s="15">
        <v>98</v>
      </c>
      <c r="D21" s="18">
        <v>0.77</v>
      </c>
      <c r="E21" s="15">
        <v>22.6</v>
      </c>
      <c r="F21" s="15">
        <v>0</v>
      </c>
      <c r="G21" s="15">
        <v>100</v>
      </c>
      <c r="H21" s="15">
        <v>580</v>
      </c>
      <c r="I21" s="17">
        <v>3</v>
      </c>
      <c r="J21" s="1">
        <v>8</v>
      </c>
      <c r="K21" s="1">
        <v>14</v>
      </c>
    </row>
    <row r="22" spans="1:11" x14ac:dyDescent="0.3">
      <c r="A22" s="15" t="s">
        <v>153</v>
      </c>
      <c r="B22" s="23" t="s">
        <v>177</v>
      </c>
      <c r="C22" s="15">
        <v>82</v>
      </c>
      <c r="D22" s="36">
        <v>0.19800000000000001</v>
      </c>
      <c r="E22" s="15">
        <v>24.3</v>
      </c>
      <c r="F22" s="15">
        <v>0</v>
      </c>
      <c r="G22" s="15">
        <v>20</v>
      </c>
      <c r="H22" s="15">
        <v>2000</v>
      </c>
      <c r="I22" s="17">
        <v>3</v>
      </c>
      <c r="J22" s="1">
        <v>9</v>
      </c>
      <c r="K22" s="1">
        <v>12</v>
      </c>
    </row>
    <row r="23" spans="1:11" x14ac:dyDescent="0.3">
      <c r="A23" s="15" t="s">
        <v>153</v>
      </c>
      <c r="B23" s="23" t="s">
        <v>200</v>
      </c>
      <c r="C23" s="15">
        <v>98</v>
      </c>
      <c r="D23" s="18">
        <v>3.69</v>
      </c>
      <c r="E23" s="15">
        <v>22.35</v>
      </c>
      <c r="F23" s="15">
        <v>0</v>
      </c>
      <c r="G23" s="15">
        <v>0</v>
      </c>
      <c r="H23" s="15">
        <v>870</v>
      </c>
      <c r="I23" s="17">
        <v>5</v>
      </c>
      <c r="J23" s="1">
        <v>3</v>
      </c>
      <c r="K23" s="1">
        <v>7</v>
      </c>
    </row>
    <row r="24" spans="1:11" x14ac:dyDescent="0.3">
      <c r="A24" s="15" t="s">
        <v>153</v>
      </c>
      <c r="B24" s="23" t="s">
        <v>200</v>
      </c>
      <c r="C24" s="15">
        <v>98</v>
      </c>
      <c r="D24" s="18">
        <v>3.69</v>
      </c>
      <c r="E24" s="15">
        <v>22.35</v>
      </c>
      <c r="F24" s="15">
        <v>0</v>
      </c>
      <c r="G24" s="15">
        <v>0</v>
      </c>
      <c r="H24" s="15">
        <v>870</v>
      </c>
      <c r="I24" s="17">
        <v>5</v>
      </c>
      <c r="J24" s="1">
        <v>13</v>
      </c>
      <c r="K24" s="1">
        <v>14</v>
      </c>
    </row>
    <row r="25" spans="1:11" x14ac:dyDescent="0.3">
      <c r="A25" s="15" t="s">
        <v>153</v>
      </c>
      <c r="B25" s="23" t="s">
        <v>200</v>
      </c>
      <c r="C25" s="15">
        <v>90</v>
      </c>
      <c r="D25" s="36">
        <v>3.5000000000000003E-2</v>
      </c>
      <c r="E25" s="15">
        <v>24.2</v>
      </c>
      <c r="F25" s="15">
        <v>0</v>
      </c>
      <c r="G25" s="15">
        <v>20</v>
      </c>
      <c r="H25" s="15">
        <v>2000</v>
      </c>
      <c r="I25" s="17">
        <v>5</v>
      </c>
      <c r="J25" s="1">
        <v>1</v>
      </c>
      <c r="K25" s="1">
        <v>1</v>
      </c>
    </row>
    <row r="26" spans="1:11" x14ac:dyDescent="0.3">
      <c r="A26" s="15" t="s">
        <v>153</v>
      </c>
      <c r="B26" s="23" t="s">
        <v>200</v>
      </c>
      <c r="C26" s="15">
        <v>61</v>
      </c>
      <c r="D26" s="36">
        <v>9.4E-2</v>
      </c>
      <c r="E26" s="15">
        <v>25.5</v>
      </c>
      <c r="F26" s="15">
        <v>0</v>
      </c>
      <c r="G26" s="15">
        <v>15</v>
      </c>
      <c r="H26" s="15">
        <v>2000</v>
      </c>
      <c r="I26" s="17">
        <v>5</v>
      </c>
      <c r="J26" s="1">
        <v>6</v>
      </c>
      <c r="K26" s="1">
        <v>8</v>
      </c>
    </row>
    <row r="27" spans="1:11" x14ac:dyDescent="0.3">
      <c r="A27" s="15" t="s">
        <v>153</v>
      </c>
      <c r="B27" s="23" t="s">
        <v>200</v>
      </c>
      <c r="C27" s="15">
        <v>65</v>
      </c>
      <c r="D27" s="36">
        <v>3.5000000000000003E-2</v>
      </c>
      <c r="E27" s="15">
        <v>25.7</v>
      </c>
      <c r="F27" s="15">
        <v>0</v>
      </c>
      <c r="G27" s="15">
        <v>100</v>
      </c>
      <c r="H27" s="15">
        <v>2000</v>
      </c>
      <c r="I27" s="17">
        <v>5</v>
      </c>
      <c r="J27" s="1">
        <v>3</v>
      </c>
      <c r="K27" s="1">
        <v>3</v>
      </c>
    </row>
    <row r="28" spans="1:11" x14ac:dyDescent="0.3">
      <c r="A28" s="15" t="s">
        <v>153</v>
      </c>
      <c r="B28" s="23" t="s">
        <v>180</v>
      </c>
      <c r="C28" s="15">
        <v>85</v>
      </c>
      <c r="D28" s="18">
        <v>3.81</v>
      </c>
      <c r="E28" s="15">
        <v>25</v>
      </c>
      <c r="F28" s="15">
        <v>0</v>
      </c>
      <c r="G28" s="15">
        <v>78.33</v>
      </c>
      <c r="H28" s="15">
        <v>870</v>
      </c>
      <c r="I28" s="17">
        <v>5</v>
      </c>
      <c r="J28" s="1">
        <v>3</v>
      </c>
      <c r="K28" s="1">
        <v>3</v>
      </c>
    </row>
    <row r="29" spans="1:11" x14ac:dyDescent="0.3">
      <c r="A29" s="15" t="s">
        <v>153</v>
      </c>
      <c r="B29" s="23" t="s">
        <v>180</v>
      </c>
      <c r="C29" s="15">
        <v>61</v>
      </c>
      <c r="D29" s="18">
        <v>4.78</v>
      </c>
      <c r="E29" s="15">
        <v>28.7</v>
      </c>
      <c r="F29" s="15">
        <v>0</v>
      </c>
      <c r="G29" s="15">
        <v>100</v>
      </c>
      <c r="H29" s="15">
        <v>2000</v>
      </c>
      <c r="I29" s="17">
        <v>5</v>
      </c>
      <c r="J29" s="1">
        <v>0</v>
      </c>
      <c r="K29" s="1">
        <v>0</v>
      </c>
    </row>
    <row r="30" spans="1:11" x14ac:dyDescent="0.3">
      <c r="A30" s="15" t="s">
        <v>153</v>
      </c>
      <c r="B30" s="23" t="s">
        <v>180</v>
      </c>
      <c r="C30" s="15">
        <v>47</v>
      </c>
      <c r="D30" s="36">
        <v>0.74399999999999999</v>
      </c>
      <c r="E30" s="15">
        <v>29.9</v>
      </c>
      <c r="F30" s="15">
        <v>0</v>
      </c>
      <c r="G30" s="15">
        <v>2</v>
      </c>
      <c r="H30" s="15">
        <v>2000</v>
      </c>
      <c r="I30" s="17">
        <v>5</v>
      </c>
      <c r="J30" s="1">
        <v>2</v>
      </c>
      <c r="K30" s="1">
        <v>2</v>
      </c>
    </row>
    <row r="31" spans="1:11" x14ac:dyDescent="0.3">
      <c r="A31" s="15" t="s">
        <v>153</v>
      </c>
      <c r="B31" s="23" t="s">
        <v>180</v>
      </c>
      <c r="C31" s="15">
        <v>50</v>
      </c>
      <c r="D31" s="36">
        <v>0.7</v>
      </c>
      <c r="E31" s="15">
        <v>26.3</v>
      </c>
      <c r="F31" s="15">
        <v>0</v>
      </c>
      <c r="G31" s="15">
        <v>100</v>
      </c>
      <c r="H31" s="15">
        <v>2000</v>
      </c>
      <c r="I31" s="17">
        <v>5</v>
      </c>
      <c r="J31" s="1">
        <v>2</v>
      </c>
      <c r="K31" s="1">
        <v>5</v>
      </c>
    </row>
    <row r="32" spans="1:11" x14ac:dyDescent="0.3">
      <c r="A32" s="15" t="s">
        <v>153</v>
      </c>
      <c r="B32" s="23" t="s">
        <v>181</v>
      </c>
      <c r="C32" s="15">
        <v>85</v>
      </c>
      <c r="D32" s="18">
        <v>13.84</v>
      </c>
      <c r="E32" s="15">
        <v>26.7</v>
      </c>
      <c r="F32" s="15">
        <v>0</v>
      </c>
      <c r="G32" s="15">
        <v>100</v>
      </c>
      <c r="H32" s="15">
        <v>870</v>
      </c>
      <c r="I32" s="17">
        <v>3</v>
      </c>
      <c r="J32" s="1">
        <v>4</v>
      </c>
      <c r="K32" s="1">
        <v>6</v>
      </c>
    </row>
    <row r="33" spans="1:11" x14ac:dyDescent="0.3">
      <c r="A33" s="15" t="s">
        <v>153</v>
      </c>
      <c r="B33" s="23" t="s">
        <v>181</v>
      </c>
      <c r="C33" s="15">
        <v>55</v>
      </c>
      <c r="D33" s="18">
        <v>55.3</v>
      </c>
      <c r="E33" s="15">
        <v>30.2</v>
      </c>
      <c r="F33" s="15">
        <v>0</v>
      </c>
      <c r="G33" s="15">
        <v>100</v>
      </c>
      <c r="H33" s="15">
        <v>2000</v>
      </c>
      <c r="I33" s="17">
        <v>3</v>
      </c>
      <c r="J33" s="1">
        <v>0</v>
      </c>
      <c r="K33" s="1">
        <v>0</v>
      </c>
    </row>
    <row r="34" spans="1:11" x14ac:dyDescent="0.3">
      <c r="A34" s="15" t="s">
        <v>153</v>
      </c>
      <c r="B34" s="23" t="s">
        <v>181</v>
      </c>
      <c r="C34" s="15">
        <v>51</v>
      </c>
      <c r="D34" s="18">
        <v>26.78</v>
      </c>
      <c r="E34" s="15">
        <v>30.7</v>
      </c>
      <c r="F34" s="15">
        <v>0</v>
      </c>
      <c r="G34" s="15">
        <v>23.33</v>
      </c>
      <c r="H34" s="15">
        <v>2000</v>
      </c>
      <c r="I34" s="17">
        <v>3</v>
      </c>
      <c r="J34" s="1">
        <v>2</v>
      </c>
      <c r="K34" s="1">
        <v>2</v>
      </c>
    </row>
    <row r="35" spans="1:11" x14ac:dyDescent="0.3">
      <c r="A35" s="15" t="s">
        <v>153</v>
      </c>
      <c r="B35" s="23" t="s">
        <v>198</v>
      </c>
      <c r="C35" s="15">
        <v>90</v>
      </c>
      <c r="D35" s="18">
        <v>8.44</v>
      </c>
      <c r="E35" s="15">
        <v>27.4</v>
      </c>
      <c r="F35" s="15">
        <v>0.8</v>
      </c>
      <c r="G35" s="15">
        <v>100</v>
      </c>
      <c r="H35" s="15">
        <v>870</v>
      </c>
      <c r="I35" s="17">
        <v>3</v>
      </c>
      <c r="J35" s="1">
        <v>12</v>
      </c>
      <c r="K35" s="1">
        <v>17</v>
      </c>
    </row>
    <row r="36" spans="1:11" x14ac:dyDescent="0.3">
      <c r="A36" s="15" t="s">
        <v>153</v>
      </c>
      <c r="B36" s="16" t="s">
        <v>198</v>
      </c>
      <c r="C36" s="15">
        <v>58</v>
      </c>
      <c r="D36" s="18">
        <v>30.1</v>
      </c>
      <c r="E36" s="15">
        <v>29.1</v>
      </c>
      <c r="F36" s="15">
        <v>0</v>
      </c>
      <c r="G36" s="15">
        <v>98.75</v>
      </c>
      <c r="H36" s="15">
        <v>2000</v>
      </c>
      <c r="I36" s="17">
        <v>3</v>
      </c>
      <c r="J36" s="1">
        <v>2</v>
      </c>
      <c r="K36" s="1">
        <v>2</v>
      </c>
    </row>
    <row r="37" spans="1:11" x14ac:dyDescent="0.3">
      <c r="A37" s="15" t="s">
        <v>153</v>
      </c>
      <c r="B37" s="23" t="s">
        <v>199</v>
      </c>
      <c r="C37" s="15">
        <v>77</v>
      </c>
      <c r="D37" s="36">
        <v>1.79</v>
      </c>
      <c r="E37" s="15">
        <v>23.98</v>
      </c>
      <c r="F37" s="15">
        <v>0.83</v>
      </c>
      <c r="G37" s="15">
        <v>100</v>
      </c>
      <c r="H37" s="15">
        <v>1100</v>
      </c>
      <c r="I37" s="17">
        <v>2</v>
      </c>
      <c r="J37" s="1">
        <v>3</v>
      </c>
      <c r="K37" s="1">
        <v>3</v>
      </c>
    </row>
    <row r="38" spans="1:11" x14ac:dyDescent="0.3">
      <c r="A38" s="15" t="s">
        <v>153</v>
      </c>
      <c r="B38" s="23" t="s">
        <v>199</v>
      </c>
      <c r="C38" s="15">
        <v>78</v>
      </c>
      <c r="D38" s="36">
        <v>20.350000000000001</v>
      </c>
      <c r="E38" s="15">
        <v>22.55</v>
      </c>
      <c r="F38" s="15">
        <v>0</v>
      </c>
      <c r="G38" s="15">
        <v>38.33</v>
      </c>
      <c r="H38" s="1">
        <v>1420</v>
      </c>
      <c r="I38" s="17">
        <v>2</v>
      </c>
      <c r="J38" s="1">
        <v>6</v>
      </c>
      <c r="K38" s="1">
        <v>14</v>
      </c>
    </row>
    <row r="39" spans="1:11" x14ac:dyDescent="0.3">
      <c r="A39" s="15" t="s">
        <v>153</v>
      </c>
      <c r="B39" s="23" t="s">
        <v>199</v>
      </c>
      <c r="C39" s="15">
        <v>98</v>
      </c>
      <c r="D39" s="36">
        <v>3.05</v>
      </c>
      <c r="E39" s="15">
        <v>21.7</v>
      </c>
      <c r="F39" s="15">
        <v>0.9</v>
      </c>
      <c r="G39" s="15">
        <v>100</v>
      </c>
      <c r="H39" s="15">
        <v>2000</v>
      </c>
      <c r="I39" s="17">
        <v>2</v>
      </c>
      <c r="J39" s="1">
        <v>1</v>
      </c>
      <c r="K39" s="1">
        <v>1</v>
      </c>
    </row>
    <row r="40" spans="1:11" x14ac:dyDescent="0.3">
      <c r="A40" s="15" t="s">
        <v>153</v>
      </c>
      <c r="B40" s="23" t="s">
        <v>199</v>
      </c>
      <c r="C40" s="15">
        <v>77</v>
      </c>
      <c r="D40" s="36">
        <v>12.54</v>
      </c>
      <c r="E40" s="15">
        <v>25.3</v>
      </c>
      <c r="F40" s="15">
        <v>1</v>
      </c>
      <c r="G40" s="15">
        <v>100</v>
      </c>
      <c r="H40" s="15">
        <v>2000</v>
      </c>
      <c r="I40" s="17">
        <v>2</v>
      </c>
      <c r="J40" s="1">
        <v>1</v>
      </c>
      <c r="K40" s="1">
        <v>5</v>
      </c>
    </row>
    <row r="41" spans="1:11" x14ac:dyDescent="0.3">
      <c r="A41" s="15" t="s">
        <v>153</v>
      </c>
      <c r="B41" s="23" t="s">
        <v>183</v>
      </c>
      <c r="C41" s="15">
        <v>95</v>
      </c>
      <c r="D41" s="18">
        <v>10.69</v>
      </c>
      <c r="E41" s="15">
        <v>22.8</v>
      </c>
      <c r="F41" s="15">
        <v>1.2</v>
      </c>
      <c r="G41" s="15">
        <v>100</v>
      </c>
      <c r="H41" s="15">
        <v>1100</v>
      </c>
      <c r="I41" s="17">
        <v>3</v>
      </c>
      <c r="J41" s="1">
        <v>4</v>
      </c>
      <c r="K41" s="1">
        <v>7</v>
      </c>
    </row>
    <row r="42" spans="1:11" x14ac:dyDescent="0.3">
      <c r="A42" s="15" t="s">
        <v>153</v>
      </c>
      <c r="B42" s="23" t="s">
        <v>183</v>
      </c>
      <c r="C42" s="15">
        <v>95</v>
      </c>
      <c r="D42" s="18">
        <v>5.99</v>
      </c>
      <c r="E42" s="15">
        <v>25.7</v>
      </c>
      <c r="F42" s="15">
        <v>0</v>
      </c>
      <c r="G42" s="15">
        <v>100</v>
      </c>
      <c r="H42" s="15">
        <v>1420</v>
      </c>
      <c r="I42" s="17">
        <v>3</v>
      </c>
      <c r="J42" s="1">
        <v>5</v>
      </c>
      <c r="K42" s="1">
        <v>7</v>
      </c>
    </row>
    <row r="43" spans="1:11" x14ac:dyDescent="0.3">
      <c r="A43" s="15" t="s">
        <v>153</v>
      </c>
      <c r="B43" s="16" t="s">
        <v>183</v>
      </c>
      <c r="C43" s="15">
        <v>98</v>
      </c>
      <c r="D43" s="18">
        <v>3.61</v>
      </c>
      <c r="E43" s="15">
        <v>23</v>
      </c>
      <c r="F43" s="15">
        <v>0</v>
      </c>
      <c r="G43" s="15">
        <v>100</v>
      </c>
      <c r="H43" s="15">
        <v>2000</v>
      </c>
      <c r="I43" s="17">
        <v>3</v>
      </c>
      <c r="J43" s="1">
        <v>0</v>
      </c>
      <c r="K43" s="1">
        <v>0</v>
      </c>
    </row>
    <row r="44" spans="1:11" x14ac:dyDescent="0.3">
      <c r="A44" s="15" t="s">
        <v>153</v>
      </c>
      <c r="B44" s="23" t="s">
        <v>183</v>
      </c>
      <c r="C44" s="15">
        <v>80</v>
      </c>
      <c r="D44" s="18">
        <v>6.89</v>
      </c>
      <c r="E44" s="15">
        <v>24.3</v>
      </c>
      <c r="F44" s="15">
        <v>0.87</v>
      </c>
      <c r="G44" s="15">
        <v>100</v>
      </c>
      <c r="H44" s="15">
        <v>2000</v>
      </c>
      <c r="I44" s="17">
        <v>3</v>
      </c>
      <c r="J44" s="1">
        <v>2</v>
      </c>
      <c r="K44" s="1">
        <v>2</v>
      </c>
    </row>
    <row r="45" spans="1:11" x14ac:dyDescent="0.3">
      <c r="A45" s="15" t="s">
        <v>153</v>
      </c>
      <c r="B45" s="23" t="s">
        <v>185</v>
      </c>
      <c r="C45" s="15">
        <v>80</v>
      </c>
      <c r="D45" s="36">
        <v>14.7</v>
      </c>
      <c r="E45" s="15">
        <v>24.13</v>
      </c>
      <c r="F45" s="15">
        <v>2.1</v>
      </c>
      <c r="G45" s="15">
        <v>100</v>
      </c>
      <c r="H45" s="15">
        <v>1420</v>
      </c>
      <c r="I45" s="17">
        <v>1</v>
      </c>
      <c r="J45" s="1">
        <v>3</v>
      </c>
      <c r="K45" s="1">
        <v>11</v>
      </c>
    </row>
    <row r="46" spans="1:11" x14ac:dyDescent="0.3">
      <c r="A46" s="15" t="s">
        <v>153</v>
      </c>
      <c r="B46" s="23" t="s">
        <v>185</v>
      </c>
      <c r="C46" s="15">
        <v>99</v>
      </c>
      <c r="D46" s="36">
        <v>12.46</v>
      </c>
      <c r="E46" s="15">
        <v>22.9</v>
      </c>
      <c r="F46" s="15">
        <v>0</v>
      </c>
      <c r="G46" s="15">
        <v>100</v>
      </c>
      <c r="H46" s="15">
        <v>1420</v>
      </c>
      <c r="I46" s="17">
        <v>1</v>
      </c>
      <c r="J46" s="1">
        <v>4</v>
      </c>
      <c r="K46" s="1">
        <v>5</v>
      </c>
    </row>
    <row r="47" spans="1:11" x14ac:dyDescent="0.3">
      <c r="A47" s="15" t="s">
        <v>153</v>
      </c>
      <c r="B47" s="16" t="s">
        <v>185</v>
      </c>
      <c r="C47" s="15">
        <v>99</v>
      </c>
      <c r="D47" s="18">
        <v>8.2799999999999994</v>
      </c>
      <c r="E47" s="15">
        <v>24.2</v>
      </c>
      <c r="F47" s="15">
        <v>0</v>
      </c>
      <c r="G47" s="15">
        <v>100</v>
      </c>
      <c r="H47" s="15">
        <v>2000</v>
      </c>
      <c r="I47" s="17">
        <v>1</v>
      </c>
      <c r="J47" s="1">
        <v>0</v>
      </c>
      <c r="K47" s="1">
        <v>0</v>
      </c>
    </row>
    <row r="48" spans="1:11" x14ac:dyDescent="0.3">
      <c r="A48" s="15" t="s">
        <v>153</v>
      </c>
      <c r="B48" s="16" t="s">
        <v>185</v>
      </c>
      <c r="C48" s="15">
        <v>99</v>
      </c>
      <c r="D48" s="18">
        <v>7.19</v>
      </c>
      <c r="E48" s="15">
        <v>23.4</v>
      </c>
      <c r="F48" s="15">
        <v>1.5</v>
      </c>
      <c r="G48" s="15">
        <v>100</v>
      </c>
      <c r="H48" s="15">
        <v>2000</v>
      </c>
      <c r="I48" s="17">
        <v>1</v>
      </c>
      <c r="J48" s="1">
        <v>0</v>
      </c>
      <c r="K48" s="1">
        <v>0</v>
      </c>
    </row>
    <row r="49" spans="1:11" x14ac:dyDescent="0.3">
      <c r="A49" s="15" t="s">
        <v>153</v>
      </c>
      <c r="B49" s="23" t="s">
        <v>186</v>
      </c>
      <c r="C49" s="15">
        <v>95</v>
      </c>
      <c r="D49" s="18">
        <v>1.44</v>
      </c>
      <c r="E49" s="15">
        <v>25.1</v>
      </c>
      <c r="F49" s="15">
        <v>0</v>
      </c>
      <c r="G49" s="15">
        <v>100</v>
      </c>
      <c r="H49" s="15">
        <v>1420</v>
      </c>
      <c r="I49" s="17">
        <v>6</v>
      </c>
      <c r="J49" s="1">
        <v>2</v>
      </c>
      <c r="K49" s="1">
        <v>7</v>
      </c>
    </row>
    <row r="50" spans="1:11" x14ac:dyDescent="0.3">
      <c r="A50" s="15" t="s">
        <v>153</v>
      </c>
      <c r="B50" s="23" t="s">
        <v>186</v>
      </c>
      <c r="C50" s="15">
        <v>99</v>
      </c>
      <c r="D50" s="18">
        <v>0.54</v>
      </c>
      <c r="E50" s="15">
        <v>21.9</v>
      </c>
      <c r="F50" s="15">
        <v>0</v>
      </c>
      <c r="G50" s="15">
        <v>100</v>
      </c>
      <c r="H50" s="15">
        <v>1420</v>
      </c>
      <c r="I50" s="17">
        <v>6</v>
      </c>
      <c r="J50" s="1">
        <v>3</v>
      </c>
      <c r="K50" s="1">
        <v>3</v>
      </c>
    </row>
    <row r="51" spans="1:11" x14ac:dyDescent="0.3">
      <c r="A51" s="15" t="s">
        <v>153</v>
      </c>
      <c r="B51" s="23" t="s">
        <v>186</v>
      </c>
      <c r="C51" s="15">
        <v>99</v>
      </c>
      <c r="D51" s="18">
        <v>0.63</v>
      </c>
      <c r="E51" s="15">
        <v>25.1</v>
      </c>
      <c r="F51" s="15">
        <v>0</v>
      </c>
      <c r="G51" s="15">
        <v>100</v>
      </c>
      <c r="H51" s="15">
        <v>2000</v>
      </c>
      <c r="I51" s="17">
        <v>6</v>
      </c>
      <c r="J51" s="1">
        <v>3</v>
      </c>
      <c r="K51" s="1">
        <v>8</v>
      </c>
    </row>
    <row r="52" spans="1:11" x14ac:dyDescent="0.3">
      <c r="A52" s="15" t="s">
        <v>153</v>
      </c>
      <c r="B52" s="23" t="s">
        <v>186</v>
      </c>
      <c r="C52" s="15">
        <v>99</v>
      </c>
      <c r="D52" s="18">
        <v>1.67</v>
      </c>
      <c r="E52" s="15">
        <v>25.2</v>
      </c>
      <c r="F52" s="15">
        <v>0</v>
      </c>
      <c r="G52" s="15">
        <v>100</v>
      </c>
      <c r="H52" s="15">
        <v>2000</v>
      </c>
      <c r="I52" s="17">
        <v>6</v>
      </c>
      <c r="J52" s="1">
        <v>3</v>
      </c>
      <c r="K52" s="1">
        <v>4</v>
      </c>
    </row>
    <row r="53" spans="1:11" x14ac:dyDescent="0.3">
      <c r="A53" s="15" t="s">
        <v>158</v>
      </c>
      <c r="B53" s="23" t="s">
        <v>176</v>
      </c>
      <c r="C53" s="15">
        <v>96</v>
      </c>
      <c r="D53" s="18">
        <v>1.1399999999999999</v>
      </c>
      <c r="E53" s="15">
        <v>26.4</v>
      </c>
      <c r="F53" s="15">
        <v>0</v>
      </c>
      <c r="G53" s="15">
        <v>22</v>
      </c>
      <c r="H53" s="15">
        <v>550</v>
      </c>
      <c r="I53" s="17">
        <v>4</v>
      </c>
      <c r="J53" s="1">
        <v>4</v>
      </c>
      <c r="K53" s="1">
        <v>7</v>
      </c>
    </row>
    <row r="54" spans="1:11" x14ac:dyDescent="0.3">
      <c r="A54" s="15" t="s">
        <v>158</v>
      </c>
      <c r="B54" s="23" t="s">
        <v>176</v>
      </c>
      <c r="C54" s="15">
        <v>99</v>
      </c>
      <c r="D54" s="18">
        <v>8.51</v>
      </c>
      <c r="E54" s="15">
        <v>26.5</v>
      </c>
      <c r="F54" s="15">
        <v>0</v>
      </c>
      <c r="G54" s="15">
        <v>36.659999999999997</v>
      </c>
      <c r="H54" s="15">
        <v>2000</v>
      </c>
      <c r="I54" s="17">
        <v>4</v>
      </c>
      <c r="J54" s="1">
        <v>9</v>
      </c>
      <c r="K54" s="1">
        <v>9</v>
      </c>
    </row>
    <row r="55" spans="1:11" x14ac:dyDescent="0.3">
      <c r="A55" s="15" t="s">
        <v>158</v>
      </c>
      <c r="B55" s="23" t="s">
        <v>176</v>
      </c>
      <c r="C55" s="15">
        <v>99</v>
      </c>
      <c r="D55" s="18">
        <v>8.52</v>
      </c>
      <c r="E55" s="15">
        <v>26.5</v>
      </c>
      <c r="F55" s="15">
        <v>0</v>
      </c>
      <c r="G55" s="15">
        <v>100</v>
      </c>
      <c r="H55" s="15">
        <v>2000</v>
      </c>
      <c r="I55" s="17">
        <v>4</v>
      </c>
      <c r="J55" s="1">
        <v>5</v>
      </c>
      <c r="K55" s="1">
        <v>6</v>
      </c>
    </row>
    <row r="56" spans="1:11" x14ac:dyDescent="0.3">
      <c r="A56" s="15" t="s">
        <v>158</v>
      </c>
      <c r="B56" s="23" t="s">
        <v>178</v>
      </c>
      <c r="C56" s="15">
        <v>99</v>
      </c>
      <c r="D56" s="18">
        <v>6.93</v>
      </c>
      <c r="E56" s="15">
        <v>23.5</v>
      </c>
      <c r="F56" s="15">
        <v>0</v>
      </c>
      <c r="G56" s="15">
        <v>98</v>
      </c>
      <c r="H56" s="15">
        <v>2000</v>
      </c>
      <c r="I56" s="17">
        <v>3</v>
      </c>
      <c r="J56" s="1">
        <v>7</v>
      </c>
      <c r="K56" s="1">
        <v>7</v>
      </c>
    </row>
    <row r="57" spans="1:11" x14ac:dyDescent="0.3">
      <c r="A57" s="15" t="s">
        <v>158</v>
      </c>
      <c r="B57" s="23" t="s">
        <v>178</v>
      </c>
      <c r="C57" s="15">
        <v>99</v>
      </c>
      <c r="D57" s="18">
        <v>6.8</v>
      </c>
      <c r="E57" s="15">
        <v>23.5</v>
      </c>
      <c r="F57" s="15">
        <v>0</v>
      </c>
      <c r="G57" s="15">
        <v>100</v>
      </c>
      <c r="H57" s="15">
        <v>2000</v>
      </c>
      <c r="I57" s="17">
        <v>3</v>
      </c>
      <c r="J57" s="1">
        <v>1</v>
      </c>
      <c r="K57" s="1">
        <v>1</v>
      </c>
    </row>
    <row r="58" spans="1:11" x14ac:dyDescent="0.3">
      <c r="A58" s="15" t="s">
        <v>158</v>
      </c>
      <c r="B58" s="23" t="s">
        <v>200</v>
      </c>
      <c r="C58" s="15">
        <v>89</v>
      </c>
      <c r="D58" s="18">
        <v>2.74</v>
      </c>
      <c r="E58" s="15">
        <v>23.5</v>
      </c>
      <c r="F58" s="15">
        <v>0</v>
      </c>
      <c r="G58" s="15">
        <v>0</v>
      </c>
      <c r="H58" s="15">
        <v>700</v>
      </c>
      <c r="I58" s="17">
        <v>5</v>
      </c>
      <c r="J58" s="1">
        <v>13</v>
      </c>
      <c r="K58" s="1">
        <v>16</v>
      </c>
    </row>
    <row r="59" spans="1:11" x14ac:dyDescent="0.3">
      <c r="A59" s="15" t="s">
        <v>158</v>
      </c>
      <c r="B59" s="23" t="s">
        <v>200</v>
      </c>
      <c r="C59" s="15">
        <v>99</v>
      </c>
      <c r="D59" s="18">
        <v>0.32</v>
      </c>
      <c r="E59" s="15">
        <v>21.5</v>
      </c>
      <c r="F59" s="15">
        <v>0</v>
      </c>
      <c r="G59" s="15">
        <v>100</v>
      </c>
      <c r="H59" s="15">
        <v>2000</v>
      </c>
      <c r="I59" s="17">
        <v>5</v>
      </c>
      <c r="J59" s="1">
        <v>3</v>
      </c>
      <c r="K59" s="1">
        <v>3</v>
      </c>
    </row>
    <row r="60" spans="1:11" x14ac:dyDescent="0.3">
      <c r="A60" s="15" t="s">
        <v>158</v>
      </c>
      <c r="B60" s="23" t="s">
        <v>200</v>
      </c>
      <c r="C60" s="15">
        <v>87</v>
      </c>
      <c r="D60" s="18">
        <v>0.03</v>
      </c>
      <c r="E60" s="15">
        <v>23.2</v>
      </c>
      <c r="F60" s="15">
        <v>0</v>
      </c>
      <c r="G60" s="15">
        <v>100</v>
      </c>
      <c r="H60" s="15">
        <v>2000</v>
      </c>
      <c r="I60" s="17">
        <v>5</v>
      </c>
      <c r="J60" s="1">
        <v>3</v>
      </c>
      <c r="K60" s="1">
        <v>3</v>
      </c>
    </row>
    <row r="61" spans="1:11" x14ac:dyDescent="0.3">
      <c r="A61" s="15" t="s">
        <v>158</v>
      </c>
      <c r="B61" s="23" t="s">
        <v>200</v>
      </c>
      <c r="C61" s="15">
        <v>85</v>
      </c>
      <c r="D61" s="18">
        <v>0.04</v>
      </c>
      <c r="E61" s="15">
        <v>23.2</v>
      </c>
      <c r="F61" s="15">
        <v>0</v>
      </c>
      <c r="G61" s="15">
        <v>50</v>
      </c>
      <c r="H61" s="15">
        <v>2000</v>
      </c>
      <c r="I61" s="17">
        <v>5</v>
      </c>
      <c r="J61" s="1">
        <v>1</v>
      </c>
      <c r="K61" s="1">
        <v>1</v>
      </c>
    </row>
    <row r="62" spans="1:11" x14ac:dyDescent="0.3">
      <c r="A62" s="15" t="s">
        <v>158</v>
      </c>
      <c r="B62" s="23" t="s">
        <v>180</v>
      </c>
      <c r="C62" s="15">
        <v>88</v>
      </c>
      <c r="D62" s="18">
        <v>0.69</v>
      </c>
      <c r="E62" s="15">
        <v>23.4</v>
      </c>
      <c r="F62" s="15">
        <v>6</v>
      </c>
      <c r="G62" s="15">
        <v>100</v>
      </c>
      <c r="H62" s="15">
        <v>700</v>
      </c>
      <c r="I62" s="17">
        <v>5</v>
      </c>
      <c r="J62" s="1">
        <v>8</v>
      </c>
      <c r="K62" s="1">
        <v>9</v>
      </c>
    </row>
    <row r="63" spans="1:11" x14ac:dyDescent="0.3">
      <c r="A63" s="15" t="s">
        <v>158</v>
      </c>
      <c r="B63" s="23" t="s">
        <v>180</v>
      </c>
      <c r="C63" s="15">
        <v>88</v>
      </c>
      <c r="D63" s="18">
        <v>1.86</v>
      </c>
      <c r="E63" s="15">
        <v>27.2</v>
      </c>
      <c r="F63" s="15">
        <v>0.6</v>
      </c>
      <c r="G63" s="15">
        <v>100</v>
      </c>
      <c r="H63" s="15">
        <v>2000</v>
      </c>
      <c r="I63" s="17">
        <v>5</v>
      </c>
      <c r="J63" s="1">
        <v>4</v>
      </c>
      <c r="K63" s="1">
        <v>4</v>
      </c>
    </row>
    <row r="64" spans="1:11" x14ac:dyDescent="0.3">
      <c r="A64" s="15" t="s">
        <v>158</v>
      </c>
      <c r="B64" s="23" t="s">
        <v>181</v>
      </c>
      <c r="C64" s="15">
        <v>80</v>
      </c>
      <c r="D64" s="18">
        <v>51.6</v>
      </c>
      <c r="E64" s="15">
        <v>28.7</v>
      </c>
      <c r="F64" s="15">
        <v>2.5</v>
      </c>
      <c r="G64" s="15">
        <v>0</v>
      </c>
      <c r="H64" s="15">
        <v>700</v>
      </c>
      <c r="I64" s="17">
        <v>3</v>
      </c>
      <c r="J64" s="1">
        <v>5</v>
      </c>
      <c r="K64" s="1">
        <v>5</v>
      </c>
    </row>
    <row r="65" spans="1:11" x14ac:dyDescent="0.3">
      <c r="A65" s="15" t="s">
        <v>158</v>
      </c>
      <c r="B65" s="23" t="s">
        <v>198</v>
      </c>
      <c r="C65" s="15">
        <v>71</v>
      </c>
      <c r="D65" s="18">
        <v>7.17</v>
      </c>
      <c r="E65" s="15">
        <v>26.1</v>
      </c>
      <c r="F65" s="15">
        <v>1.9</v>
      </c>
      <c r="G65" s="15">
        <v>0</v>
      </c>
      <c r="H65" s="15">
        <v>700</v>
      </c>
      <c r="I65" s="17">
        <v>3</v>
      </c>
      <c r="J65" s="1">
        <v>9</v>
      </c>
      <c r="K65" s="1">
        <v>11</v>
      </c>
    </row>
    <row r="66" spans="1:11" x14ac:dyDescent="0.3">
      <c r="A66" s="15" t="s">
        <v>158</v>
      </c>
      <c r="B66" s="23" t="s">
        <v>198</v>
      </c>
      <c r="C66" s="15">
        <v>74</v>
      </c>
      <c r="D66" s="18">
        <v>7.5</v>
      </c>
      <c r="E66" s="15">
        <v>26</v>
      </c>
      <c r="F66" s="15">
        <v>0</v>
      </c>
      <c r="G66" s="15">
        <v>100</v>
      </c>
      <c r="H66" s="15">
        <v>2000</v>
      </c>
      <c r="I66" s="17">
        <v>3</v>
      </c>
      <c r="J66" s="1">
        <v>1</v>
      </c>
      <c r="K66" s="1">
        <v>1</v>
      </c>
    </row>
    <row r="67" spans="1:11" x14ac:dyDescent="0.3">
      <c r="A67" s="15" t="s">
        <v>158</v>
      </c>
      <c r="B67" s="23" t="s">
        <v>198</v>
      </c>
      <c r="C67" s="15">
        <v>54</v>
      </c>
      <c r="D67" s="18">
        <v>10.85</v>
      </c>
      <c r="E67" s="15">
        <v>28.3</v>
      </c>
      <c r="F67" s="15">
        <v>1.45</v>
      </c>
      <c r="G67" s="15">
        <v>35</v>
      </c>
      <c r="H67" s="15">
        <v>2000</v>
      </c>
      <c r="I67" s="17">
        <v>3</v>
      </c>
      <c r="J67" s="1">
        <v>4</v>
      </c>
      <c r="K67" s="1">
        <v>4</v>
      </c>
    </row>
    <row r="68" spans="1:11" x14ac:dyDescent="0.3">
      <c r="A68" s="15" t="s">
        <v>158</v>
      </c>
      <c r="B68" s="23" t="s">
        <v>199</v>
      </c>
      <c r="C68" s="1">
        <v>72</v>
      </c>
      <c r="D68" s="1">
        <v>17.850000000000001</v>
      </c>
      <c r="E68" s="1">
        <v>26.9</v>
      </c>
      <c r="F68" s="1">
        <v>1.6</v>
      </c>
      <c r="G68" s="1">
        <v>90</v>
      </c>
      <c r="H68" s="15">
        <v>700</v>
      </c>
      <c r="I68" s="17">
        <v>2</v>
      </c>
      <c r="J68" s="1">
        <v>2</v>
      </c>
      <c r="K68" s="1">
        <v>3</v>
      </c>
    </row>
    <row r="69" spans="1:11" x14ac:dyDescent="0.3">
      <c r="A69" s="15" t="s">
        <v>158</v>
      </c>
      <c r="B69" s="23" t="s">
        <v>199</v>
      </c>
      <c r="C69" s="15">
        <v>66</v>
      </c>
      <c r="D69" s="18">
        <v>6.27</v>
      </c>
      <c r="E69" s="15">
        <v>26.2</v>
      </c>
      <c r="F69" s="15">
        <v>0.8</v>
      </c>
      <c r="G69" s="15">
        <v>100</v>
      </c>
      <c r="H69" s="15">
        <v>2000</v>
      </c>
      <c r="I69" s="17">
        <v>2</v>
      </c>
      <c r="J69" s="1">
        <v>1</v>
      </c>
      <c r="K69" s="1">
        <v>1</v>
      </c>
    </row>
    <row r="70" spans="1:11" x14ac:dyDescent="0.3">
      <c r="A70" s="15" t="s">
        <v>158</v>
      </c>
      <c r="B70" s="23" t="s">
        <v>183</v>
      </c>
      <c r="C70" s="15">
        <v>77</v>
      </c>
      <c r="D70" s="18">
        <v>19</v>
      </c>
      <c r="E70" s="15">
        <v>23.9</v>
      </c>
      <c r="F70" s="15">
        <v>0</v>
      </c>
      <c r="G70" s="15">
        <v>100</v>
      </c>
      <c r="H70" s="15">
        <v>2000</v>
      </c>
      <c r="I70" s="17">
        <v>3</v>
      </c>
      <c r="J70" s="1">
        <v>4</v>
      </c>
      <c r="K70" s="1">
        <v>13</v>
      </c>
    </row>
    <row r="71" spans="1:11" x14ac:dyDescent="0.3">
      <c r="A71" s="15" t="s">
        <v>158</v>
      </c>
      <c r="B71" s="23" t="s">
        <v>183</v>
      </c>
      <c r="C71" s="15">
        <v>99</v>
      </c>
      <c r="D71" s="18">
        <v>29.59</v>
      </c>
      <c r="E71" s="15">
        <v>24.9</v>
      </c>
      <c r="F71" s="15">
        <v>0.65</v>
      </c>
      <c r="G71" s="15">
        <v>99</v>
      </c>
      <c r="H71" s="15">
        <v>700</v>
      </c>
      <c r="I71" s="17">
        <v>3</v>
      </c>
      <c r="J71" s="1">
        <v>4</v>
      </c>
      <c r="K71" s="1">
        <v>7</v>
      </c>
    </row>
    <row r="72" spans="1:11" x14ac:dyDescent="0.3">
      <c r="A72" s="15" t="s">
        <v>158</v>
      </c>
      <c r="B72" s="23" t="s">
        <v>183</v>
      </c>
      <c r="C72" s="15">
        <v>74</v>
      </c>
      <c r="D72" s="18">
        <v>1.52</v>
      </c>
      <c r="E72" s="15">
        <v>19.829999999999998</v>
      </c>
      <c r="F72" s="15">
        <v>0.85</v>
      </c>
      <c r="G72" s="15">
        <v>100</v>
      </c>
      <c r="H72" s="15">
        <v>2000</v>
      </c>
      <c r="I72" s="17">
        <v>3</v>
      </c>
      <c r="J72" s="1">
        <v>2</v>
      </c>
      <c r="K72" s="1">
        <v>2</v>
      </c>
    </row>
    <row r="73" spans="1:11" x14ac:dyDescent="0.3">
      <c r="A73" s="15" t="s">
        <v>158</v>
      </c>
      <c r="B73" s="23" t="s">
        <v>185</v>
      </c>
      <c r="C73" s="15">
        <v>99</v>
      </c>
      <c r="D73" s="18">
        <v>27.94</v>
      </c>
      <c r="E73" s="15">
        <v>22.3</v>
      </c>
      <c r="F73" s="15">
        <v>1.2</v>
      </c>
      <c r="G73" s="15">
        <v>100</v>
      </c>
      <c r="H73" s="15">
        <v>700</v>
      </c>
      <c r="I73" s="17">
        <v>1</v>
      </c>
      <c r="J73" s="1">
        <v>5</v>
      </c>
      <c r="K73" s="1">
        <v>15</v>
      </c>
    </row>
    <row r="74" spans="1:11" x14ac:dyDescent="0.3">
      <c r="A74" s="15" t="s">
        <v>158</v>
      </c>
      <c r="B74" s="23" t="s">
        <v>185</v>
      </c>
      <c r="C74" s="15">
        <v>80</v>
      </c>
      <c r="D74" s="18">
        <v>6.81</v>
      </c>
      <c r="E74" s="15">
        <v>19.03</v>
      </c>
      <c r="F74" s="15">
        <v>1.8</v>
      </c>
      <c r="G74" s="15">
        <v>100</v>
      </c>
      <c r="H74" s="15">
        <v>2000</v>
      </c>
      <c r="I74" s="17">
        <v>1</v>
      </c>
      <c r="J74" s="1">
        <v>2</v>
      </c>
      <c r="K74" s="1">
        <v>4</v>
      </c>
    </row>
    <row r="75" spans="1:11" x14ac:dyDescent="0.3">
      <c r="A75" s="15" t="s">
        <v>158</v>
      </c>
      <c r="B75" s="23" t="s">
        <v>186</v>
      </c>
      <c r="C75" s="15">
        <v>95</v>
      </c>
      <c r="D75" s="18">
        <v>0.4</v>
      </c>
      <c r="E75" s="15">
        <v>17.100000000000001</v>
      </c>
      <c r="F75" s="15">
        <v>0</v>
      </c>
      <c r="G75" s="15">
        <v>0</v>
      </c>
      <c r="H75" s="15">
        <v>700</v>
      </c>
      <c r="I75" s="17">
        <v>6</v>
      </c>
      <c r="J75" s="1">
        <v>10</v>
      </c>
      <c r="K75" s="1">
        <v>33</v>
      </c>
    </row>
    <row r="76" spans="1:11" x14ac:dyDescent="0.3">
      <c r="A76" s="15" t="s">
        <v>158</v>
      </c>
      <c r="B76" s="23" t="s">
        <v>186</v>
      </c>
      <c r="C76" s="15">
        <v>95</v>
      </c>
      <c r="D76" s="18">
        <v>0.42</v>
      </c>
      <c r="E76" s="15">
        <v>17.2</v>
      </c>
      <c r="F76" s="15">
        <v>0</v>
      </c>
      <c r="G76" s="15">
        <v>100</v>
      </c>
      <c r="H76" s="15">
        <v>2000</v>
      </c>
      <c r="I76" s="17">
        <v>6</v>
      </c>
      <c r="J76" s="1">
        <v>1</v>
      </c>
      <c r="K76" s="1">
        <v>1</v>
      </c>
    </row>
    <row r="77" spans="1:11" x14ac:dyDescent="0.3">
      <c r="A77" s="15" t="s">
        <v>158</v>
      </c>
      <c r="B77" s="23" t="s">
        <v>186</v>
      </c>
      <c r="C77" s="15">
        <v>95</v>
      </c>
      <c r="D77" s="18">
        <v>0.41</v>
      </c>
      <c r="E77" s="15">
        <v>17.100000000000001</v>
      </c>
      <c r="F77" s="15">
        <v>0</v>
      </c>
      <c r="G77" s="15">
        <v>100</v>
      </c>
      <c r="H77" s="15">
        <v>700</v>
      </c>
      <c r="I77" s="17">
        <v>6</v>
      </c>
      <c r="J77" s="1">
        <v>8</v>
      </c>
      <c r="K77" s="1">
        <v>11</v>
      </c>
    </row>
    <row r="78" spans="1:11" x14ac:dyDescent="0.3">
      <c r="A78" s="15" t="s">
        <v>158</v>
      </c>
      <c r="B78" s="23" t="s">
        <v>186</v>
      </c>
      <c r="C78" s="15">
        <v>87</v>
      </c>
      <c r="D78" s="18">
        <v>0.16</v>
      </c>
      <c r="E78" s="15">
        <v>20.2</v>
      </c>
      <c r="F78" s="15">
        <v>0</v>
      </c>
      <c r="G78" s="15">
        <v>100</v>
      </c>
      <c r="H78" s="15">
        <v>2000</v>
      </c>
      <c r="I78" s="17">
        <v>6</v>
      </c>
      <c r="J78" s="1">
        <v>6</v>
      </c>
      <c r="K78" s="1">
        <v>6</v>
      </c>
    </row>
    <row r="79" spans="1:11" x14ac:dyDescent="0.3">
      <c r="A79" s="15" t="s">
        <v>164</v>
      </c>
      <c r="B79" s="23" t="s">
        <v>176</v>
      </c>
      <c r="C79" s="15">
        <v>89</v>
      </c>
      <c r="D79" s="18">
        <v>1.36</v>
      </c>
      <c r="E79" s="15">
        <v>23.18</v>
      </c>
      <c r="F79" s="15">
        <v>0</v>
      </c>
      <c r="G79" s="15">
        <v>100</v>
      </c>
      <c r="H79" s="15">
        <v>2000</v>
      </c>
      <c r="I79" s="17">
        <v>4</v>
      </c>
      <c r="J79" s="1">
        <v>8</v>
      </c>
      <c r="K79" s="1">
        <v>11</v>
      </c>
    </row>
    <row r="80" spans="1:11" x14ac:dyDescent="0.3">
      <c r="A80" s="15" t="s">
        <v>164</v>
      </c>
      <c r="B80" s="23" t="s">
        <v>177</v>
      </c>
      <c r="C80" s="15">
        <v>94</v>
      </c>
      <c r="D80" s="18">
        <v>7.68</v>
      </c>
      <c r="E80" s="15">
        <v>26.7</v>
      </c>
      <c r="F80" s="15">
        <v>0.75</v>
      </c>
      <c r="G80" s="15">
        <v>100</v>
      </c>
      <c r="H80" s="15">
        <v>2000</v>
      </c>
      <c r="I80" s="17">
        <v>3</v>
      </c>
      <c r="J80" s="1">
        <v>6</v>
      </c>
      <c r="K80" s="1">
        <v>8</v>
      </c>
    </row>
    <row r="81" spans="1:11" x14ac:dyDescent="0.3">
      <c r="A81" s="15" t="s">
        <v>164</v>
      </c>
      <c r="B81" s="23" t="s">
        <v>177</v>
      </c>
      <c r="C81" s="15">
        <v>90</v>
      </c>
      <c r="D81" s="18">
        <v>1.5</v>
      </c>
      <c r="E81" s="15">
        <v>23.4</v>
      </c>
      <c r="F81" s="15">
        <v>0</v>
      </c>
      <c r="G81" s="15">
        <v>100</v>
      </c>
      <c r="H81" s="15">
        <v>2000</v>
      </c>
      <c r="I81" s="17">
        <v>3</v>
      </c>
      <c r="J81" s="1">
        <v>1</v>
      </c>
      <c r="K81" s="1">
        <v>1</v>
      </c>
    </row>
    <row r="82" spans="1:11" x14ac:dyDescent="0.3">
      <c r="A82" s="15" t="s">
        <v>164</v>
      </c>
      <c r="B82" s="23" t="s">
        <v>200</v>
      </c>
      <c r="C82" s="15">
        <v>91</v>
      </c>
      <c r="D82" s="18">
        <v>1.1499999999999999</v>
      </c>
      <c r="E82" s="15">
        <v>24.4</v>
      </c>
      <c r="F82" s="15">
        <v>0</v>
      </c>
      <c r="G82" s="15">
        <v>100</v>
      </c>
      <c r="H82" s="15">
        <v>480</v>
      </c>
      <c r="I82" s="17">
        <v>5</v>
      </c>
      <c r="J82" s="1">
        <v>8</v>
      </c>
      <c r="K82" s="1">
        <v>8</v>
      </c>
    </row>
    <row r="83" spans="1:11" x14ac:dyDescent="0.3">
      <c r="A83" s="15" t="s">
        <v>164</v>
      </c>
      <c r="B83" s="23" t="s">
        <v>200</v>
      </c>
      <c r="C83" s="15">
        <v>94</v>
      </c>
      <c r="D83" s="18">
        <v>1.2</v>
      </c>
      <c r="E83" s="15">
        <v>24.4</v>
      </c>
      <c r="F83" s="15">
        <v>0</v>
      </c>
      <c r="G83" s="15">
        <v>100</v>
      </c>
      <c r="H83" s="15">
        <v>2000</v>
      </c>
      <c r="I83" s="17">
        <v>5</v>
      </c>
      <c r="J83" s="1">
        <v>1</v>
      </c>
      <c r="K83" s="1">
        <v>1</v>
      </c>
    </row>
    <row r="84" spans="1:11" x14ac:dyDescent="0.3">
      <c r="A84" s="15" t="s">
        <v>164</v>
      </c>
      <c r="B84" s="23" t="s">
        <v>200</v>
      </c>
      <c r="C84" s="15">
        <v>85</v>
      </c>
      <c r="D84" s="18">
        <v>1.3</v>
      </c>
      <c r="E84" s="15">
        <v>24.4</v>
      </c>
      <c r="F84" s="15">
        <v>0</v>
      </c>
      <c r="G84" s="15">
        <v>100</v>
      </c>
      <c r="H84" s="15">
        <v>2000</v>
      </c>
      <c r="I84" s="17">
        <v>5</v>
      </c>
      <c r="J84" s="1">
        <v>8</v>
      </c>
      <c r="K84" s="1">
        <v>8</v>
      </c>
    </row>
    <row r="85" spans="1:11" x14ac:dyDescent="0.3">
      <c r="A85" s="15" t="s">
        <v>164</v>
      </c>
      <c r="B85" s="23" t="s">
        <v>180</v>
      </c>
      <c r="C85" s="15">
        <v>91</v>
      </c>
      <c r="D85" s="18">
        <v>0.57999999999999996</v>
      </c>
      <c r="E85" s="15">
        <v>26.4</v>
      </c>
      <c r="F85" s="15">
        <v>0</v>
      </c>
      <c r="G85" s="15">
        <v>100</v>
      </c>
      <c r="H85" s="15">
        <v>780</v>
      </c>
      <c r="I85" s="17">
        <v>5</v>
      </c>
      <c r="J85" s="1">
        <v>10</v>
      </c>
      <c r="K85" s="1">
        <v>10</v>
      </c>
    </row>
    <row r="86" spans="1:11" x14ac:dyDescent="0.3">
      <c r="A86" s="15" t="s">
        <v>164</v>
      </c>
      <c r="B86" s="23" t="s">
        <v>180</v>
      </c>
      <c r="C86" s="15">
        <v>91</v>
      </c>
      <c r="D86" s="18">
        <v>0.81</v>
      </c>
      <c r="E86" s="15">
        <v>23.28</v>
      </c>
      <c r="F86" s="15">
        <v>0</v>
      </c>
      <c r="G86" s="15">
        <v>100</v>
      </c>
      <c r="H86" s="15">
        <v>480</v>
      </c>
      <c r="I86" s="17">
        <v>5</v>
      </c>
      <c r="J86" s="1">
        <v>5</v>
      </c>
      <c r="K86" s="1">
        <v>5</v>
      </c>
    </row>
    <row r="87" spans="1:11" x14ac:dyDescent="0.3">
      <c r="A87" s="15" t="s">
        <v>164</v>
      </c>
      <c r="B87" s="23" t="s">
        <v>181</v>
      </c>
      <c r="C87" s="15">
        <v>91</v>
      </c>
      <c r="D87" s="18">
        <v>0.81</v>
      </c>
      <c r="E87" s="15">
        <v>23.3</v>
      </c>
      <c r="F87" s="15">
        <v>0</v>
      </c>
      <c r="G87" s="15">
        <v>100</v>
      </c>
      <c r="H87" s="15">
        <v>2000</v>
      </c>
      <c r="I87" s="17">
        <v>3</v>
      </c>
      <c r="J87" s="1">
        <v>1</v>
      </c>
      <c r="K87" s="1">
        <v>2</v>
      </c>
    </row>
    <row r="88" spans="1:11" x14ac:dyDescent="0.3">
      <c r="A88" s="15" t="s">
        <v>164</v>
      </c>
      <c r="B88" s="23" t="s">
        <v>181</v>
      </c>
      <c r="C88" s="15">
        <v>99</v>
      </c>
      <c r="D88" s="18">
        <v>85.6</v>
      </c>
      <c r="E88" s="15">
        <v>28.5</v>
      </c>
      <c r="F88" s="15">
        <v>1.2</v>
      </c>
      <c r="G88" s="15">
        <v>100</v>
      </c>
      <c r="H88" s="15">
        <v>780</v>
      </c>
      <c r="I88" s="17">
        <v>3</v>
      </c>
      <c r="J88" s="1">
        <v>1</v>
      </c>
      <c r="K88" s="1">
        <v>1</v>
      </c>
    </row>
    <row r="89" spans="1:11" x14ac:dyDescent="0.3">
      <c r="A89" s="15" t="s">
        <v>164</v>
      </c>
      <c r="B89" s="23" t="s">
        <v>181</v>
      </c>
      <c r="C89" s="15">
        <v>91</v>
      </c>
      <c r="D89" s="18">
        <v>13.15</v>
      </c>
      <c r="E89" s="15">
        <v>26.13</v>
      </c>
      <c r="F89" s="15">
        <v>0</v>
      </c>
      <c r="G89" s="15">
        <v>100</v>
      </c>
      <c r="H89" s="15">
        <v>480</v>
      </c>
      <c r="I89" s="17">
        <v>3</v>
      </c>
      <c r="J89" s="1">
        <v>3</v>
      </c>
      <c r="K89" s="1">
        <v>3</v>
      </c>
    </row>
    <row r="90" spans="1:11" x14ac:dyDescent="0.3">
      <c r="A90" s="15" t="s">
        <v>164</v>
      </c>
      <c r="B90" s="23" t="s">
        <v>198</v>
      </c>
      <c r="C90" s="15">
        <v>75</v>
      </c>
      <c r="D90" s="18">
        <v>17.2</v>
      </c>
      <c r="E90" s="15">
        <v>28</v>
      </c>
      <c r="F90" s="15">
        <v>0</v>
      </c>
      <c r="G90" s="15">
        <v>100</v>
      </c>
      <c r="H90" s="15">
        <v>2000</v>
      </c>
      <c r="I90" s="17">
        <v>3</v>
      </c>
      <c r="J90" s="1">
        <v>2</v>
      </c>
      <c r="K90" s="1">
        <v>2</v>
      </c>
    </row>
    <row r="91" spans="1:11" x14ac:dyDescent="0.3">
      <c r="A91" s="39" t="s">
        <v>164</v>
      </c>
      <c r="B91" s="40" t="s">
        <v>198</v>
      </c>
      <c r="C91" s="39">
        <v>93</v>
      </c>
      <c r="D91" s="42">
        <v>14.5</v>
      </c>
      <c r="E91" s="39">
        <v>28.73</v>
      </c>
      <c r="F91" s="39">
        <v>0</v>
      </c>
      <c r="G91" s="39">
        <v>100</v>
      </c>
      <c r="H91" s="39">
        <v>480</v>
      </c>
      <c r="I91" s="43">
        <v>3</v>
      </c>
      <c r="J91" s="44">
        <v>6</v>
      </c>
      <c r="K91" s="44">
        <v>9</v>
      </c>
    </row>
    <row r="92" spans="1:11" x14ac:dyDescent="0.3">
      <c r="A92" s="15" t="s">
        <v>164</v>
      </c>
      <c r="B92" s="23" t="s">
        <v>198</v>
      </c>
      <c r="C92" s="15">
        <v>74</v>
      </c>
      <c r="D92" s="18">
        <v>18</v>
      </c>
      <c r="E92" s="15">
        <v>28</v>
      </c>
      <c r="F92" s="15">
        <v>0</v>
      </c>
      <c r="G92" s="15">
        <v>2</v>
      </c>
      <c r="H92" s="15">
        <v>2000</v>
      </c>
      <c r="I92" s="17">
        <v>3</v>
      </c>
      <c r="J92" s="1">
        <v>2</v>
      </c>
      <c r="K92" s="1">
        <v>2</v>
      </c>
    </row>
    <row r="93" spans="1:11" x14ac:dyDescent="0.3">
      <c r="A93" s="15" t="s">
        <v>164</v>
      </c>
      <c r="B93" s="23" t="s">
        <v>199</v>
      </c>
      <c r="C93" s="15">
        <v>92</v>
      </c>
      <c r="D93" s="18">
        <v>97.97</v>
      </c>
      <c r="E93" s="15">
        <v>28.73</v>
      </c>
      <c r="F93" s="15">
        <v>0.97</v>
      </c>
      <c r="G93" s="15">
        <v>100</v>
      </c>
      <c r="H93" s="15">
        <v>480</v>
      </c>
      <c r="I93" s="17">
        <v>2</v>
      </c>
      <c r="J93" s="1">
        <v>0</v>
      </c>
      <c r="K93" s="1">
        <v>0</v>
      </c>
    </row>
    <row r="94" spans="1:11" x14ac:dyDescent="0.3">
      <c r="A94" s="15" t="s">
        <v>164</v>
      </c>
      <c r="B94" s="23" t="s">
        <v>199</v>
      </c>
      <c r="C94" s="15">
        <v>86.5</v>
      </c>
      <c r="D94" s="18">
        <v>33.18</v>
      </c>
      <c r="E94" s="15">
        <v>25.7</v>
      </c>
      <c r="F94" s="15">
        <v>1.2</v>
      </c>
      <c r="G94" s="15">
        <v>100</v>
      </c>
      <c r="H94" s="15">
        <v>2000</v>
      </c>
      <c r="I94" s="17">
        <v>2</v>
      </c>
      <c r="J94" s="1">
        <v>3</v>
      </c>
      <c r="K94" s="1">
        <v>6</v>
      </c>
    </row>
    <row r="95" spans="1:11" x14ac:dyDescent="0.3">
      <c r="A95" s="15" t="s">
        <v>164</v>
      </c>
      <c r="B95" s="23" t="s">
        <v>199</v>
      </c>
      <c r="C95" s="15">
        <v>70</v>
      </c>
      <c r="D95" s="18">
        <v>5.91</v>
      </c>
      <c r="E95" s="15">
        <v>20.5</v>
      </c>
      <c r="F95" s="15">
        <v>1.5</v>
      </c>
      <c r="G95" s="15">
        <v>2</v>
      </c>
      <c r="H95" s="15">
        <v>2000</v>
      </c>
      <c r="I95" s="17">
        <v>2</v>
      </c>
      <c r="J95" s="1">
        <v>3</v>
      </c>
      <c r="K95" s="1">
        <v>3</v>
      </c>
    </row>
    <row r="96" spans="1:11" x14ac:dyDescent="0.3">
      <c r="A96" s="15" t="s">
        <v>164</v>
      </c>
      <c r="B96" s="23" t="s">
        <v>183</v>
      </c>
      <c r="C96" s="15">
        <v>89</v>
      </c>
      <c r="D96" s="18">
        <v>7.61</v>
      </c>
      <c r="E96" s="15">
        <v>23.8</v>
      </c>
      <c r="F96" s="15">
        <v>0.75</v>
      </c>
      <c r="G96" s="15">
        <v>100</v>
      </c>
      <c r="H96" s="15">
        <v>2000</v>
      </c>
      <c r="I96" s="17">
        <v>3</v>
      </c>
      <c r="J96" s="1">
        <v>5</v>
      </c>
      <c r="K96" s="1">
        <v>10</v>
      </c>
    </row>
    <row r="97" spans="1:11" x14ac:dyDescent="0.3">
      <c r="A97" s="15" t="s">
        <v>164</v>
      </c>
      <c r="B97" s="23" t="s">
        <v>183</v>
      </c>
      <c r="C97" s="15">
        <v>81</v>
      </c>
      <c r="D97" s="18">
        <v>5.23</v>
      </c>
      <c r="E97" s="15">
        <v>27.03</v>
      </c>
      <c r="F97" s="15">
        <v>0</v>
      </c>
      <c r="G97" s="15">
        <v>100</v>
      </c>
      <c r="H97" s="15">
        <v>480</v>
      </c>
      <c r="I97" s="17">
        <v>3</v>
      </c>
      <c r="J97" s="1">
        <v>4</v>
      </c>
      <c r="K97" s="1">
        <v>5</v>
      </c>
    </row>
    <row r="98" spans="1:11" x14ac:dyDescent="0.3">
      <c r="A98" s="15" t="s">
        <v>164</v>
      </c>
      <c r="B98" s="23" t="s">
        <v>185</v>
      </c>
      <c r="C98" s="15">
        <v>88</v>
      </c>
      <c r="D98" s="18">
        <v>24.87</v>
      </c>
      <c r="E98" s="15">
        <v>23.25</v>
      </c>
      <c r="F98" s="15">
        <v>0.45</v>
      </c>
      <c r="G98" s="15">
        <v>100</v>
      </c>
      <c r="H98" s="15">
        <v>2000</v>
      </c>
      <c r="I98" s="17">
        <v>1</v>
      </c>
      <c r="J98" s="1">
        <v>1</v>
      </c>
      <c r="K98" s="1">
        <v>1</v>
      </c>
    </row>
    <row r="99" spans="1:11" x14ac:dyDescent="0.3">
      <c r="A99" s="15" t="s">
        <v>164</v>
      </c>
      <c r="B99" s="23" t="s">
        <v>185</v>
      </c>
      <c r="C99" s="15">
        <v>72</v>
      </c>
      <c r="D99" s="18">
        <v>4.6399999999999997</v>
      </c>
      <c r="E99" s="15">
        <v>24.9</v>
      </c>
      <c r="F99" s="15">
        <v>3.17</v>
      </c>
      <c r="G99" s="15">
        <v>100</v>
      </c>
      <c r="H99" s="15">
        <v>480</v>
      </c>
      <c r="I99" s="17">
        <v>1</v>
      </c>
      <c r="J99" s="1">
        <v>2</v>
      </c>
      <c r="K99" s="1">
        <v>4</v>
      </c>
    </row>
    <row r="100" spans="1:11" x14ac:dyDescent="0.3">
      <c r="A100" s="15" t="s">
        <v>164</v>
      </c>
      <c r="B100" s="23" t="s">
        <v>186</v>
      </c>
      <c r="C100" s="15">
        <v>86</v>
      </c>
      <c r="D100" s="18">
        <v>0.14000000000000001</v>
      </c>
      <c r="E100" s="15">
        <v>18.55</v>
      </c>
      <c r="F100" s="15">
        <v>0</v>
      </c>
      <c r="G100" s="15">
        <v>100</v>
      </c>
      <c r="H100" s="15">
        <v>2000</v>
      </c>
      <c r="I100" s="17">
        <v>6</v>
      </c>
      <c r="J100" s="1">
        <v>5</v>
      </c>
      <c r="K100" s="1">
        <v>5</v>
      </c>
    </row>
    <row r="101" spans="1:11" x14ac:dyDescent="0.3">
      <c r="A101" s="15" t="s">
        <v>164</v>
      </c>
      <c r="B101" s="23" t="s">
        <v>186</v>
      </c>
      <c r="C101" s="15">
        <v>87</v>
      </c>
      <c r="D101" s="18">
        <v>0.15</v>
      </c>
      <c r="E101" s="15">
        <v>15.2</v>
      </c>
      <c r="F101" s="15">
        <v>0</v>
      </c>
      <c r="G101" s="15">
        <v>100</v>
      </c>
      <c r="H101" s="15">
        <v>2000</v>
      </c>
      <c r="I101" s="17">
        <v>6</v>
      </c>
      <c r="J101" s="1">
        <v>3</v>
      </c>
      <c r="K101" s="1">
        <v>3</v>
      </c>
    </row>
    <row r="102" spans="1:11" x14ac:dyDescent="0.3">
      <c r="A102" s="15" t="s">
        <v>164</v>
      </c>
      <c r="B102" s="23" t="s">
        <v>186</v>
      </c>
      <c r="C102" s="15">
        <v>83</v>
      </c>
      <c r="D102" s="18">
        <v>0.20499999999999999</v>
      </c>
      <c r="E102" s="15">
        <v>24.8</v>
      </c>
      <c r="F102" s="15">
        <v>0</v>
      </c>
      <c r="G102" s="15">
        <v>100</v>
      </c>
      <c r="H102" s="15">
        <v>480</v>
      </c>
      <c r="I102" s="17">
        <v>6</v>
      </c>
      <c r="J102" s="1">
        <v>0</v>
      </c>
      <c r="K102" s="1">
        <v>0</v>
      </c>
    </row>
    <row r="103" spans="1:11" x14ac:dyDescent="0.3">
      <c r="A103" s="15" t="s">
        <v>168</v>
      </c>
      <c r="B103" s="15" t="s">
        <v>176</v>
      </c>
      <c r="C103" s="15">
        <v>92</v>
      </c>
      <c r="D103" s="18">
        <v>0.14000000000000001</v>
      </c>
      <c r="E103" s="15">
        <v>22.5</v>
      </c>
      <c r="F103" s="15">
        <v>0</v>
      </c>
      <c r="G103" s="15">
        <v>100</v>
      </c>
      <c r="H103" s="15">
        <v>480</v>
      </c>
      <c r="I103" s="17">
        <v>4</v>
      </c>
      <c r="J103" s="1">
        <v>6</v>
      </c>
      <c r="K103" s="1">
        <v>11</v>
      </c>
    </row>
    <row r="104" spans="1:11" x14ac:dyDescent="0.3">
      <c r="A104" s="15" t="s">
        <v>168</v>
      </c>
      <c r="B104" s="15" t="s">
        <v>176</v>
      </c>
      <c r="C104" s="15">
        <v>92</v>
      </c>
      <c r="D104" s="18">
        <v>0.14000000000000001</v>
      </c>
      <c r="E104" s="15">
        <v>22.5</v>
      </c>
      <c r="F104" s="15">
        <v>0</v>
      </c>
      <c r="G104" s="15">
        <v>60</v>
      </c>
      <c r="H104" s="15">
        <v>2000</v>
      </c>
      <c r="I104" s="17">
        <v>4</v>
      </c>
      <c r="J104" s="1">
        <v>1</v>
      </c>
      <c r="K104" s="1">
        <v>2</v>
      </c>
    </row>
    <row r="105" spans="1:11" x14ac:dyDescent="0.3">
      <c r="A105" s="15" t="s">
        <v>168</v>
      </c>
      <c r="B105" s="15" t="s">
        <v>177</v>
      </c>
      <c r="C105" s="15">
        <v>97</v>
      </c>
      <c r="D105" s="18">
        <v>4.5999999999999996</v>
      </c>
      <c r="E105" s="15">
        <v>24.3</v>
      </c>
      <c r="F105" s="15">
        <v>0</v>
      </c>
      <c r="G105" s="15">
        <v>100</v>
      </c>
      <c r="H105" s="15">
        <v>480</v>
      </c>
      <c r="I105" s="17">
        <v>3</v>
      </c>
      <c r="J105" s="1">
        <v>17</v>
      </c>
      <c r="K105" s="1">
        <v>24</v>
      </c>
    </row>
    <row r="106" spans="1:11" x14ac:dyDescent="0.3">
      <c r="A106" s="15" t="s">
        <v>168</v>
      </c>
      <c r="B106" s="15" t="s">
        <v>200</v>
      </c>
      <c r="C106" s="15">
        <v>99</v>
      </c>
      <c r="D106" s="18">
        <v>24.2</v>
      </c>
      <c r="E106" s="15">
        <v>26.1</v>
      </c>
      <c r="F106" s="15">
        <v>0</v>
      </c>
      <c r="G106" s="15">
        <v>60</v>
      </c>
      <c r="H106" s="15">
        <v>2000</v>
      </c>
      <c r="I106" s="17">
        <v>5</v>
      </c>
      <c r="J106" s="1">
        <v>1</v>
      </c>
      <c r="K106" s="1">
        <v>1</v>
      </c>
    </row>
    <row r="107" spans="1:11" x14ac:dyDescent="0.3">
      <c r="A107" s="15" t="s">
        <v>168</v>
      </c>
      <c r="B107" s="15" t="s">
        <v>200</v>
      </c>
      <c r="C107" s="15">
        <v>99</v>
      </c>
      <c r="D107" s="18">
        <v>24.2</v>
      </c>
      <c r="E107" s="15">
        <v>26.1</v>
      </c>
      <c r="F107" s="15">
        <v>0</v>
      </c>
      <c r="G107" s="15">
        <v>35</v>
      </c>
      <c r="H107" s="15">
        <v>480</v>
      </c>
      <c r="I107" s="17">
        <v>5</v>
      </c>
      <c r="J107" s="1">
        <v>11</v>
      </c>
      <c r="K107" s="1">
        <v>11</v>
      </c>
    </row>
    <row r="108" spans="1:11" x14ac:dyDescent="0.3">
      <c r="A108" s="15" t="s">
        <v>168</v>
      </c>
      <c r="B108" s="15" t="s">
        <v>200</v>
      </c>
      <c r="C108" s="15">
        <v>84</v>
      </c>
      <c r="D108" s="18">
        <v>0.17</v>
      </c>
      <c r="E108" s="15">
        <v>24</v>
      </c>
      <c r="F108" s="15">
        <v>0</v>
      </c>
      <c r="G108" s="15">
        <v>100</v>
      </c>
      <c r="H108" s="15">
        <v>2000</v>
      </c>
      <c r="I108" s="17">
        <v>5</v>
      </c>
      <c r="J108" s="1">
        <v>2</v>
      </c>
      <c r="K108" s="1">
        <v>2</v>
      </c>
    </row>
    <row r="109" spans="1:11" x14ac:dyDescent="0.3">
      <c r="A109" s="15" t="s">
        <v>168</v>
      </c>
      <c r="B109" s="15" t="s">
        <v>180</v>
      </c>
      <c r="C109" s="15">
        <v>97</v>
      </c>
      <c r="D109" s="18">
        <v>1.08</v>
      </c>
      <c r="E109" s="15">
        <v>25.4</v>
      </c>
      <c r="F109" s="15">
        <v>0</v>
      </c>
      <c r="G109" s="15">
        <v>100</v>
      </c>
      <c r="H109" s="15">
        <v>2000</v>
      </c>
      <c r="I109" s="17">
        <v>5</v>
      </c>
      <c r="J109" s="1">
        <v>6</v>
      </c>
      <c r="K109" s="1">
        <v>8</v>
      </c>
    </row>
    <row r="110" spans="1:11" x14ac:dyDescent="0.3">
      <c r="A110" s="15" t="s">
        <v>168</v>
      </c>
      <c r="B110" s="15" t="s">
        <v>180</v>
      </c>
      <c r="C110" s="15">
        <v>97</v>
      </c>
      <c r="D110" s="18">
        <v>1.08</v>
      </c>
      <c r="E110" s="15">
        <v>25.4</v>
      </c>
      <c r="F110" s="15">
        <v>0</v>
      </c>
      <c r="G110" s="15">
        <v>65</v>
      </c>
      <c r="H110" s="15">
        <v>480</v>
      </c>
      <c r="I110" s="17">
        <v>5</v>
      </c>
      <c r="J110" s="1">
        <v>9</v>
      </c>
      <c r="K110" s="1">
        <v>9</v>
      </c>
    </row>
    <row r="111" spans="1:11" x14ac:dyDescent="0.3">
      <c r="A111" s="15" t="s">
        <v>168</v>
      </c>
      <c r="B111" s="1" t="s">
        <v>180</v>
      </c>
      <c r="C111" s="1">
        <v>80</v>
      </c>
      <c r="D111" s="46">
        <v>0.04</v>
      </c>
      <c r="E111" s="1">
        <v>25.3</v>
      </c>
      <c r="F111" s="1">
        <v>0</v>
      </c>
      <c r="G111" s="1">
        <v>100</v>
      </c>
      <c r="H111" s="15">
        <v>2000</v>
      </c>
      <c r="I111" s="2">
        <v>5</v>
      </c>
      <c r="J111" s="1">
        <v>0</v>
      </c>
      <c r="K111" s="1">
        <v>0</v>
      </c>
    </row>
    <row r="112" spans="1:11" x14ac:dyDescent="0.3">
      <c r="A112" s="15" t="s">
        <v>168</v>
      </c>
      <c r="B112" s="1" t="s">
        <v>181</v>
      </c>
      <c r="C112" s="1">
        <v>87</v>
      </c>
      <c r="D112" s="46">
        <v>9.8000000000000007</v>
      </c>
      <c r="E112" s="1">
        <v>34.5</v>
      </c>
      <c r="F112" s="1">
        <v>0</v>
      </c>
      <c r="G112" s="1">
        <v>90</v>
      </c>
      <c r="H112" s="15">
        <v>2000</v>
      </c>
      <c r="I112" s="2">
        <v>3</v>
      </c>
      <c r="J112" s="1">
        <v>4</v>
      </c>
      <c r="K112" s="1">
        <v>4</v>
      </c>
    </row>
    <row r="113" spans="1:11" x14ac:dyDescent="0.3">
      <c r="A113" s="15" t="s">
        <v>168</v>
      </c>
      <c r="B113" s="1" t="s">
        <v>181</v>
      </c>
      <c r="C113" s="1">
        <v>87</v>
      </c>
      <c r="D113" s="46">
        <v>9.8000000000000007</v>
      </c>
      <c r="E113" s="1">
        <v>34.5</v>
      </c>
      <c r="F113" s="1">
        <v>0</v>
      </c>
      <c r="G113" s="1">
        <v>0</v>
      </c>
      <c r="H113" s="1">
        <v>480</v>
      </c>
      <c r="I113" s="2">
        <v>3</v>
      </c>
      <c r="J113" s="1">
        <v>3</v>
      </c>
      <c r="K113" s="1">
        <v>3</v>
      </c>
    </row>
    <row r="114" spans="1:11" x14ac:dyDescent="0.3">
      <c r="A114" s="15" t="s">
        <v>168</v>
      </c>
      <c r="B114" s="1" t="s">
        <v>181</v>
      </c>
      <c r="C114" s="1">
        <v>80</v>
      </c>
      <c r="D114" s="46">
        <v>1.5</v>
      </c>
      <c r="E114" s="1">
        <v>26.9</v>
      </c>
      <c r="F114" s="1">
        <v>0</v>
      </c>
      <c r="G114" s="1">
        <v>100</v>
      </c>
      <c r="H114" s="1">
        <v>2000</v>
      </c>
      <c r="I114" s="2">
        <v>3</v>
      </c>
      <c r="J114" s="1">
        <v>3</v>
      </c>
      <c r="K114" s="1">
        <v>4</v>
      </c>
    </row>
    <row r="115" spans="1:11" x14ac:dyDescent="0.3">
      <c r="A115" s="15" t="s">
        <v>168</v>
      </c>
      <c r="B115" s="1" t="s">
        <v>198</v>
      </c>
      <c r="C115" s="1">
        <v>81</v>
      </c>
      <c r="D115" s="46">
        <v>36.6</v>
      </c>
      <c r="E115" s="1">
        <v>31.4</v>
      </c>
      <c r="F115" s="1">
        <v>0.8</v>
      </c>
      <c r="G115" s="1">
        <v>96</v>
      </c>
      <c r="H115" s="1">
        <v>480</v>
      </c>
      <c r="I115" s="2">
        <v>3</v>
      </c>
      <c r="J115" s="1">
        <v>7</v>
      </c>
      <c r="K115" s="1">
        <v>7</v>
      </c>
    </row>
    <row r="116" spans="1:11" x14ac:dyDescent="0.3">
      <c r="A116" s="15" t="s">
        <v>168</v>
      </c>
      <c r="B116" s="1" t="s">
        <v>198</v>
      </c>
      <c r="C116" s="1">
        <v>79</v>
      </c>
      <c r="D116" s="46">
        <v>13.35</v>
      </c>
      <c r="E116" s="1">
        <v>29.2</v>
      </c>
      <c r="F116" s="1">
        <v>0</v>
      </c>
      <c r="G116" s="1">
        <v>100</v>
      </c>
      <c r="H116" s="1">
        <v>2000</v>
      </c>
      <c r="I116" s="2">
        <v>3</v>
      </c>
      <c r="J116" s="1">
        <v>2</v>
      </c>
      <c r="K116" s="1">
        <v>2</v>
      </c>
    </row>
    <row r="117" spans="1:11" x14ac:dyDescent="0.3">
      <c r="A117" s="15" t="s">
        <v>168</v>
      </c>
      <c r="B117" s="1" t="s">
        <v>199</v>
      </c>
      <c r="C117" s="1">
        <v>92</v>
      </c>
      <c r="D117" s="46">
        <v>15.6</v>
      </c>
      <c r="E117" s="1">
        <v>23.5</v>
      </c>
      <c r="F117" s="1">
        <v>0.7</v>
      </c>
      <c r="G117" s="1">
        <v>2</v>
      </c>
      <c r="H117" s="1">
        <v>480</v>
      </c>
      <c r="I117" s="2">
        <v>2</v>
      </c>
      <c r="J117" s="1">
        <v>1</v>
      </c>
      <c r="K117" s="1">
        <v>1</v>
      </c>
    </row>
    <row r="118" spans="1:11" x14ac:dyDescent="0.3">
      <c r="A118" s="15" t="s">
        <v>168</v>
      </c>
      <c r="B118" s="1" t="s">
        <v>199</v>
      </c>
      <c r="C118" s="1">
        <v>79</v>
      </c>
      <c r="D118" s="46">
        <v>7.6</v>
      </c>
      <c r="E118" s="1">
        <v>25.4</v>
      </c>
      <c r="F118" s="1">
        <v>0</v>
      </c>
      <c r="G118" s="1">
        <v>100</v>
      </c>
      <c r="H118" s="1">
        <v>2000</v>
      </c>
      <c r="I118" s="2">
        <v>2</v>
      </c>
      <c r="J118" s="1">
        <v>2</v>
      </c>
      <c r="K118" s="1">
        <v>5</v>
      </c>
    </row>
    <row r="119" spans="1:11" x14ac:dyDescent="0.3">
      <c r="A119" s="15" t="s">
        <v>168</v>
      </c>
      <c r="B119" s="1" t="s">
        <v>183</v>
      </c>
      <c r="C119" s="1">
        <v>89</v>
      </c>
      <c r="D119" s="46">
        <v>1.1000000000000001</v>
      </c>
      <c r="E119" s="1">
        <v>22.3</v>
      </c>
      <c r="F119" s="1">
        <v>0</v>
      </c>
      <c r="G119" s="1">
        <v>2</v>
      </c>
      <c r="H119" s="1">
        <v>2000</v>
      </c>
      <c r="I119" s="2">
        <v>3</v>
      </c>
      <c r="J119" s="1">
        <v>7</v>
      </c>
      <c r="K119" s="1">
        <v>10</v>
      </c>
    </row>
    <row r="120" spans="1:11" x14ac:dyDescent="0.3">
      <c r="A120" s="15" t="s">
        <v>168</v>
      </c>
      <c r="B120" s="1" t="s">
        <v>183</v>
      </c>
      <c r="C120" s="1">
        <v>89</v>
      </c>
      <c r="D120" s="46">
        <v>1</v>
      </c>
      <c r="E120" s="1">
        <v>22.2</v>
      </c>
      <c r="F120" s="1">
        <v>0</v>
      </c>
      <c r="G120" s="1">
        <v>100</v>
      </c>
      <c r="H120" s="1">
        <v>1420</v>
      </c>
      <c r="I120" s="2">
        <v>3</v>
      </c>
      <c r="J120" s="1">
        <v>4</v>
      </c>
      <c r="K120" s="1">
        <v>4</v>
      </c>
    </row>
    <row r="121" spans="1:11" x14ac:dyDescent="0.3">
      <c r="A121" s="15" t="s">
        <v>168</v>
      </c>
      <c r="B121" s="1" t="s">
        <v>183</v>
      </c>
      <c r="C121" s="1">
        <v>72</v>
      </c>
      <c r="D121" s="1">
        <v>0.75</v>
      </c>
      <c r="E121" s="1">
        <v>25</v>
      </c>
      <c r="F121" s="1">
        <v>0.9</v>
      </c>
      <c r="G121" s="1">
        <v>100</v>
      </c>
      <c r="H121" s="1">
        <v>2000</v>
      </c>
      <c r="I121" s="2">
        <v>3</v>
      </c>
      <c r="J121" s="1">
        <v>2</v>
      </c>
      <c r="K121" s="1">
        <v>3</v>
      </c>
    </row>
    <row r="122" spans="1:11" x14ac:dyDescent="0.3">
      <c r="A122" s="15" t="s">
        <v>168</v>
      </c>
      <c r="B122" s="1" t="s">
        <v>185</v>
      </c>
      <c r="C122" s="1">
        <v>60</v>
      </c>
      <c r="D122" s="46">
        <v>44</v>
      </c>
      <c r="E122" s="1">
        <v>32.6</v>
      </c>
      <c r="F122" s="1">
        <v>0</v>
      </c>
      <c r="G122" s="1">
        <v>85</v>
      </c>
      <c r="H122" s="1">
        <v>1420</v>
      </c>
      <c r="I122" s="2">
        <v>1</v>
      </c>
      <c r="J122" s="1">
        <v>2</v>
      </c>
      <c r="K122" s="1">
        <v>4</v>
      </c>
    </row>
    <row r="123" spans="1:11" x14ac:dyDescent="0.3">
      <c r="A123" s="15" t="s">
        <v>168</v>
      </c>
      <c r="B123" s="1" t="s">
        <v>185</v>
      </c>
      <c r="C123" s="1">
        <v>79</v>
      </c>
      <c r="D123" s="46">
        <v>39.200000000000003</v>
      </c>
      <c r="E123" s="1">
        <v>31.4</v>
      </c>
      <c r="F123" s="1">
        <v>0</v>
      </c>
      <c r="G123" s="1">
        <v>100</v>
      </c>
      <c r="H123" s="1">
        <v>2000</v>
      </c>
      <c r="I123" s="2">
        <v>1</v>
      </c>
      <c r="J123" s="1">
        <v>0</v>
      </c>
      <c r="K123" s="1">
        <v>0</v>
      </c>
    </row>
    <row r="124" spans="1:11" x14ac:dyDescent="0.3">
      <c r="A124" s="15" t="s">
        <v>168</v>
      </c>
      <c r="B124" s="1" t="s">
        <v>186</v>
      </c>
      <c r="C124" s="1">
        <v>76</v>
      </c>
      <c r="D124" s="46">
        <v>1.53</v>
      </c>
      <c r="E124" s="1">
        <v>25.4</v>
      </c>
      <c r="F124" s="1">
        <v>0</v>
      </c>
      <c r="G124" s="1">
        <v>100</v>
      </c>
      <c r="H124" s="1">
        <v>1420</v>
      </c>
      <c r="I124" s="2">
        <v>6</v>
      </c>
      <c r="J124" s="1">
        <v>4</v>
      </c>
      <c r="K124" s="1">
        <v>5</v>
      </c>
    </row>
    <row r="125" spans="1:11" x14ac:dyDescent="0.3">
      <c r="A125" s="1" t="s">
        <v>172</v>
      </c>
      <c r="B125" s="1" t="s">
        <v>176</v>
      </c>
      <c r="C125" s="1">
        <v>81</v>
      </c>
      <c r="D125" s="46">
        <v>1.6</v>
      </c>
      <c r="E125" s="1">
        <v>26.5</v>
      </c>
      <c r="F125" s="1">
        <v>0</v>
      </c>
      <c r="G125" s="1">
        <v>30</v>
      </c>
      <c r="H125" s="1">
        <v>2000</v>
      </c>
      <c r="I125" s="2">
        <v>4</v>
      </c>
      <c r="J125" s="1">
        <v>12</v>
      </c>
      <c r="K125" s="1">
        <v>18</v>
      </c>
    </row>
    <row r="126" spans="1:11" x14ac:dyDescent="0.3">
      <c r="A126" s="1" t="s">
        <v>172</v>
      </c>
      <c r="B126" s="1" t="s">
        <v>177</v>
      </c>
      <c r="C126" s="1">
        <v>96</v>
      </c>
      <c r="D126" s="46">
        <v>1.1299999999999999</v>
      </c>
      <c r="E126" s="1">
        <v>26.4</v>
      </c>
      <c r="F126" s="1">
        <v>0</v>
      </c>
      <c r="G126" s="1">
        <v>100</v>
      </c>
      <c r="H126" s="1">
        <v>2000</v>
      </c>
      <c r="I126" s="2">
        <v>3</v>
      </c>
      <c r="J126" s="1">
        <v>5</v>
      </c>
      <c r="K126" s="1">
        <v>5</v>
      </c>
    </row>
    <row r="127" spans="1:11" x14ac:dyDescent="0.3">
      <c r="A127" s="1" t="s">
        <v>172</v>
      </c>
      <c r="B127" s="1" t="s">
        <v>200</v>
      </c>
      <c r="C127" s="1">
        <v>99</v>
      </c>
      <c r="D127" s="46">
        <v>0.28000000000000003</v>
      </c>
      <c r="E127" s="1">
        <v>23.5</v>
      </c>
      <c r="F127" s="1">
        <v>0</v>
      </c>
      <c r="G127" s="1">
        <v>100</v>
      </c>
      <c r="H127" s="1">
        <v>650</v>
      </c>
      <c r="I127" s="2">
        <v>5</v>
      </c>
      <c r="J127" s="1">
        <v>7</v>
      </c>
      <c r="K127" s="1">
        <v>10</v>
      </c>
    </row>
    <row r="128" spans="1:11" x14ac:dyDescent="0.3">
      <c r="A128" s="1" t="s">
        <v>172</v>
      </c>
      <c r="B128" s="1" t="s">
        <v>180</v>
      </c>
      <c r="C128" s="1">
        <v>96</v>
      </c>
      <c r="D128" s="46">
        <v>0.64</v>
      </c>
      <c r="E128" s="1">
        <v>24.9</v>
      </c>
      <c r="F128" s="1">
        <v>0</v>
      </c>
      <c r="G128" s="1">
        <v>100</v>
      </c>
      <c r="H128" s="1">
        <v>650</v>
      </c>
      <c r="I128" s="2">
        <v>5</v>
      </c>
      <c r="J128" s="1">
        <v>9</v>
      </c>
      <c r="K128" s="1">
        <v>9</v>
      </c>
    </row>
    <row r="129" spans="1:11" x14ac:dyDescent="0.3">
      <c r="A129" s="1" t="s">
        <v>172</v>
      </c>
      <c r="B129" s="1" t="s">
        <v>181</v>
      </c>
      <c r="C129" s="1">
        <v>98</v>
      </c>
      <c r="D129" s="46">
        <v>2.2799999999999998</v>
      </c>
      <c r="E129" s="1">
        <v>23.7</v>
      </c>
      <c r="F129" s="1">
        <v>0</v>
      </c>
      <c r="G129" s="1">
        <v>100</v>
      </c>
      <c r="H129" s="1">
        <v>650</v>
      </c>
      <c r="I129" s="2">
        <v>3</v>
      </c>
      <c r="J129" s="1">
        <v>4</v>
      </c>
      <c r="K129" s="1">
        <v>4</v>
      </c>
    </row>
    <row r="130" spans="1:11" x14ac:dyDescent="0.3">
      <c r="A130" s="1" t="s">
        <v>172</v>
      </c>
      <c r="B130" s="1" t="s">
        <v>198</v>
      </c>
      <c r="C130" s="1">
        <v>99</v>
      </c>
      <c r="D130" s="46">
        <v>7.2350000000000003</v>
      </c>
      <c r="E130" s="1">
        <v>24.6</v>
      </c>
      <c r="F130" s="1">
        <v>1.4</v>
      </c>
      <c r="G130" s="1">
        <v>100</v>
      </c>
      <c r="H130" s="1">
        <v>650</v>
      </c>
      <c r="I130" s="2">
        <v>3</v>
      </c>
      <c r="J130" s="1">
        <v>10</v>
      </c>
      <c r="K130" s="1">
        <v>16</v>
      </c>
    </row>
    <row r="131" spans="1:11" x14ac:dyDescent="0.3">
      <c r="A131" s="1" t="s">
        <v>172</v>
      </c>
      <c r="B131" s="1" t="s">
        <v>199</v>
      </c>
      <c r="C131" s="1">
        <v>78</v>
      </c>
      <c r="D131" s="46">
        <v>17.850000000000001</v>
      </c>
      <c r="E131" s="1">
        <v>26.8</v>
      </c>
      <c r="F131" s="1">
        <v>0.7</v>
      </c>
      <c r="G131" s="1">
        <v>100</v>
      </c>
      <c r="H131" s="1">
        <v>650</v>
      </c>
      <c r="I131" s="2">
        <v>2</v>
      </c>
      <c r="J131" s="1">
        <v>3</v>
      </c>
      <c r="K131" s="1">
        <v>3</v>
      </c>
    </row>
    <row r="132" spans="1:11" x14ac:dyDescent="0.3">
      <c r="A132" s="1" t="s">
        <v>172</v>
      </c>
      <c r="B132" s="1" t="s">
        <v>183</v>
      </c>
      <c r="C132" s="1">
        <v>84</v>
      </c>
      <c r="D132" s="46">
        <v>0.5</v>
      </c>
      <c r="E132" s="1">
        <v>25.9</v>
      </c>
      <c r="F132" s="1">
        <v>0</v>
      </c>
      <c r="G132" s="1">
        <v>100</v>
      </c>
      <c r="H132" s="1">
        <v>2000</v>
      </c>
      <c r="I132" s="2">
        <v>3</v>
      </c>
      <c r="J132" s="1">
        <v>4</v>
      </c>
      <c r="K132" s="1">
        <v>4</v>
      </c>
    </row>
    <row r="133" spans="1:11" x14ac:dyDescent="0.3">
      <c r="A133" s="1" t="s">
        <v>172</v>
      </c>
      <c r="B133" s="1" t="s">
        <v>186</v>
      </c>
      <c r="C133" s="1">
        <v>83</v>
      </c>
      <c r="D133" s="46">
        <v>1.1299999999999999</v>
      </c>
      <c r="E133" s="1">
        <v>25.5</v>
      </c>
      <c r="F133" s="1">
        <v>0</v>
      </c>
      <c r="G133" s="1">
        <v>100</v>
      </c>
      <c r="H133" s="1">
        <v>2000</v>
      </c>
      <c r="I133" s="2">
        <v>6</v>
      </c>
      <c r="J133" s="1">
        <v>9</v>
      </c>
      <c r="K133" s="1">
        <v>19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960"/>
  <sheetViews>
    <sheetView topLeftCell="A2" workbookViewId="0">
      <selection activeCell="M9" sqref="M9"/>
    </sheetView>
  </sheetViews>
  <sheetFormatPr defaultColWidth="12.77734375" defaultRowHeight="14.4" x14ac:dyDescent="0.3"/>
  <cols>
    <col min="1" max="1" width="7.21875" style="1" customWidth="1"/>
    <col min="2" max="2" width="14.77734375" style="1" customWidth="1"/>
    <col min="3" max="3" width="6.44140625" style="1" customWidth="1"/>
    <col min="4" max="4" width="8" style="1" customWidth="1"/>
    <col min="5" max="5" width="6.21875" style="1" customWidth="1"/>
    <col min="6" max="6" width="6" style="1" customWidth="1"/>
    <col min="7" max="7" width="10" style="1" customWidth="1"/>
    <col min="8" max="8" width="7.5546875" style="1" customWidth="1"/>
    <col min="9" max="9" width="11.44140625" style="2" customWidth="1"/>
    <col min="10" max="16384" width="12.77734375" style="1"/>
  </cols>
  <sheetData>
    <row r="1" spans="1:11" ht="15" hidden="1" customHeight="1" x14ac:dyDescent="0.3">
      <c r="I1" s="3"/>
    </row>
    <row r="2" spans="1:11" ht="120.6" x14ac:dyDescent="0.3">
      <c r="A2" s="6" t="s">
        <v>196</v>
      </c>
      <c r="B2" s="6" t="s">
        <v>187</v>
      </c>
      <c r="C2" s="7" t="s">
        <v>188</v>
      </c>
      <c r="D2" s="9" t="s">
        <v>189</v>
      </c>
      <c r="E2" s="7" t="s">
        <v>190</v>
      </c>
      <c r="F2" s="7" t="s">
        <v>191</v>
      </c>
      <c r="G2" s="7" t="s">
        <v>192</v>
      </c>
      <c r="H2" s="7" t="s">
        <v>197</v>
      </c>
      <c r="I2" s="8" t="s">
        <v>194</v>
      </c>
      <c r="J2" s="1" t="s">
        <v>195</v>
      </c>
      <c r="K2" s="1" t="s">
        <v>175</v>
      </c>
    </row>
    <row r="3" spans="1:11" ht="15.75" customHeight="1" x14ac:dyDescent="0.3">
      <c r="A3" s="15" t="s">
        <v>146</v>
      </c>
      <c r="B3" s="23" t="s">
        <v>176</v>
      </c>
      <c r="C3" s="15">
        <v>99</v>
      </c>
      <c r="D3" s="36">
        <v>0.27700000000000002</v>
      </c>
      <c r="E3" s="15">
        <v>26.4</v>
      </c>
      <c r="F3" s="15">
        <v>0</v>
      </c>
      <c r="G3" s="15">
        <v>100</v>
      </c>
      <c r="H3" s="15">
        <v>2000</v>
      </c>
      <c r="I3" s="17">
        <v>4</v>
      </c>
      <c r="J3" s="1">
        <v>6</v>
      </c>
      <c r="K3" s="1">
        <v>22</v>
      </c>
    </row>
    <row r="4" spans="1:11" ht="15.75" customHeight="1" x14ac:dyDescent="0.3">
      <c r="A4" s="15" t="s">
        <v>146</v>
      </c>
      <c r="B4" s="23" t="s">
        <v>177</v>
      </c>
      <c r="C4" s="15">
        <v>92</v>
      </c>
      <c r="D4" s="18">
        <v>0.78</v>
      </c>
      <c r="E4" s="15">
        <v>24.6</v>
      </c>
      <c r="F4" s="15">
        <v>0</v>
      </c>
      <c r="G4" s="15">
        <v>5</v>
      </c>
      <c r="H4" s="15">
        <v>2000</v>
      </c>
      <c r="I4" s="17">
        <v>3</v>
      </c>
      <c r="J4" s="1">
        <v>9</v>
      </c>
      <c r="K4" s="1">
        <v>14</v>
      </c>
    </row>
    <row r="5" spans="1:11" ht="15.75" customHeight="1" x14ac:dyDescent="0.3">
      <c r="A5" s="15" t="s">
        <v>146</v>
      </c>
      <c r="B5" s="23" t="s">
        <v>200</v>
      </c>
      <c r="C5" s="15">
        <v>94</v>
      </c>
      <c r="D5" s="36">
        <v>0.50800000000000001</v>
      </c>
      <c r="E5" s="15">
        <v>24.8</v>
      </c>
      <c r="F5" s="15">
        <v>0</v>
      </c>
      <c r="G5" s="15">
        <v>5</v>
      </c>
      <c r="H5" s="15">
        <v>2000</v>
      </c>
      <c r="I5" s="17">
        <v>5</v>
      </c>
      <c r="J5" s="1">
        <v>8</v>
      </c>
      <c r="K5" s="1">
        <v>8</v>
      </c>
    </row>
    <row r="6" spans="1:11" ht="15.75" customHeight="1" x14ac:dyDescent="0.3">
      <c r="A6" s="15" t="s">
        <v>146</v>
      </c>
      <c r="B6" s="23" t="s">
        <v>200</v>
      </c>
      <c r="C6" s="15">
        <v>94</v>
      </c>
      <c r="D6" s="36">
        <v>0.5</v>
      </c>
      <c r="E6" s="15">
        <v>24.8</v>
      </c>
      <c r="F6" s="15">
        <v>0</v>
      </c>
      <c r="G6" s="15">
        <v>100</v>
      </c>
      <c r="H6" s="15">
        <v>870</v>
      </c>
      <c r="I6" s="17">
        <v>5</v>
      </c>
      <c r="J6" s="1">
        <v>2</v>
      </c>
      <c r="K6" s="1">
        <v>6</v>
      </c>
    </row>
    <row r="7" spans="1:11" ht="15.75" customHeight="1" x14ac:dyDescent="0.3">
      <c r="A7" s="15" t="s">
        <v>146</v>
      </c>
      <c r="B7" s="23" t="s">
        <v>200</v>
      </c>
      <c r="C7" s="20">
        <v>94</v>
      </c>
      <c r="D7" s="36">
        <v>0.5</v>
      </c>
      <c r="E7" s="15">
        <v>23</v>
      </c>
      <c r="F7" s="15">
        <v>0</v>
      </c>
      <c r="G7" s="15">
        <v>100</v>
      </c>
      <c r="H7" s="15">
        <v>2000</v>
      </c>
      <c r="I7" s="17">
        <v>5</v>
      </c>
      <c r="J7" s="1">
        <v>5</v>
      </c>
      <c r="K7" s="1">
        <v>5</v>
      </c>
    </row>
    <row r="8" spans="1:11" ht="15.75" customHeight="1" x14ac:dyDescent="0.3">
      <c r="A8" s="15" t="s">
        <v>146</v>
      </c>
      <c r="B8" s="23" t="s">
        <v>200</v>
      </c>
      <c r="C8" s="20">
        <v>94</v>
      </c>
      <c r="D8" s="36">
        <v>0.5</v>
      </c>
      <c r="E8" s="15">
        <v>22</v>
      </c>
      <c r="F8" s="15">
        <v>0</v>
      </c>
      <c r="G8" s="15">
        <v>100</v>
      </c>
      <c r="H8" s="15">
        <v>2000</v>
      </c>
      <c r="I8" s="17">
        <v>5</v>
      </c>
      <c r="J8" s="1">
        <v>1</v>
      </c>
      <c r="K8" s="1">
        <v>1</v>
      </c>
    </row>
    <row r="9" spans="1:11" ht="15.75" customHeight="1" x14ac:dyDescent="0.3">
      <c r="A9" s="15" t="s">
        <v>146</v>
      </c>
      <c r="B9" s="23" t="s">
        <v>181</v>
      </c>
      <c r="C9" s="15">
        <v>99</v>
      </c>
      <c r="D9" s="18">
        <v>7.59</v>
      </c>
      <c r="E9" s="15">
        <v>23.9</v>
      </c>
      <c r="F9" s="15">
        <v>0</v>
      </c>
      <c r="G9" s="15">
        <v>100</v>
      </c>
      <c r="H9" s="15">
        <v>870</v>
      </c>
      <c r="I9" s="17">
        <v>3</v>
      </c>
      <c r="J9" s="1">
        <v>5</v>
      </c>
      <c r="K9" s="1">
        <v>6</v>
      </c>
    </row>
    <row r="10" spans="1:11" ht="15.75" customHeight="1" x14ac:dyDescent="0.3">
      <c r="A10" s="15" t="s">
        <v>146</v>
      </c>
      <c r="B10" s="23" t="s">
        <v>198</v>
      </c>
      <c r="C10" s="15">
        <v>99</v>
      </c>
      <c r="D10" s="18">
        <v>13.05</v>
      </c>
      <c r="E10" s="15">
        <v>25.9</v>
      </c>
      <c r="F10" s="15">
        <v>0.45</v>
      </c>
      <c r="G10" s="15">
        <v>100</v>
      </c>
      <c r="H10" s="15">
        <v>870</v>
      </c>
      <c r="I10" s="17">
        <v>3</v>
      </c>
      <c r="J10" s="1">
        <v>4</v>
      </c>
      <c r="K10" s="1">
        <v>4</v>
      </c>
    </row>
    <row r="11" spans="1:11" ht="15.75" customHeight="1" x14ac:dyDescent="0.3">
      <c r="A11" s="15" t="s">
        <v>146</v>
      </c>
      <c r="B11" s="23" t="s">
        <v>183</v>
      </c>
      <c r="C11" s="15">
        <v>79</v>
      </c>
      <c r="D11" s="18">
        <v>15.5</v>
      </c>
      <c r="E11" s="15">
        <v>28.3</v>
      </c>
      <c r="F11" s="15">
        <v>0</v>
      </c>
      <c r="G11" s="15">
        <v>100</v>
      </c>
      <c r="H11" s="15">
        <v>1360</v>
      </c>
      <c r="I11" s="17">
        <v>3</v>
      </c>
      <c r="J11" s="1">
        <v>3</v>
      </c>
      <c r="K11" s="1">
        <v>3</v>
      </c>
    </row>
    <row r="12" spans="1:11" ht="15.75" customHeight="1" x14ac:dyDescent="0.3">
      <c r="A12" s="15" t="s">
        <v>146</v>
      </c>
      <c r="B12" s="23" t="s">
        <v>183</v>
      </c>
      <c r="C12" s="15">
        <v>79</v>
      </c>
      <c r="D12" s="18">
        <v>4.87</v>
      </c>
      <c r="E12" s="15">
        <v>25.2</v>
      </c>
      <c r="F12" s="15">
        <v>0</v>
      </c>
      <c r="G12" s="15">
        <v>100</v>
      </c>
      <c r="H12" s="15">
        <v>2000</v>
      </c>
      <c r="I12" s="17">
        <v>3</v>
      </c>
      <c r="J12" s="1">
        <v>0</v>
      </c>
      <c r="K12" s="1">
        <v>0</v>
      </c>
    </row>
    <row r="13" spans="1:11" ht="15.75" customHeight="1" x14ac:dyDescent="0.3">
      <c r="A13" s="15" t="s">
        <v>146</v>
      </c>
      <c r="B13" s="23" t="s">
        <v>186</v>
      </c>
      <c r="C13" s="15">
        <v>79</v>
      </c>
      <c r="D13" s="18">
        <v>0.56999999999999995</v>
      </c>
      <c r="E13" s="15">
        <v>24.8</v>
      </c>
      <c r="F13" s="15">
        <v>0</v>
      </c>
      <c r="G13" s="15">
        <v>100</v>
      </c>
      <c r="H13" s="15">
        <v>1360</v>
      </c>
      <c r="I13" s="17">
        <v>6</v>
      </c>
      <c r="J13" s="1">
        <v>3</v>
      </c>
      <c r="K13" s="1">
        <v>4</v>
      </c>
    </row>
    <row r="14" spans="1:11" ht="15.75" customHeight="1" x14ac:dyDescent="0.3">
      <c r="A14" s="15" t="s">
        <v>146</v>
      </c>
      <c r="B14" s="23" t="s">
        <v>186</v>
      </c>
      <c r="C14" s="15">
        <v>96</v>
      </c>
      <c r="D14" s="18">
        <v>15.05</v>
      </c>
      <c r="E14" s="15">
        <v>30.2</v>
      </c>
      <c r="F14" s="15">
        <v>0</v>
      </c>
      <c r="G14" s="15">
        <v>100</v>
      </c>
      <c r="H14" s="15">
        <v>2000</v>
      </c>
      <c r="I14" s="17">
        <v>6</v>
      </c>
      <c r="J14" s="1">
        <v>2</v>
      </c>
      <c r="K14" s="1">
        <v>6</v>
      </c>
    </row>
    <row r="15" spans="1:11" ht="15.75" customHeight="1" x14ac:dyDescent="0.3">
      <c r="A15" s="15" t="s">
        <v>146</v>
      </c>
      <c r="B15" s="15" t="s">
        <v>186</v>
      </c>
      <c r="C15" s="15">
        <v>57</v>
      </c>
      <c r="D15" s="18">
        <v>153.19999999999999</v>
      </c>
      <c r="E15" s="15">
        <v>30.2</v>
      </c>
      <c r="F15" s="15">
        <v>0.4</v>
      </c>
      <c r="G15" s="15">
        <v>100</v>
      </c>
      <c r="H15" s="15">
        <v>2000</v>
      </c>
      <c r="I15" s="17">
        <v>6</v>
      </c>
      <c r="J15" s="1">
        <v>2</v>
      </c>
      <c r="K15" s="1">
        <v>3</v>
      </c>
    </row>
    <row r="16" spans="1:11" ht="15.75" customHeight="1" x14ac:dyDescent="0.3">
      <c r="A16" s="15" t="s">
        <v>153</v>
      </c>
      <c r="B16" s="23" t="s">
        <v>176</v>
      </c>
      <c r="C16" s="15">
        <v>98</v>
      </c>
      <c r="D16" s="18">
        <v>7.54</v>
      </c>
      <c r="E16" s="15">
        <v>25.8</v>
      </c>
      <c r="F16" s="15">
        <v>0</v>
      </c>
      <c r="G16" s="15">
        <v>100</v>
      </c>
      <c r="H16" s="15">
        <v>2000</v>
      </c>
      <c r="I16" s="17">
        <v>4</v>
      </c>
      <c r="J16" s="1">
        <v>5</v>
      </c>
      <c r="K16" s="1">
        <v>7</v>
      </c>
    </row>
    <row r="17" spans="1:11" ht="15.75" customHeight="1" x14ac:dyDescent="0.3">
      <c r="A17" s="15" t="s">
        <v>153</v>
      </c>
      <c r="B17" s="23" t="s">
        <v>176</v>
      </c>
      <c r="C17" s="15">
        <v>99</v>
      </c>
      <c r="D17" s="18">
        <v>6.06</v>
      </c>
      <c r="E17" s="15">
        <v>25.35</v>
      </c>
      <c r="F17" s="15">
        <v>0</v>
      </c>
      <c r="G17" s="15">
        <v>100</v>
      </c>
      <c r="H17" s="15">
        <v>580</v>
      </c>
      <c r="I17" s="17">
        <v>4</v>
      </c>
      <c r="J17" s="1">
        <v>9</v>
      </c>
      <c r="K17" s="1">
        <v>9</v>
      </c>
    </row>
    <row r="18" spans="1:11" ht="15.75" customHeight="1" x14ac:dyDescent="0.3">
      <c r="A18" s="15" t="s">
        <v>153</v>
      </c>
      <c r="B18" s="23" t="s">
        <v>177</v>
      </c>
      <c r="C18" s="15">
        <v>98</v>
      </c>
      <c r="D18" s="18">
        <v>0.77</v>
      </c>
      <c r="E18" s="15">
        <v>22.6</v>
      </c>
      <c r="F18" s="15">
        <v>0</v>
      </c>
      <c r="G18" s="15">
        <v>100</v>
      </c>
      <c r="H18" s="15">
        <v>580</v>
      </c>
      <c r="I18" s="17">
        <v>3</v>
      </c>
      <c r="J18" s="1">
        <v>8</v>
      </c>
      <c r="K18" s="1">
        <v>14</v>
      </c>
    </row>
    <row r="19" spans="1:11" ht="15.75" customHeight="1" x14ac:dyDescent="0.3">
      <c r="A19" s="15" t="s">
        <v>153</v>
      </c>
      <c r="B19" s="23" t="s">
        <v>177</v>
      </c>
      <c r="C19" s="15">
        <v>82</v>
      </c>
      <c r="D19" s="36">
        <v>0.19800000000000001</v>
      </c>
      <c r="E19" s="15">
        <v>24.3</v>
      </c>
      <c r="F19" s="15">
        <v>0</v>
      </c>
      <c r="G19" s="15">
        <v>20</v>
      </c>
      <c r="H19" s="15">
        <v>2000</v>
      </c>
      <c r="I19" s="17">
        <v>3</v>
      </c>
      <c r="J19" s="1">
        <v>9</v>
      </c>
      <c r="K19" s="1">
        <v>12</v>
      </c>
    </row>
    <row r="20" spans="1:11" ht="15.75" customHeight="1" x14ac:dyDescent="0.3">
      <c r="A20" s="15" t="s">
        <v>153</v>
      </c>
      <c r="B20" s="23" t="s">
        <v>200</v>
      </c>
      <c r="C20" s="15">
        <v>98</v>
      </c>
      <c r="D20" s="18">
        <v>3.69</v>
      </c>
      <c r="E20" s="15">
        <v>22.35</v>
      </c>
      <c r="F20" s="15">
        <v>0</v>
      </c>
      <c r="G20" s="15">
        <v>0</v>
      </c>
      <c r="H20" s="15">
        <v>870</v>
      </c>
      <c r="I20" s="17">
        <v>5</v>
      </c>
      <c r="J20" s="1">
        <v>3</v>
      </c>
      <c r="K20" s="1">
        <v>7</v>
      </c>
    </row>
    <row r="21" spans="1:11" ht="15.75" customHeight="1" x14ac:dyDescent="0.3">
      <c r="A21" s="15" t="s">
        <v>153</v>
      </c>
      <c r="B21" s="23" t="s">
        <v>200</v>
      </c>
      <c r="C21" s="15">
        <v>98</v>
      </c>
      <c r="D21" s="18">
        <v>3.69</v>
      </c>
      <c r="E21" s="15">
        <v>22.35</v>
      </c>
      <c r="F21" s="15">
        <v>0</v>
      </c>
      <c r="G21" s="15">
        <v>0</v>
      </c>
      <c r="H21" s="15">
        <v>870</v>
      </c>
      <c r="I21" s="17">
        <v>5</v>
      </c>
      <c r="J21" s="1">
        <v>13</v>
      </c>
      <c r="K21" s="1">
        <v>14</v>
      </c>
    </row>
    <row r="22" spans="1:11" ht="15.75" customHeight="1" x14ac:dyDescent="0.3">
      <c r="A22" s="15" t="s">
        <v>153</v>
      </c>
      <c r="B22" s="23" t="s">
        <v>200</v>
      </c>
      <c r="C22" s="15">
        <v>90</v>
      </c>
      <c r="D22" s="36">
        <v>3.5000000000000003E-2</v>
      </c>
      <c r="E22" s="15">
        <v>24.2</v>
      </c>
      <c r="F22" s="15">
        <v>0</v>
      </c>
      <c r="G22" s="15">
        <v>20</v>
      </c>
      <c r="H22" s="15">
        <v>2000</v>
      </c>
      <c r="I22" s="17">
        <v>5</v>
      </c>
      <c r="J22" s="1">
        <v>1</v>
      </c>
      <c r="K22" s="1">
        <v>1</v>
      </c>
    </row>
    <row r="23" spans="1:11" ht="15.75" customHeight="1" x14ac:dyDescent="0.3">
      <c r="A23" s="15" t="s">
        <v>153</v>
      </c>
      <c r="B23" s="23" t="s">
        <v>200</v>
      </c>
      <c r="C23" s="15">
        <v>61</v>
      </c>
      <c r="D23" s="36">
        <v>9.4E-2</v>
      </c>
      <c r="E23" s="15">
        <v>25.5</v>
      </c>
      <c r="F23" s="15">
        <v>0</v>
      </c>
      <c r="G23" s="15">
        <v>15</v>
      </c>
      <c r="H23" s="15">
        <v>2000</v>
      </c>
      <c r="I23" s="17">
        <v>5</v>
      </c>
      <c r="J23" s="1">
        <v>6</v>
      </c>
      <c r="K23" s="1">
        <v>8</v>
      </c>
    </row>
    <row r="24" spans="1:11" ht="15.75" customHeight="1" x14ac:dyDescent="0.3">
      <c r="A24" s="15" t="s">
        <v>153</v>
      </c>
      <c r="B24" s="23" t="s">
        <v>200</v>
      </c>
      <c r="C24" s="15">
        <v>65</v>
      </c>
      <c r="D24" s="36">
        <v>3.5000000000000003E-2</v>
      </c>
      <c r="E24" s="15">
        <v>25.7</v>
      </c>
      <c r="F24" s="15">
        <v>0</v>
      </c>
      <c r="G24" s="15">
        <v>100</v>
      </c>
      <c r="H24" s="15">
        <v>2000</v>
      </c>
      <c r="I24" s="17">
        <v>5</v>
      </c>
      <c r="J24" s="1">
        <v>3</v>
      </c>
      <c r="K24" s="1">
        <v>3</v>
      </c>
    </row>
    <row r="25" spans="1:11" ht="15.75" customHeight="1" x14ac:dyDescent="0.3">
      <c r="A25" s="15" t="s">
        <v>153</v>
      </c>
      <c r="B25" s="23" t="s">
        <v>180</v>
      </c>
      <c r="C25" s="15">
        <v>85</v>
      </c>
      <c r="D25" s="18">
        <v>3.81</v>
      </c>
      <c r="E25" s="15">
        <v>25</v>
      </c>
      <c r="F25" s="15">
        <v>0</v>
      </c>
      <c r="G25" s="15">
        <v>78.33</v>
      </c>
      <c r="H25" s="15">
        <v>870</v>
      </c>
      <c r="I25" s="17">
        <v>5</v>
      </c>
      <c r="J25" s="1">
        <v>3</v>
      </c>
      <c r="K25" s="1">
        <v>3</v>
      </c>
    </row>
    <row r="26" spans="1:11" ht="15.75" customHeight="1" x14ac:dyDescent="0.3">
      <c r="A26" s="15" t="s">
        <v>153</v>
      </c>
      <c r="B26" s="23" t="s">
        <v>180</v>
      </c>
      <c r="C26" s="15">
        <v>61</v>
      </c>
      <c r="D26" s="18">
        <v>4.78</v>
      </c>
      <c r="E26" s="15">
        <v>28.7</v>
      </c>
      <c r="F26" s="15">
        <v>0</v>
      </c>
      <c r="G26" s="15">
        <v>100</v>
      </c>
      <c r="H26" s="15">
        <v>2000</v>
      </c>
      <c r="I26" s="17">
        <v>5</v>
      </c>
      <c r="J26" s="1">
        <v>0</v>
      </c>
      <c r="K26" s="1">
        <v>0</v>
      </c>
    </row>
    <row r="27" spans="1:11" ht="15.75" customHeight="1" x14ac:dyDescent="0.3">
      <c r="A27" s="15" t="s">
        <v>153</v>
      </c>
      <c r="B27" s="23" t="s">
        <v>180</v>
      </c>
      <c r="C27" s="15">
        <v>47</v>
      </c>
      <c r="D27" s="36">
        <v>0.74399999999999999</v>
      </c>
      <c r="E27" s="15">
        <v>29.9</v>
      </c>
      <c r="F27" s="15">
        <v>0</v>
      </c>
      <c r="G27" s="15">
        <v>2</v>
      </c>
      <c r="H27" s="15">
        <v>2000</v>
      </c>
      <c r="I27" s="17">
        <v>5</v>
      </c>
      <c r="J27" s="1">
        <v>2</v>
      </c>
      <c r="K27" s="1">
        <v>2</v>
      </c>
    </row>
    <row r="28" spans="1:11" ht="15.75" customHeight="1" x14ac:dyDescent="0.3">
      <c r="A28" s="15" t="s">
        <v>153</v>
      </c>
      <c r="B28" s="23" t="s">
        <v>180</v>
      </c>
      <c r="C28" s="15">
        <v>50</v>
      </c>
      <c r="D28" s="36">
        <v>0.7</v>
      </c>
      <c r="E28" s="15">
        <v>26.3</v>
      </c>
      <c r="F28" s="15">
        <v>0</v>
      </c>
      <c r="G28" s="15">
        <v>100</v>
      </c>
      <c r="H28" s="15">
        <v>2000</v>
      </c>
      <c r="I28" s="17">
        <v>5</v>
      </c>
      <c r="J28" s="1">
        <v>2</v>
      </c>
      <c r="K28" s="1">
        <v>5</v>
      </c>
    </row>
    <row r="29" spans="1:11" ht="15.75" customHeight="1" x14ac:dyDescent="0.3">
      <c r="A29" s="15" t="s">
        <v>153</v>
      </c>
      <c r="B29" s="23" t="s">
        <v>181</v>
      </c>
      <c r="C29" s="15">
        <v>85</v>
      </c>
      <c r="D29" s="18">
        <v>13.84</v>
      </c>
      <c r="E29" s="15">
        <v>26.7</v>
      </c>
      <c r="F29" s="15">
        <v>0</v>
      </c>
      <c r="G29" s="15">
        <v>100</v>
      </c>
      <c r="H29" s="15">
        <v>870</v>
      </c>
      <c r="I29" s="17">
        <v>3</v>
      </c>
      <c r="J29" s="1">
        <v>4</v>
      </c>
      <c r="K29" s="1">
        <v>6</v>
      </c>
    </row>
    <row r="30" spans="1:11" ht="15.75" customHeight="1" x14ac:dyDescent="0.3">
      <c r="A30" s="15" t="s">
        <v>153</v>
      </c>
      <c r="B30" s="23" t="s">
        <v>181</v>
      </c>
      <c r="C30" s="15">
        <v>55</v>
      </c>
      <c r="D30" s="18">
        <v>55.3</v>
      </c>
      <c r="E30" s="15">
        <v>30.2</v>
      </c>
      <c r="F30" s="15">
        <v>0</v>
      </c>
      <c r="G30" s="15">
        <v>100</v>
      </c>
      <c r="H30" s="15">
        <v>2000</v>
      </c>
      <c r="I30" s="17">
        <v>3</v>
      </c>
      <c r="J30" s="1">
        <v>0</v>
      </c>
      <c r="K30" s="1">
        <v>0</v>
      </c>
    </row>
    <row r="31" spans="1:11" ht="15.75" customHeight="1" x14ac:dyDescent="0.3">
      <c r="A31" s="15" t="s">
        <v>153</v>
      </c>
      <c r="B31" s="23" t="s">
        <v>181</v>
      </c>
      <c r="C31" s="15">
        <v>51</v>
      </c>
      <c r="D31" s="18">
        <v>26.78</v>
      </c>
      <c r="E31" s="15">
        <v>30.7</v>
      </c>
      <c r="F31" s="15">
        <v>0</v>
      </c>
      <c r="G31" s="15">
        <v>23.33</v>
      </c>
      <c r="H31" s="15">
        <v>2000</v>
      </c>
      <c r="I31" s="17">
        <v>3</v>
      </c>
      <c r="J31" s="1">
        <v>2</v>
      </c>
      <c r="K31" s="1">
        <v>2</v>
      </c>
    </row>
    <row r="32" spans="1:11" ht="15.75" customHeight="1" x14ac:dyDescent="0.3">
      <c r="A32" s="15" t="s">
        <v>153</v>
      </c>
      <c r="B32" s="23" t="s">
        <v>198</v>
      </c>
      <c r="C32" s="15">
        <v>90</v>
      </c>
      <c r="D32" s="18">
        <v>8.44</v>
      </c>
      <c r="E32" s="15">
        <v>27.4</v>
      </c>
      <c r="F32" s="15">
        <v>0.8</v>
      </c>
      <c r="G32" s="15">
        <v>100</v>
      </c>
      <c r="H32" s="15">
        <v>870</v>
      </c>
      <c r="I32" s="17">
        <v>3</v>
      </c>
      <c r="J32" s="1">
        <v>12</v>
      </c>
      <c r="K32" s="1">
        <v>17</v>
      </c>
    </row>
    <row r="33" spans="1:11" ht="15.75" customHeight="1" x14ac:dyDescent="0.3">
      <c r="A33" s="15" t="s">
        <v>153</v>
      </c>
      <c r="B33" s="16" t="s">
        <v>198</v>
      </c>
      <c r="C33" s="15">
        <v>58</v>
      </c>
      <c r="D33" s="18">
        <v>30.1</v>
      </c>
      <c r="E33" s="15">
        <v>29.1</v>
      </c>
      <c r="F33" s="15">
        <v>0</v>
      </c>
      <c r="G33" s="15">
        <v>98.75</v>
      </c>
      <c r="H33" s="15">
        <v>2000</v>
      </c>
      <c r="I33" s="17">
        <v>3</v>
      </c>
      <c r="J33" s="1">
        <v>2</v>
      </c>
      <c r="K33" s="1">
        <v>2</v>
      </c>
    </row>
    <row r="34" spans="1:11" ht="15.75" customHeight="1" x14ac:dyDescent="0.3">
      <c r="A34" s="15" t="s">
        <v>153</v>
      </c>
      <c r="B34" s="23" t="s">
        <v>183</v>
      </c>
      <c r="C34" s="15">
        <v>95</v>
      </c>
      <c r="D34" s="18">
        <v>10.69</v>
      </c>
      <c r="E34" s="15">
        <v>22.8</v>
      </c>
      <c r="F34" s="15">
        <v>1.2</v>
      </c>
      <c r="G34" s="15">
        <v>100</v>
      </c>
      <c r="H34" s="15">
        <v>1100</v>
      </c>
      <c r="I34" s="17">
        <v>3</v>
      </c>
      <c r="J34" s="1">
        <v>4</v>
      </c>
      <c r="K34" s="1">
        <v>7</v>
      </c>
    </row>
    <row r="35" spans="1:11" ht="15.75" customHeight="1" x14ac:dyDescent="0.3">
      <c r="A35" s="15" t="s">
        <v>153</v>
      </c>
      <c r="B35" s="23" t="s">
        <v>183</v>
      </c>
      <c r="C35" s="15">
        <v>95</v>
      </c>
      <c r="D35" s="18">
        <v>5.99</v>
      </c>
      <c r="E35" s="15">
        <v>25.7</v>
      </c>
      <c r="F35" s="15">
        <v>0</v>
      </c>
      <c r="G35" s="15">
        <v>100</v>
      </c>
      <c r="H35" s="15">
        <v>1420</v>
      </c>
      <c r="I35" s="17">
        <v>3</v>
      </c>
      <c r="J35" s="1">
        <v>5</v>
      </c>
      <c r="K35" s="1">
        <v>7</v>
      </c>
    </row>
    <row r="36" spans="1:11" ht="15.75" customHeight="1" x14ac:dyDescent="0.3">
      <c r="A36" s="15" t="s">
        <v>153</v>
      </c>
      <c r="B36" s="16" t="s">
        <v>183</v>
      </c>
      <c r="C36" s="15">
        <v>98</v>
      </c>
      <c r="D36" s="18">
        <v>3.61</v>
      </c>
      <c r="E36" s="15">
        <v>23</v>
      </c>
      <c r="F36" s="15">
        <v>0</v>
      </c>
      <c r="G36" s="15">
        <v>100</v>
      </c>
      <c r="H36" s="15">
        <v>2000</v>
      </c>
      <c r="I36" s="17">
        <v>3</v>
      </c>
      <c r="J36" s="1">
        <v>0</v>
      </c>
      <c r="K36" s="1">
        <v>0</v>
      </c>
    </row>
    <row r="37" spans="1:11" ht="15.75" customHeight="1" x14ac:dyDescent="0.3">
      <c r="A37" s="15" t="s">
        <v>153</v>
      </c>
      <c r="B37" s="23" t="s">
        <v>183</v>
      </c>
      <c r="C37" s="15">
        <v>80</v>
      </c>
      <c r="D37" s="18">
        <v>6.89</v>
      </c>
      <c r="E37" s="15">
        <v>24.3</v>
      </c>
      <c r="F37" s="15">
        <v>0.87</v>
      </c>
      <c r="G37" s="15">
        <v>100</v>
      </c>
      <c r="H37" s="15">
        <v>2000</v>
      </c>
      <c r="I37" s="17">
        <v>3</v>
      </c>
      <c r="J37" s="1">
        <v>2</v>
      </c>
      <c r="K37" s="1">
        <v>2</v>
      </c>
    </row>
    <row r="38" spans="1:11" ht="15.75" customHeight="1" x14ac:dyDescent="0.3">
      <c r="A38" s="15" t="s">
        <v>153</v>
      </c>
      <c r="B38" s="23" t="s">
        <v>186</v>
      </c>
      <c r="C38" s="15">
        <v>95</v>
      </c>
      <c r="D38" s="18">
        <v>1.44</v>
      </c>
      <c r="E38" s="15">
        <v>25.1</v>
      </c>
      <c r="F38" s="15">
        <v>0</v>
      </c>
      <c r="G38" s="15">
        <v>100</v>
      </c>
      <c r="H38" s="15">
        <v>1420</v>
      </c>
      <c r="I38" s="17">
        <v>6</v>
      </c>
      <c r="J38" s="1">
        <v>2</v>
      </c>
      <c r="K38" s="1">
        <v>7</v>
      </c>
    </row>
    <row r="39" spans="1:11" ht="15.75" customHeight="1" x14ac:dyDescent="0.3">
      <c r="A39" s="15" t="s">
        <v>153</v>
      </c>
      <c r="B39" s="23" t="s">
        <v>186</v>
      </c>
      <c r="C39" s="15">
        <v>99</v>
      </c>
      <c r="D39" s="18">
        <v>0.54</v>
      </c>
      <c r="E39" s="15">
        <v>21.9</v>
      </c>
      <c r="F39" s="15">
        <v>0</v>
      </c>
      <c r="G39" s="15">
        <v>100</v>
      </c>
      <c r="H39" s="15">
        <v>1420</v>
      </c>
      <c r="I39" s="17">
        <v>6</v>
      </c>
      <c r="J39" s="1">
        <v>3</v>
      </c>
      <c r="K39" s="1">
        <v>3</v>
      </c>
    </row>
    <row r="40" spans="1:11" ht="15.75" customHeight="1" x14ac:dyDescent="0.3">
      <c r="A40" s="15" t="s">
        <v>153</v>
      </c>
      <c r="B40" s="23" t="s">
        <v>186</v>
      </c>
      <c r="C40" s="15">
        <v>99</v>
      </c>
      <c r="D40" s="18">
        <v>0.63</v>
      </c>
      <c r="E40" s="15">
        <v>25.1</v>
      </c>
      <c r="F40" s="15">
        <v>0</v>
      </c>
      <c r="G40" s="15">
        <v>100</v>
      </c>
      <c r="H40" s="15">
        <v>2000</v>
      </c>
      <c r="I40" s="17">
        <v>6</v>
      </c>
      <c r="J40" s="1">
        <v>3</v>
      </c>
      <c r="K40" s="1">
        <v>8</v>
      </c>
    </row>
    <row r="41" spans="1:11" ht="15.75" customHeight="1" x14ac:dyDescent="0.3">
      <c r="A41" s="15" t="s">
        <v>153</v>
      </c>
      <c r="B41" s="23" t="s">
        <v>186</v>
      </c>
      <c r="C41" s="15">
        <v>99</v>
      </c>
      <c r="D41" s="18">
        <v>1.67</v>
      </c>
      <c r="E41" s="15">
        <v>25.2</v>
      </c>
      <c r="F41" s="15">
        <v>0</v>
      </c>
      <c r="G41" s="15">
        <v>100</v>
      </c>
      <c r="H41" s="15">
        <v>2000</v>
      </c>
      <c r="I41" s="17">
        <v>6</v>
      </c>
      <c r="J41" s="1">
        <v>3</v>
      </c>
      <c r="K41" s="1">
        <v>4</v>
      </c>
    </row>
    <row r="42" spans="1:11" ht="15.75" customHeight="1" x14ac:dyDescent="0.3">
      <c r="A42" s="15" t="s">
        <v>158</v>
      </c>
      <c r="B42" s="23" t="s">
        <v>176</v>
      </c>
      <c r="C42" s="15">
        <v>96</v>
      </c>
      <c r="D42" s="18">
        <v>1.1399999999999999</v>
      </c>
      <c r="E42" s="15">
        <v>26.4</v>
      </c>
      <c r="F42" s="15">
        <v>0</v>
      </c>
      <c r="G42" s="15">
        <v>22</v>
      </c>
      <c r="H42" s="15">
        <v>550</v>
      </c>
      <c r="I42" s="17">
        <v>4</v>
      </c>
      <c r="J42" s="1">
        <v>4</v>
      </c>
      <c r="K42" s="1">
        <v>7</v>
      </c>
    </row>
    <row r="43" spans="1:11" ht="15.75" customHeight="1" x14ac:dyDescent="0.3">
      <c r="A43" s="15" t="s">
        <v>158</v>
      </c>
      <c r="B43" s="23" t="s">
        <v>176</v>
      </c>
      <c r="C43" s="15">
        <v>99</v>
      </c>
      <c r="D43" s="18">
        <v>8.51</v>
      </c>
      <c r="E43" s="15">
        <v>26.5</v>
      </c>
      <c r="F43" s="15">
        <v>0</v>
      </c>
      <c r="G43" s="15">
        <v>36.659999999999997</v>
      </c>
      <c r="H43" s="15">
        <v>2000</v>
      </c>
      <c r="I43" s="17">
        <v>4</v>
      </c>
      <c r="J43" s="1">
        <v>9</v>
      </c>
      <c r="K43" s="1">
        <v>9</v>
      </c>
    </row>
    <row r="44" spans="1:11" ht="15.75" customHeight="1" x14ac:dyDescent="0.3">
      <c r="A44" s="15" t="s">
        <v>158</v>
      </c>
      <c r="B44" s="23" t="s">
        <v>176</v>
      </c>
      <c r="C44" s="15">
        <v>99</v>
      </c>
      <c r="D44" s="18">
        <v>8.52</v>
      </c>
      <c r="E44" s="15">
        <v>26.5</v>
      </c>
      <c r="F44" s="15">
        <v>0</v>
      </c>
      <c r="G44" s="15">
        <v>100</v>
      </c>
      <c r="H44" s="15">
        <v>2000</v>
      </c>
      <c r="I44" s="17">
        <v>4</v>
      </c>
      <c r="J44" s="1">
        <v>5</v>
      </c>
      <c r="K44" s="1">
        <v>6</v>
      </c>
    </row>
    <row r="45" spans="1:11" ht="15.75" customHeight="1" x14ac:dyDescent="0.3">
      <c r="A45" s="15" t="s">
        <v>158</v>
      </c>
      <c r="B45" s="23" t="s">
        <v>178</v>
      </c>
      <c r="C45" s="15">
        <v>99</v>
      </c>
      <c r="D45" s="18">
        <v>6.93</v>
      </c>
      <c r="E45" s="15">
        <v>23.5</v>
      </c>
      <c r="F45" s="15">
        <v>0</v>
      </c>
      <c r="G45" s="15">
        <v>98</v>
      </c>
      <c r="H45" s="15">
        <v>2000</v>
      </c>
      <c r="I45" s="17">
        <v>3</v>
      </c>
      <c r="J45" s="1">
        <v>7</v>
      </c>
      <c r="K45" s="1">
        <v>7</v>
      </c>
    </row>
    <row r="46" spans="1:11" ht="15.75" customHeight="1" x14ac:dyDescent="0.3">
      <c r="A46" s="15" t="s">
        <v>158</v>
      </c>
      <c r="B46" s="23" t="s">
        <v>178</v>
      </c>
      <c r="C46" s="15">
        <v>99</v>
      </c>
      <c r="D46" s="18">
        <v>6.8</v>
      </c>
      <c r="E46" s="15">
        <v>23.5</v>
      </c>
      <c r="F46" s="15">
        <v>0</v>
      </c>
      <c r="G46" s="15">
        <v>100</v>
      </c>
      <c r="H46" s="15">
        <v>2000</v>
      </c>
      <c r="I46" s="17">
        <v>3</v>
      </c>
      <c r="J46" s="1">
        <v>1</v>
      </c>
      <c r="K46" s="1">
        <v>1</v>
      </c>
    </row>
    <row r="47" spans="1:11" ht="15.75" customHeight="1" x14ac:dyDescent="0.3">
      <c r="A47" s="15" t="s">
        <v>158</v>
      </c>
      <c r="B47" s="23" t="s">
        <v>200</v>
      </c>
      <c r="C47" s="15">
        <v>89</v>
      </c>
      <c r="D47" s="18">
        <v>2.74</v>
      </c>
      <c r="E47" s="15">
        <v>23.5</v>
      </c>
      <c r="F47" s="15">
        <v>0</v>
      </c>
      <c r="G47" s="15">
        <v>0</v>
      </c>
      <c r="H47" s="15">
        <v>700</v>
      </c>
      <c r="I47" s="17">
        <v>5</v>
      </c>
      <c r="J47" s="1">
        <v>13</v>
      </c>
      <c r="K47" s="1">
        <v>16</v>
      </c>
    </row>
    <row r="48" spans="1:11" ht="15.75" customHeight="1" x14ac:dyDescent="0.3">
      <c r="A48" s="15" t="s">
        <v>158</v>
      </c>
      <c r="B48" s="23" t="s">
        <v>200</v>
      </c>
      <c r="C48" s="15">
        <v>99</v>
      </c>
      <c r="D48" s="18">
        <v>0.32</v>
      </c>
      <c r="E48" s="15">
        <v>21.5</v>
      </c>
      <c r="F48" s="15">
        <v>0</v>
      </c>
      <c r="G48" s="15">
        <v>100</v>
      </c>
      <c r="H48" s="15">
        <v>2000</v>
      </c>
      <c r="I48" s="17">
        <v>5</v>
      </c>
      <c r="J48" s="1">
        <v>3</v>
      </c>
      <c r="K48" s="1">
        <v>3</v>
      </c>
    </row>
    <row r="49" spans="1:11" ht="15.75" customHeight="1" x14ac:dyDescent="0.3">
      <c r="A49" s="15" t="s">
        <v>158</v>
      </c>
      <c r="B49" s="23" t="s">
        <v>200</v>
      </c>
      <c r="C49" s="15">
        <v>87</v>
      </c>
      <c r="D49" s="18">
        <v>0.03</v>
      </c>
      <c r="E49" s="15">
        <v>23.2</v>
      </c>
      <c r="F49" s="15">
        <v>0</v>
      </c>
      <c r="G49" s="15">
        <v>100</v>
      </c>
      <c r="H49" s="15">
        <v>2000</v>
      </c>
      <c r="I49" s="17">
        <v>5</v>
      </c>
      <c r="J49" s="1">
        <v>3</v>
      </c>
      <c r="K49" s="1">
        <v>3</v>
      </c>
    </row>
    <row r="50" spans="1:11" ht="15.75" customHeight="1" x14ac:dyDescent="0.3">
      <c r="A50" s="15" t="s">
        <v>158</v>
      </c>
      <c r="B50" s="23" t="s">
        <v>200</v>
      </c>
      <c r="C50" s="15">
        <v>85</v>
      </c>
      <c r="D50" s="18">
        <v>0.04</v>
      </c>
      <c r="E50" s="15">
        <v>23.2</v>
      </c>
      <c r="F50" s="15">
        <v>0</v>
      </c>
      <c r="G50" s="15">
        <v>50</v>
      </c>
      <c r="H50" s="15">
        <v>2000</v>
      </c>
      <c r="I50" s="17">
        <v>5</v>
      </c>
      <c r="J50" s="1">
        <v>1</v>
      </c>
      <c r="K50" s="1">
        <v>1</v>
      </c>
    </row>
    <row r="51" spans="1:11" ht="15.75" customHeight="1" x14ac:dyDescent="0.3">
      <c r="A51" s="15" t="s">
        <v>158</v>
      </c>
      <c r="B51" s="23" t="s">
        <v>180</v>
      </c>
      <c r="C51" s="15">
        <v>88</v>
      </c>
      <c r="D51" s="18">
        <v>0.69</v>
      </c>
      <c r="E51" s="15">
        <v>23.4</v>
      </c>
      <c r="F51" s="15">
        <v>6</v>
      </c>
      <c r="G51" s="15">
        <v>100</v>
      </c>
      <c r="H51" s="15">
        <v>700</v>
      </c>
      <c r="I51" s="17">
        <v>5</v>
      </c>
      <c r="J51" s="1">
        <v>8</v>
      </c>
      <c r="K51" s="1">
        <v>9</v>
      </c>
    </row>
    <row r="52" spans="1:11" ht="15.75" customHeight="1" x14ac:dyDescent="0.3">
      <c r="A52" s="15" t="s">
        <v>158</v>
      </c>
      <c r="B52" s="23" t="s">
        <v>180</v>
      </c>
      <c r="C52" s="15">
        <v>88</v>
      </c>
      <c r="D52" s="18">
        <v>1.86</v>
      </c>
      <c r="E52" s="15">
        <v>27.2</v>
      </c>
      <c r="F52" s="15">
        <v>0.6</v>
      </c>
      <c r="G52" s="15">
        <v>100</v>
      </c>
      <c r="H52" s="15">
        <v>2000</v>
      </c>
      <c r="I52" s="17">
        <v>5</v>
      </c>
      <c r="J52" s="1">
        <v>4</v>
      </c>
      <c r="K52" s="1">
        <v>4</v>
      </c>
    </row>
    <row r="53" spans="1:11" ht="15.75" customHeight="1" x14ac:dyDescent="0.3">
      <c r="A53" s="15" t="s">
        <v>158</v>
      </c>
      <c r="B53" s="23" t="s">
        <v>181</v>
      </c>
      <c r="C53" s="15">
        <v>80</v>
      </c>
      <c r="D53" s="18">
        <v>51.6</v>
      </c>
      <c r="E53" s="15">
        <v>28.7</v>
      </c>
      <c r="F53" s="15">
        <v>2.5</v>
      </c>
      <c r="G53" s="15">
        <v>0</v>
      </c>
      <c r="H53" s="15">
        <v>700</v>
      </c>
      <c r="I53" s="17">
        <v>3</v>
      </c>
      <c r="J53" s="1">
        <v>5</v>
      </c>
      <c r="K53" s="1">
        <v>5</v>
      </c>
    </row>
    <row r="54" spans="1:11" ht="15.75" customHeight="1" x14ac:dyDescent="0.3">
      <c r="A54" s="15" t="s">
        <v>158</v>
      </c>
      <c r="B54" s="23" t="s">
        <v>198</v>
      </c>
      <c r="C54" s="15">
        <v>71</v>
      </c>
      <c r="D54" s="18">
        <v>7.17</v>
      </c>
      <c r="E54" s="15">
        <v>26.1</v>
      </c>
      <c r="F54" s="15">
        <v>1.9</v>
      </c>
      <c r="G54" s="15">
        <v>0</v>
      </c>
      <c r="H54" s="15">
        <v>700</v>
      </c>
      <c r="I54" s="17">
        <v>3</v>
      </c>
      <c r="J54" s="1">
        <v>9</v>
      </c>
      <c r="K54" s="1">
        <v>11</v>
      </c>
    </row>
    <row r="55" spans="1:11" ht="15.75" customHeight="1" x14ac:dyDescent="0.3">
      <c r="A55" s="15" t="s">
        <v>158</v>
      </c>
      <c r="B55" s="23" t="s">
        <v>198</v>
      </c>
      <c r="C55" s="15">
        <v>74</v>
      </c>
      <c r="D55" s="18">
        <v>7.5</v>
      </c>
      <c r="E55" s="15">
        <v>26</v>
      </c>
      <c r="F55" s="15">
        <v>0</v>
      </c>
      <c r="G55" s="15">
        <v>100</v>
      </c>
      <c r="H55" s="15">
        <v>2000</v>
      </c>
      <c r="I55" s="17">
        <v>3</v>
      </c>
      <c r="J55" s="1">
        <v>1</v>
      </c>
      <c r="K55" s="1">
        <v>1</v>
      </c>
    </row>
    <row r="56" spans="1:11" ht="15.75" customHeight="1" x14ac:dyDescent="0.3">
      <c r="A56" s="15" t="s">
        <v>158</v>
      </c>
      <c r="B56" s="23" t="s">
        <v>198</v>
      </c>
      <c r="C56" s="15">
        <v>54</v>
      </c>
      <c r="D56" s="18">
        <v>10.85</v>
      </c>
      <c r="E56" s="15">
        <v>28.3</v>
      </c>
      <c r="F56" s="15">
        <v>1.45</v>
      </c>
      <c r="G56" s="15">
        <v>35</v>
      </c>
      <c r="H56" s="15">
        <v>2000</v>
      </c>
      <c r="I56" s="17">
        <v>3</v>
      </c>
      <c r="J56" s="1">
        <v>4</v>
      </c>
      <c r="K56" s="1">
        <v>4</v>
      </c>
    </row>
    <row r="57" spans="1:11" ht="15.75" customHeight="1" x14ac:dyDescent="0.3">
      <c r="A57" s="15" t="s">
        <v>158</v>
      </c>
      <c r="B57" s="23" t="s">
        <v>183</v>
      </c>
      <c r="C57" s="15">
        <v>77</v>
      </c>
      <c r="D57" s="18">
        <v>19</v>
      </c>
      <c r="E57" s="15">
        <v>23.9</v>
      </c>
      <c r="F57" s="15">
        <v>0</v>
      </c>
      <c r="G57" s="15">
        <v>100</v>
      </c>
      <c r="H57" s="15">
        <v>2000</v>
      </c>
      <c r="I57" s="17">
        <v>3</v>
      </c>
      <c r="J57" s="1">
        <v>4</v>
      </c>
      <c r="K57" s="1">
        <v>13</v>
      </c>
    </row>
    <row r="58" spans="1:11" ht="15.75" customHeight="1" x14ac:dyDescent="0.3">
      <c r="A58" s="15" t="s">
        <v>158</v>
      </c>
      <c r="B58" s="23" t="s">
        <v>183</v>
      </c>
      <c r="C58" s="15">
        <v>99</v>
      </c>
      <c r="D58" s="18">
        <v>29.59</v>
      </c>
      <c r="E58" s="15">
        <v>24.9</v>
      </c>
      <c r="F58" s="15">
        <v>0.65</v>
      </c>
      <c r="G58" s="15">
        <v>99</v>
      </c>
      <c r="H58" s="15">
        <v>700</v>
      </c>
      <c r="I58" s="17">
        <v>3</v>
      </c>
      <c r="J58" s="1">
        <v>4</v>
      </c>
      <c r="K58" s="1">
        <v>7</v>
      </c>
    </row>
    <row r="59" spans="1:11" ht="15.75" customHeight="1" x14ac:dyDescent="0.3">
      <c r="A59" s="15" t="s">
        <v>158</v>
      </c>
      <c r="B59" s="23" t="s">
        <v>183</v>
      </c>
      <c r="C59" s="15">
        <v>74</v>
      </c>
      <c r="D59" s="18">
        <v>1.52</v>
      </c>
      <c r="E59" s="15">
        <v>19.829999999999998</v>
      </c>
      <c r="F59" s="15">
        <v>0.85</v>
      </c>
      <c r="G59" s="15">
        <v>100</v>
      </c>
      <c r="H59" s="15">
        <v>2000</v>
      </c>
      <c r="I59" s="17">
        <v>3</v>
      </c>
      <c r="J59" s="1">
        <v>2</v>
      </c>
      <c r="K59" s="1">
        <v>2</v>
      </c>
    </row>
    <row r="60" spans="1:11" ht="15.75" customHeight="1" x14ac:dyDescent="0.3">
      <c r="A60" s="15" t="s">
        <v>158</v>
      </c>
      <c r="B60" s="23" t="s">
        <v>186</v>
      </c>
      <c r="C60" s="15">
        <v>95</v>
      </c>
      <c r="D60" s="18">
        <v>0.4</v>
      </c>
      <c r="E60" s="15">
        <v>17.100000000000001</v>
      </c>
      <c r="F60" s="15">
        <v>0</v>
      </c>
      <c r="G60" s="15">
        <v>0</v>
      </c>
      <c r="H60" s="15">
        <v>700</v>
      </c>
      <c r="I60" s="17">
        <v>6</v>
      </c>
      <c r="J60" s="1">
        <v>10</v>
      </c>
      <c r="K60" s="1">
        <v>33</v>
      </c>
    </row>
    <row r="61" spans="1:11" ht="15.75" customHeight="1" x14ac:dyDescent="0.3">
      <c r="A61" s="15" t="s">
        <v>158</v>
      </c>
      <c r="B61" s="23" t="s">
        <v>186</v>
      </c>
      <c r="C61" s="15">
        <v>95</v>
      </c>
      <c r="D61" s="18">
        <v>0.42</v>
      </c>
      <c r="E61" s="15">
        <v>17.2</v>
      </c>
      <c r="F61" s="15">
        <v>0</v>
      </c>
      <c r="G61" s="15">
        <v>100</v>
      </c>
      <c r="H61" s="15">
        <v>2000</v>
      </c>
      <c r="I61" s="17">
        <v>6</v>
      </c>
      <c r="J61" s="1">
        <v>1</v>
      </c>
      <c r="K61" s="1">
        <v>1</v>
      </c>
    </row>
    <row r="62" spans="1:11" ht="15.75" customHeight="1" x14ac:dyDescent="0.3">
      <c r="A62" s="15" t="s">
        <v>158</v>
      </c>
      <c r="B62" s="23" t="s">
        <v>186</v>
      </c>
      <c r="C62" s="15">
        <v>95</v>
      </c>
      <c r="D62" s="18">
        <v>0.41</v>
      </c>
      <c r="E62" s="15">
        <v>17.100000000000001</v>
      </c>
      <c r="F62" s="15">
        <v>0</v>
      </c>
      <c r="G62" s="15">
        <v>100</v>
      </c>
      <c r="H62" s="15">
        <v>700</v>
      </c>
      <c r="I62" s="17">
        <v>6</v>
      </c>
      <c r="J62" s="1">
        <v>8</v>
      </c>
      <c r="K62" s="1">
        <v>11</v>
      </c>
    </row>
    <row r="63" spans="1:11" ht="15.75" customHeight="1" x14ac:dyDescent="0.3">
      <c r="A63" s="15" t="s">
        <v>158</v>
      </c>
      <c r="B63" s="23" t="s">
        <v>186</v>
      </c>
      <c r="C63" s="15">
        <v>87</v>
      </c>
      <c r="D63" s="18">
        <v>0.16</v>
      </c>
      <c r="E63" s="15">
        <v>20.2</v>
      </c>
      <c r="F63" s="15">
        <v>0</v>
      </c>
      <c r="G63" s="15">
        <v>100</v>
      </c>
      <c r="H63" s="15">
        <v>2000</v>
      </c>
      <c r="I63" s="17">
        <v>6</v>
      </c>
      <c r="J63" s="1">
        <v>6</v>
      </c>
      <c r="K63" s="1">
        <v>6</v>
      </c>
    </row>
    <row r="64" spans="1:11" ht="15.75" customHeight="1" x14ac:dyDescent="0.3">
      <c r="A64" s="15" t="s">
        <v>164</v>
      </c>
      <c r="B64" s="23" t="s">
        <v>176</v>
      </c>
      <c r="C64" s="15">
        <v>89</v>
      </c>
      <c r="D64" s="18">
        <v>1.36</v>
      </c>
      <c r="E64" s="15">
        <v>23.18</v>
      </c>
      <c r="F64" s="15">
        <v>0</v>
      </c>
      <c r="G64" s="15">
        <v>100</v>
      </c>
      <c r="H64" s="15">
        <v>2000</v>
      </c>
      <c r="I64" s="17">
        <v>4</v>
      </c>
      <c r="J64" s="1">
        <v>8</v>
      </c>
      <c r="K64" s="1">
        <v>11</v>
      </c>
    </row>
    <row r="65" spans="1:11" ht="15.75" customHeight="1" x14ac:dyDescent="0.3">
      <c r="A65" s="15" t="s">
        <v>164</v>
      </c>
      <c r="B65" s="23" t="s">
        <v>177</v>
      </c>
      <c r="C65" s="15">
        <v>94</v>
      </c>
      <c r="D65" s="18">
        <v>7.68</v>
      </c>
      <c r="E65" s="15">
        <v>26.7</v>
      </c>
      <c r="F65" s="15">
        <v>0.75</v>
      </c>
      <c r="G65" s="15">
        <v>100</v>
      </c>
      <c r="H65" s="15">
        <v>2000</v>
      </c>
      <c r="I65" s="17">
        <v>3</v>
      </c>
      <c r="J65" s="1">
        <v>6</v>
      </c>
      <c r="K65" s="1">
        <v>8</v>
      </c>
    </row>
    <row r="66" spans="1:11" ht="15.75" customHeight="1" x14ac:dyDescent="0.3">
      <c r="A66" s="15" t="s">
        <v>164</v>
      </c>
      <c r="B66" s="23" t="s">
        <v>177</v>
      </c>
      <c r="C66" s="15">
        <v>90</v>
      </c>
      <c r="D66" s="18">
        <v>1.5</v>
      </c>
      <c r="E66" s="15">
        <v>23.4</v>
      </c>
      <c r="F66" s="15">
        <v>0</v>
      </c>
      <c r="G66" s="15">
        <v>100</v>
      </c>
      <c r="H66" s="15">
        <v>2000</v>
      </c>
      <c r="I66" s="17">
        <v>3</v>
      </c>
      <c r="J66" s="1">
        <v>1</v>
      </c>
      <c r="K66" s="1">
        <v>1</v>
      </c>
    </row>
    <row r="67" spans="1:11" ht="15.75" customHeight="1" x14ac:dyDescent="0.3">
      <c r="A67" s="15" t="s">
        <v>164</v>
      </c>
      <c r="B67" s="23" t="s">
        <v>200</v>
      </c>
      <c r="C67" s="15">
        <v>91</v>
      </c>
      <c r="D67" s="18">
        <v>1.1499999999999999</v>
      </c>
      <c r="E67" s="15">
        <v>24.4</v>
      </c>
      <c r="F67" s="15">
        <v>0</v>
      </c>
      <c r="G67" s="15">
        <v>100</v>
      </c>
      <c r="H67" s="15">
        <v>480</v>
      </c>
      <c r="I67" s="17">
        <v>5</v>
      </c>
      <c r="J67" s="1">
        <v>8</v>
      </c>
      <c r="K67" s="1">
        <v>8</v>
      </c>
    </row>
    <row r="68" spans="1:11" ht="15.75" customHeight="1" x14ac:dyDescent="0.3">
      <c r="A68" s="15" t="s">
        <v>164</v>
      </c>
      <c r="B68" s="23" t="s">
        <v>200</v>
      </c>
      <c r="C68" s="15">
        <v>94</v>
      </c>
      <c r="D68" s="18">
        <v>1.2</v>
      </c>
      <c r="E68" s="15">
        <v>24.4</v>
      </c>
      <c r="F68" s="15">
        <v>0</v>
      </c>
      <c r="G68" s="15">
        <v>100</v>
      </c>
      <c r="H68" s="15">
        <v>2000</v>
      </c>
      <c r="I68" s="17">
        <v>5</v>
      </c>
      <c r="J68" s="1">
        <v>1</v>
      </c>
      <c r="K68" s="1">
        <v>1</v>
      </c>
    </row>
    <row r="69" spans="1:11" ht="15.75" customHeight="1" x14ac:dyDescent="0.3">
      <c r="A69" s="15" t="s">
        <v>164</v>
      </c>
      <c r="B69" s="23" t="s">
        <v>200</v>
      </c>
      <c r="C69" s="15">
        <v>85</v>
      </c>
      <c r="D69" s="18">
        <v>1.3</v>
      </c>
      <c r="E69" s="15">
        <v>24.4</v>
      </c>
      <c r="F69" s="15">
        <v>0</v>
      </c>
      <c r="G69" s="15">
        <v>100</v>
      </c>
      <c r="H69" s="15">
        <v>2000</v>
      </c>
      <c r="I69" s="17">
        <v>5</v>
      </c>
      <c r="J69" s="1">
        <v>8</v>
      </c>
      <c r="K69" s="1">
        <v>8</v>
      </c>
    </row>
    <row r="70" spans="1:11" ht="15.75" customHeight="1" x14ac:dyDescent="0.3">
      <c r="A70" s="15" t="s">
        <v>164</v>
      </c>
      <c r="B70" s="23" t="s">
        <v>180</v>
      </c>
      <c r="C70" s="15">
        <v>91</v>
      </c>
      <c r="D70" s="18">
        <v>0.57999999999999996</v>
      </c>
      <c r="E70" s="15">
        <v>26.4</v>
      </c>
      <c r="F70" s="15">
        <v>0</v>
      </c>
      <c r="G70" s="15">
        <v>100</v>
      </c>
      <c r="H70" s="15">
        <v>780</v>
      </c>
      <c r="I70" s="17">
        <v>5</v>
      </c>
      <c r="J70" s="1">
        <v>10</v>
      </c>
      <c r="K70" s="1">
        <v>10</v>
      </c>
    </row>
    <row r="71" spans="1:11" ht="15.75" customHeight="1" x14ac:dyDescent="0.3">
      <c r="A71" s="15" t="s">
        <v>164</v>
      </c>
      <c r="B71" s="23" t="s">
        <v>180</v>
      </c>
      <c r="C71" s="15">
        <v>91</v>
      </c>
      <c r="D71" s="18">
        <v>0.81</v>
      </c>
      <c r="E71" s="15">
        <v>23.28</v>
      </c>
      <c r="F71" s="15">
        <v>0</v>
      </c>
      <c r="G71" s="15">
        <v>100</v>
      </c>
      <c r="H71" s="15">
        <v>480</v>
      </c>
      <c r="I71" s="17">
        <v>5</v>
      </c>
      <c r="J71" s="1">
        <v>5</v>
      </c>
      <c r="K71" s="1">
        <v>5</v>
      </c>
    </row>
    <row r="72" spans="1:11" ht="15.75" customHeight="1" x14ac:dyDescent="0.3">
      <c r="A72" s="15" t="s">
        <v>164</v>
      </c>
      <c r="B72" s="23" t="s">
        <v>181</v>
      </c>
      <c r="C72" s="15">
        <v>91</v>
      </c>
      <c r="D72" s="18">
        <v>0.81</v>
      </c>
      <c r="E72" s="15">
        <v>23.3</v>
      </c>
      <c r="F72" s="15">
        <v>0</v>
      </c>
      <c r="G72" s="15">
        <v>100</v>
      </c>
      <c r="H72" s="15">
        <v>2000</v>
      </c>
      <c r="I72" s="17">
        <v>3</v>
      </c>
      <c r="J72" s="1">
        <v>1</v>
      </c>
      <c r="K72" s="1">
        <v>2</v>
      </c>
    </row>
    <row r="73" spans="1:11" ht="15.75" customHeight="1" x14ac:dyDescent="0.3">
      <c r="A73" s="15" t="s">
        <v>164</v>
      </c>
      <c r="B73" s="23" t="s">
        <v>181</v>
      </c>
      <c r="C73" s="15">
        <v>99</v>
      </c>
      <c r="D73" s="18">
        <v>85.6</v>
      </c>
      <c r="E73" s="15">
        <v>28.5</v>
      </c>
      <c r="F73" s="15">
        <v>1.2</v>
      </c>
      <c r="G73" s="15">
        <v>100</v>
      </c>
      <c r="H73" s="15">
        <v>780</v>
      </c>
      <c r="I73" s="17">
        <v>3</v>
      </c>
      <c r="J73" s="1">
        <v>1</v>
      </c>
      <c r="K73" s="1">
        <v>1</v>
      </c>
    </row>
    <row r="74" spans="1:11" ht="15.75" customHeight="1" x14ac:dyDescent="0.3">
      <c r="A74" s="15" t="s">
        <v>164</v>
      </c>
      <c r="B74" s="23" t="s">
        <v>181</v>
      </c>
      <c r="C74" s="15">
        <v>91</v>
      </c>
      <c r="D74" s="18">
        <v>13.15</v>
      </c>
      <c r="E74" s="15">
        <v>26.13</v>
      </c>
      <c r="F74" s="15">
        <v>0</v>
      </c>
      <c r="G74" s="15">
        <v>100</v>
      </c>
      <c r="H74" s="15">
        <v>480</v>
      </c>
      <c r="I74" s="17">
        <v>3</v>
      </c>
      <c r="J74" s="1">
        <v>3</v>
      </c>
      <c r="K74" s="1">
        <v>3</v>
      </c>
    </row>
    <row r="75" spans="1:11" ht="15.75" customHeight="1" x14ac:dyDescent="0.3">
      <c r="A75" s="15" t="s">
        <v>164</v>
      </c>
      <c r="B75" s="23" t="s">
        <v>198</v>
      </c>
      <c r="C75" s="15">
        <v>75</v>
      </c>
      <c r="D75" s="18">
        <v>17.2</v>
      </c>
      <c r="E75" s="15">
        <v>28</v>
      </c>
      <c r="F75" s="15">
        <v>0</v>
      </c>
      <c r="G75" s="15">
        <v>100</v>
      </c>
      <c r="H75" s="15">
        <v>2000</v>
      </c>
      <c r="I75" s="17">
        <v>3</v>
      </c>
      <c r="J75" s="1">
        <v>2</v>
      </c>
      <c r="K75" s="1">
        <v>2</v>
      </c>
    </row>
    <row r="76" spans="1:11" s="44" customFormat="1" ht="15.75" customHeight="1" x14ac:dyDescent="0.3">
      <c r="A76" s="39" t="s">
        <v>164</v>
      </c>
      <c r="B76" s="40" t="s">
        <v>198</v>
      </c>
      <c r="C76" s="39">
        <v>93</v>
      </c>
      <c r="D76" s="42">
        <v>14.5</v>
      </c>
      <c r="E76" s="39">
        <v>28.73</v>
      </c>
      <c r="F76" s="39">
        <v>0</v>
      </c>
      <c r="G76" s="39">
        <v>100</v>
      </c>
      <c r="H76" s="39">
        <v>480</v>
      </c>
      <c r="I76" s="43">
        <v>3</v>
      </c>
      <c r="J76" s="44">
        <v>6</v>
      </c>
      <c r="K76" s="44">
        <v>9</v>
      </c>
    </row>
    <row r="77" spans="1:11" ht="15.75" customHeight="1" x14ac:dyDescent="0.3">
      <c r="A77" s="15" t="s">
        <v>164</v>
      </c>
      <c r="B77" s="23" t="s">
        <v>198</v>
      </c>
      <c r="C77" s="15">
        <v>74</v>
      </c>
      <c r="D77" s="18">
        <v>18</v>
      </c>
      <c r="E77" s="15">
        <v>28</v>
      </c>
      <c r="F77" s="15">
        <v>0</v>
      </c>
      <c r="G77" s="15">
        <v>2</v>
      </c>
      <c r="H77" s="15">
        <v>2000</v>
      </c>
      <c r="I77" s="17">
        <v>3</v>
      </c>
      <c r="J77" s="1">
        <v>2</v>
      </c>
      <c r="K77" s="1">
        <v>2</v>
      </c>
    </row>
    <row r="78" spans="1:11" ht="15.75" customHeight="1" x14ac:dyDescent="0.3">
      <c r="A78" s="15" t="s">
        <v>164</v>
      </c>
      <c r="B78" s="23" t="s">
        <v>183</v>
      </c>
      <c r="C78" s="15">
        <v>89</v>
      </c>
      <c r="D78" s="18">
        <v>7.61</v>
      </c>
      <c r="E78" s="15">
        <v>23.8</v>
      </c>
      <c r="F78" s="15">
        <v>0.75</v>
      </c>
      <c r="G78" s="15">
        <v>100</v>
      </c>
      <c r="H78" s="15">
        <v>2000</v>
      </c>
      <c r="I78" s="17">
        <v>3</v>
      </c>
      <c r="J78" s="1">
        <v>5</v>
      </c>
      <c r="K78" s="1">
        <v>10</v>
      </c>
    </row>
    <row r="79" spans="1:11" ht="15.75" customHeight="1" x14ac:dyDescent="0.3">
      <c r="A79" s="15" t="s">
        <v>164</v>
      </c>
      <c r="B79" s="23" t="s">
        <v>183</v>
      </c>
      <c r="C79" s="15">
        <v>81</v>
      </c>
      <c r="D79" s="18">
        <v>5.23</v>
      </c>
      <c r="E79" s="15">
        <v>27.03</v>
      </c>
      <c r="F79" s="15">
        <v>0</v>
      </c>
      <c r="G79" s="15">
        <v>100</v>
      </c>
      <c r="H79" s="15">
        <v>480</v>
      </c>
      <c r="I79" s="17">
        <v>3</v>
      </c>
      <c r="J79" s="1">
        <v>4</v>
      </c>
      <c r="K79" s="1">
        <v>5</v>
      </c>
    </row>
    <row r="80" spans="1:11" ht="15.75" customHeight="1" x14ac:dyDescent="0.3">
      <c r="A80" s="15" t="s">
        <v>164</v>
      </c>
      <c r="B80" s="23" t="s">
        <v>186</v>
      </c>
      <c r="C80" s="15">
        <v>86</v>
      </c>
      <c r="D80" s="18">
        <v>0.14000000000000001</v>
      </c>
      <c r="E80" s="15">
        <v>18.55</v>
      </c>
      <c r="F80" s="15">
        <v>0</v>
      </c>
      <c r="G80" s="15">
        <v>100</v>
      </c>
      <c r="H80" s="15">
        <v>2000</v>
      </c>
      <c r="I80" s="17">
        <v>6</v>
      </c>
      <c r="J80" s="1">
        <v>5</v>
      </c>
      <c r="K80" s="1">
        <v>5</v>
      </c>
    </row>
    <row r="81" spans="1:11" ht="15.75" customHeight="1" x14ac:dyDescent="0.3">
      <c r="A81" s="15" t="s">
        <v>164</v>
      </c>
      <c r="B81" s="23" t="s">
        <v>186</v>
      </c>
      <c r="C81" s="15">
        <v>87</v>
      </c>
      <c r="D81" s="18">
        <v>0.15</v>
      </c>
      <c r="E81" s="15">
        <v>15.2</v>
      </c>
      <c r="F81" s="15">
        <v>0</v>
      </c>
      <c r="G81" s="15">
        <v>100</v>
      </c>
      <c r="H81" s="15">
        <v>2000</v>
      </c>
      <c r="I81" s="17">
        <v>6</v>
      </c>
      <c r="J81" s="1">
        <v>3</v>
      </c>
      <c r="K81" s="1">
        <v>3</v>
      </c>
    </row>
    <row r="82" spans="1:11" ht="15.75" customHeight="1" x14ac:dyDescent="0.3">
      <c r="A82" s="15" t="s">
        <v>164</v>
      </c>
      <c r="B82" s="23" t="s">
        <v>186</v>
      </c>
      <c r="C82" s="15">
        <v>83</v>
      </c>
      <c r="D82" s="18">
        <v>0.20499999999999999</v>
      </c>
      <c r="E82" s="15">
        <v>24.8</v>
      </c>
      <c r="F82" s="15">
        <v>0</v>
      </c>
      <c r="G82" s="15">
        <v>100</v>
      </c>
      <c r="H82" s="15">
        <v>480</v>
      </c>
      <c r="I82" s="17">
        <v>6</v>
      </c>
      <c r="J82" s="1">
        <v>0</v>
      </c>
      <c r="K82" s="1">
        <v>0</v>
      </c>
    </row>
    <row r="83" spans="1:11" ht="15.75" customHeight="1" x14ac:dyDescent="0.3">
      <c r="A83" s="15" t="s">
        <v>168</v>
      </c>
      <c r="B83" s="15" t="s">
        <v>176</v>
      </c>
      <c r="C83" s="15">
        <v>92</v>
      </c>
      <c r="D83" s="18">
        <v>0.14000000000000001</v>
      </c>
      <c r="E83" s="15">
        <v>22.5</v>
      </c>
      <c r="F83" s="15">
        <v>0</v>
      </c>
      <c r="G83" s="15">
        <v>100</v>
      </c>
      <c r="H83" s="15">
        <v>480</v>
      </c>
      <c r="I83" s="17">
        <v>4</v>
      </c>
      <c r="J83" s="1">
        <v>6</v>
      </c>
      <c r="K83" s="1">
        <v>11</v>
      </c>
    </row>
    <row r="84" spans="1:11" ht="15.75" customHeight="1" x14ac:dyDescent="0.3">
      <c r="A84" s="15" t="s">
        <v>168</v>
      </c>
      <c r="B84" s="15" t="s">
        <v>176</v>
      </c>
      <c r="C84" s="15">
        <v>92</v>
      </c>
      <c r="D84" s="18">
        <v>0.14000000000000001</v>
      </c>
      <c r="E84" s="15">
        <v>22.5</v>
      </c>
      <c r="F84" s="15">
        <v>0</v>
      </c>
      <c r="G84" s="15">
        <v>60</v>
      </c>
      <c r="H84" s="15">
        <v>2000</v>
      </c>
      <c r="I84" s="17">
        <v>4</v>
      </c>
      <c r="J84" s="1">
        <v>1</v>
      </c>
      <c r="K84" s="1">
        <v>2</v>
      </c>
    </row>
    <row r="85" spans="1:11" ht="15.75" customHeight="1" x14ac:dyDescent="0.3">
      <c r="A85" s="15" t="s">
        <v>168</v>
      </c>
      <c r="B85" s="15" t="s">
        <v>177</v>
      </c>
      <c r="C85" s="15">
        <v>97</v>
      </c>
      <c r="D85" s="18">
        <v>4.5999999999999996</v>
      </c>
      <c r="E85" s="15">
        <v>24.3</v>
      </c>
      <c r="F85" s="15">
        <v>0</v>
      </c>
      <c r="G85" s="15">
        <v>100</v>
      </c>
      <c r="H85" s="15">
        <v>480</v>
      </c>
      <c r="I85" s="17">
        <v>3</v>
      </c>
      <c r="J85" s="1">
        <v>17</v>
      </c>
      <c r="K85" s="1">
        <v>24</v>
      </c>
    </row>
    <row r="86" spans="1:11" ht="15.75" customHeight="1" x14ac:dyDescent="0.3">
      <c r="A86" s="15" t="s">
        <v>168</v>
      </c>
      <c r="B86" s="15" t="s">
        <v>200</v>
      </c>
      <c r="C86" s="15">
        <v>99</v>
      </c>
      <c r="D86" s="18">
        <v>24.2</v>
      </c>
      <c r="E86" s="15">
        <v>26.1</v>
      </c>
      <c r="F86" s="15">
        <v>0</v>
      </c>
      <c r="G86" s="15">
        <v>60</v>
      </c>
      <c r="H86" s="15">
        <v>2000</v>
      </c>
      <c r="I86" s="17">
        <v>5</v>
      </c>
      <c r="J86" s="1">
        <v>1</v>
      </c>
      <c r="K86" s="1">
        <v>1</v>
      </c>
    </row>
    <row r="87" spans="1:11" ht="15.75" customHeight="1" x14ac:dyDescent="0.3">
      <c r="A87" s="15" t="s">
        <v>168</v>
      </c>
      <c r="B87" s="15" t="s">
        <v>200</v>
      </c>
      <c r="C87" s="15">
        <v>99</v>
      </c>
      <c r="D87" s="18">
        <v>24.2</v>
      </c>
      <c r="E87" s="15">
        <v>26.1</v>
      </c>
      <c r="F87" s="15">
        <v>0</v>
      </c>
      <c r="G87" s="15">
        <v>35</v>
      </c>
      <c r="H87" s="15">
        <v>480</v>
      </c>
      <c r="I87" s="17">
        <v>5</v>
      </c>
      <c r="J87" s="1">
        <v>11</v>
      </c>
      <c r="K87" s="1">
        <v>11</v>
      </c>
    </row>
    <row r="88" spans="1:11" ht="15.75" customHeight="1" x14ac:dyDescent="0.3">
      <c r="A88" s="15" t="s">
        <v>168</v>
      </c>
      <c r="B88" s="15" t="s">
        <v>200</v>
      </c>
      <c r="C88" s="15">
        <v>84</v>
      </c>
      <c r="D88" s="18">
        <v>0.17</v>
      </c>
      <c r="E88" s="15">
        <v>24</v>
      </c>
      <c r="F88" s="15">
        <v>0</v>
      </c>
      <c r="G88" s="15">
        <v>100</v>
      </c>
      <c r="H88" s="15">
        <v>2000</v>
      </c>
      <c r="I88" s="17">
        <v>5</v>
      </c>
      <c r="J88" s="1">
        <v>2</v>
      </c>
      <c r="K88" s="1">
        <v>2</v>
      </c>
    </row>
    <row r="89" spans="1:11" ht="15.75" customHeight="1" x14ac:dyDescent="0.3">
      <c r="A89" s="15" t="s">
        <v>168</v>
      </c>
      <c r="B89" s="15" t="s">
        <v>180</v>
      </c>
      <c r="C89" s="15">
        <v>97</v>
      </c>
      <c r="D89" s="18">
        <v>1.08</v>
      </c>
      <c r="E89" s="15">
        <v>25.4</v>
      </c>
      <c r="F89" s="15">
        <v>0</v>
      </c>
      <c r="G89" s="15">
        <v>100</v>
      </c>
      <c r="H89" s="15">
        <v>2000</v>
      </c>
      <c r="I89" s="17">
        <v>5</v>
      </c>
      <c r="J89" s="1">
        <v>6</v>
      </c>
      <c r="K89" s="1">
        <v>8</v>
      </c>
    </row>
    <row r="90" spans="1:11" ht="15.75" customHeight="1" x14ac:dyDescent="0.3">
      <c r="A90" s="15" t="s">
        <v>168</v>
      </c>
      <c r="B90" s="15" t="s">
        <v>180</v>
      </c>
      <c r="C90" s="15">
        <v>97</v>
      </c>
      <c r="D90" s="18">
        <v>1.08</v>
      </c>
      <c r="E90" s="15">
        <v>25.4</v>
      </c>
      <c r="F90" s="15">
        <v>0</v>
      </c>
      <c r="G90" s="15">
        <v>65</v>
      </c>
      <c r="H90" s="15">
        <v>480</v>
      </c>
      <c r="I90" s="17">
        <v>5</v>
      </c>
      <c r="J90" s="1">
        <v>9</v>
      </c>
      <c r="K90" s="1">
        <v>9</v>
      </c>
    </row>
    <row r="91" spans="1:11" ht="15.75" customHeight="1" x14ac:dyDescent="0.3">
      <c r="A91" s="15" t="s">
        <v>168</v>
      </c>
      <c r="B91" s="1" t="s">
        <v>180</v>
      </c>
      <c r="C91" s="1">
        <v>80</v>
      </c>
      <c r="D91" s="46">
        <v>0.04</v>
      </c>
      <c r="E91" s="1">
        <v>25.3</v>
      </c>
      <c r="F91" s="1">
        <v>0</v>
      </c>
      <c r="G91" s="1">
        <v>100</v>
      </c>
      <c r="H91" s="15">
        <v>2000</v>
      </c>
      <c r="I91" s="2">
        <v>5</v>
      </c>
      <c r="J91" s="1">
        <v>0</v>
      </c>
      <c r="K91" s="1">
        <v>0</v>
      </c>
    </row>
    <row r="92" spans="1:11" ht="15.75" customHeight="1" x14ac:dyDescent="0.3">
      <c r="A92" s="15" t="s">
        <v>168</v>
      </c>
      <c r="B92" s="1" t="s">
        <v>181</v>
      </c>
      <c r="C92" s="1">
        <v>87</v>
      </c>
      <c r="D92" s="46">
        <v>9.8000000000000007</v>
      </c>
      <c r="E92" s="1">
        <v>34.5</v>
      </c>
      <c r="F92" s="1">
        <v>0</v>
      </c>
      <c r="G92" s="1">
        <v>90</v>
      </c>
      <c r="H92" s="1">
        <v>2000</v>
      </c>
      <c r="I92" s="2">
        <v>3</v>
      </c>
      <c r="J92" s="1">
        <v>4</v>
      </c>
      <c r="K92" s="1">
        <v>4</v>
      </c>
    </row>
    <row r="93" spans="1:11" ht="15.75" customHeight="1" x14ac:dyDescent="0.3">
      <c r="A93" s="15" t="s">
        <v>168</v>
      </c>
      <c r="B93" s="1" t="s">
        <v>181</v>
      </c>
      <c r="C93" s="1">
        <v>87</v>
      </c>
      <c r="D93" s="46">
        <v>9.8000000000000007</v>
      </c>
      <c r="E93" s="1">
        <v>34.5</v>
      </c>
      <c r="F93" s="1">
        <v>0</v>
      </c>
      <c r="G93" s="1">
        <v>0</v>
      </c>
      <c r="H93" s="1">
        <v>480</v>
      </c>
      <c r="I93" s="2">
        <v>3</v>
      </c>
      <c r="J93" s="1">
        <v>3</v>
      </c>
      <c r="K93" s="1">
        <v>3</v>
      </c>
    </row>
    <row r="94" spans="1:11" ht="15.75" customHeight="1" x14ac:dyDescent="0.3">
      <c r="A94" s="15" t="s">
        <v>168</v>
      </c>
      <c r="B94" s="1" t="s">
        <v>181</v>
      </c>
      <c r="C94" s="1">
        <v>80</v>
      </c>
      <c r="D94" s="46">
        <v>1.5</v>
      </c>
      <c r="E94" s="1">
        <v>26.9</v>
      </c>
      <c r="F94" s="1">
        <v>0</v>
      </c>
      <c r="G94" s="1">
        <v>100</v>
      </c>
      <c r="H94" s="1">
        <v>2000</v>
      </c>
      <c r="I94" s="2">
        <v>3</v>
      </c>
      <c r="J94" s="1">
        <v>3</v>
      </c>
      <c r="K94" s="1">
        <v>4</v>
      </c>
    </row>
    <row r="95" spans="1:11" ht="15.75" customHeight="1" x14ac:dyDescent="0.3">
      <c r="A95" s="15" t="s">
        <v>168</v>
      </c>
      <c r="B95" s="1" t="s">
        <v>198</v>
      </c>
      <c r="C95" s="1">
        <v>81</v>
      </c>
      <c r="D95" s="46">
        <v>36.6</v>
      </c>
      <c r="E95" s="1">
        <v>31.4</v>
      </c>
      <c r="F95" s="1">
        <v>0.8</v>
      </c>
      <c r="G95" s="1">
        <v>96</v>
      </c>
      <c r="H95" s="1">
        <v>480</v>
      </c>
      <c r="I95" s="2">
        <v>3</v>
      </c>
      <c r="J95" s="1">
        <v>7</v>
      </c>
      <c r="K95" s="1">
        <v>7</v>
      </c>
    </row>
    <row r="96" spans="1:11" ht="15.75" customHeight="1" x14ac:dyDescent="0.3">
      <c r="A96" s="15" t="s">
        <v>168</v>
      </c>
      <c r="B96" s="1" t="s">
        <v>198</v>
      </c>
      <c r="C96" s="1">
        <v>79</v>
      </c>
      <c r="D96" s="46">
        <v>13.35</v>
      </c>
      <c r="E96" s="1">
        <v>29.2</v>
      </c>
      <c r="F96" s="1">
        <v>0</v>
      </c>
      <c r="G96" s="1">
        <v>100</v>
      </c>
      <c r="H96" s="1">
        <v>2000</v>
      </c>
      <c r="I96" s="2">
        <v>3</v>
      </c>
      <c r="J96" s="1">
        <v>2</v>
      </c>
      <c r="K96" s="1">
        <v>2</v>
      </c>
    </row>
    <row r="97" spans="1:11" ht="15.75" customHeight="1" x14ac:dyDescent="0.3">
      <c r="A97" s="15" t="s">
        <v>168</v>
      </c>
      <c r="B97" s="1" t="s">
        <v>183</v>
      </c>
      <c r="C97" s="1">
        <v>89</v>
      </c>
      <c r="D97" s="46">
        <v>1.1000000000000001</v>
      </c>
      <c r="E97" s="1">
        <v>22.3</v>
      </c>
      <c r="F97" s="1">
        <v>0</v>
      </c>
      <c r="G97" s="1">
        <v>2</v>
      </c>
      <c r="H97" s="1">
        <v>2000</v>
      </c>
      <c r="I97" s="2">
        <v>3</v>
      </c>
      <c r="J97" s="1">
        <v>7</v>
      </c>
      <c r="K97" s="1">
        <v>10</v>
      </c>
    </row>
    <row r="98" spans="1:11" ht="15.75" customHeight="1" x14ac:dyDescent="0.3">
      <c r="A98" s="15" t="s">
        <v>168</v>
      </c>
      <c r="B98" s="1" t="s">
        <v>183</v>
      </c>
      <c r="C98" s="1">
        <v>89</v>
      </c>
      <c r="D98" s="46">
        <v>1</v>
      </c>
      <c r="E98" s="1">
        <v>22.2</v>
      </c>
      <c r="F98" s="1">
        <v>0</v>
      </c>
      <c r="G98" s="1">
        <v>100</v>
      </c>
      <c r="H98" s="1">
        <v>1420</v>
      </c>
      <c r="I98" s="2">
        <v>3</v>
      </c>
      <c r="J98" s="1">
        <v>4</v>
      </c>
      <c r="K98" s="1">
        <v>4</v>
      </c>
    </row>
    <row r="99" spans="1:11" ht="15.75" customHeight="1" x14ac:dyDescent="0.3">
      <c r="A99" s="15" t="s">
        <v>168</v>
      </c>
      <c r="B99" s="1" t="s">
        <v>183</v>
      </c>
      <c r="C99" s="1">
        <v>72</v>
      </c>
      <c r="D99" s="1">
        <v>0.75</v>
      </c>
      <c r="E99" s="1">
        <v>25</v>
      </c>
      <c r="F99" s="1">
        <v>0.9</v>
      </c>
      <c r="G99" s="1">
        <v>100</v>
      </c>
      <c r="H99" s="1">
        <v>2000</v>
      </c>
      <c r="I99" s="2">
        <v>3</v>
      </c>
      <c r="J99" s="1">
        <v>2</v>
      </c>
      <c r="K99" s="1">
        <v>3</v>
      </c>
    </row>
    <row r="100" spans="1:11" ht="15.75" customHeight="1" x14ac:dyDescent="0.3">
      <c r="A100" s="15" t="s">
        <v>168</v>
      </c>
      <c r="B100" s="1" t="s">
        <v>186</v>
      </c>
      <c r="C100" s="1">
        <v>76</v>
      </c>
      <c r="D100" s="46">
        <v>1.53</v>
      </c>
      <c r="E100" s="1">
        <v>25.4</v>
      </c>
      <c r="F100" s="1">
        <v>0</v>
      </c>
      <c r="G100" s="1">
        <v>100</v>
      </c>
      <c r="H100" s="1">
        <v>1420</v>
      </c>
      <c r="I100" s="2">
        <v>6</v>
      </c>
      <c r="J100" s="1">
        <v>4</v>
      </c>
      <c r="K100" s="1">
        <v>5</v>
      </c>
    </row>
    <row r="101" spans="1:11" ht="15.75" customHeight="1" x14ac:dyDescent="0.3">
      <c r="A101" s="1" t="s">
        <v>172</v>
      </c>
      <c r="B101" s="1" t="s">
        <v>176</v>
      </c>
      <c r="C101" s="1">
        <v>81</v>
      </c>
      <c r="D101" s="46">
        <v>1.6</v>
      </c>
      <c r="E101" s="1">
        <v>26.5</v>
      </c>
      <c r="F101" s="1">
        <v>0</v>
      </c>
      <c r="G101" s="1">
        <v>30</v>
      </c>
      <c r="H101" s="1">
        <v>2000</v>
      </c>
      <c r="I101" s="2">
        <v>4</v>
      </c>
      <c r="J101" s="1">
        <v>12</v>
      </c>
      <c r="K101" s="1">
        <v>18</v>
      </c>
    </row>
    <row r="102" spans="1:11" ht="15.75" customHeight="1" x14ac:dyDescent="0.3">
      <c r="A102" s="1" t="s">
        <v>172</v>
      </c>
      <c r="B102" s="1" t="s">
        <v>177</v>
      </c>
      <c r="C102" s="1">
        <v>96</v>
      </c>
      <c r="D102" s="46">
        <v>1.1299999999999999</v>
      </c>
      <c r="E102" s="1">
        <v>26.4</v>
      </c>
      <c r="F102" s="1">
        <v>0</v>
      </c>
      <c r="G102" s="1">
        <v>100</v>
      </c>
      <c r="H102" s="1">
        <v>2000</v>
      </c>
      <c r="I102" s="2">
        <v>3</v>
      </c>
      <c r="J102" s="1">
        <v>5</v>
      </c>
      <c r="K102" s="1">
        <v>5</v>
      </c>
    </row>
    <row r="103" spans="1:11" ht="15.75" customHeight="1" x14ac:dyDescent="0.3">
      <c r="A103" s="1" t="s">
        <v>172</v>
      </c>
      <c r="B103" s="1" t="s">
        <v>200</v>
      </c>
      <c r="C103" s="1">
        <v>99</v>
      </c>
      <c r="D103" s="46">
        <v>0.28000000000000003</v>
      </c>
      <c r="E103" s="1">
        <v>23.5</v>
      </c>
      <c r="F103" s="1">
        <v>0</v>
      </c>
      <c r="G103" s="1">
        <v>100</v>
      </c>
      <c r="H103" s="1">
        <v>650</v>
      </c>
      <c r="I103" s="2">
        <v>5</v>
      </c>
      <c r="J103" s="1">
        <v>7</v>
      </c>
      <c r="K103" s="1">
        <v>10</v>
      </c>
    </row>
    <row r="104" spans="1:11" ht="15.75" customHeight="1" x14ac:dyDescent="0.3">
      <c r="A104" s="1" t="s">
        <v>172</v>
      </c>
      <c r="B104" s="1" t="s">
        <v>180</v>
      </c>
      <c r="C104" s="1">
        <v>96</v>
      </c>
      <c r="D104" s="46">
        <v>0.64</v>
      </c>
      <c r="E104" s="1">
        <v>24.9</v>
      </c>
      <c r="F104" s="1">
        <v>0</v>
      </c>
      <c r="G104" s="1">
        <v>100</v>
      </c>
      <c r="H104" s="1">
        <v>650</v>
      </c>
      <c r="I104" s="2">
        <v>5</v>
      </c>
      <c r="J104" s="1">
        <v>9</v>
      </c>
      <c r="K104" s="1">
        <v>9</v>
      </c>
    </row>
    <row r="105" spans="1:11" ht="15.75" customHeight="1" x14ac:dyDescent="0.3">
      <c r="A105" s="1" t="s">
        <v>172</v>
      </c>
      <c r="B105" s="1" t="s">
        <v>181</v>
      </c>
      <c r="C105" s="1">
        <v>98</v>
      </c>
      <c r="D105" s="46">
        <v>2.2799999999999998</v>
      </c>
      <c r="E105" s="1">
        <v>23.7</v>
      </c>
      <c r="F105" s="1">
        <v>0</v>
      </c>
      <c r="G105" s="1">
        <v>100</v>
      </c>
      <c r="H105" s="1">
        <v>650</v>
      </c>
      <c r="I105" s="2">
        <v>3</v>
      </c>
      <c r="J105" s="1">
        <v>4</v>
      </c>
      <c r="K105" s="1">
        <v>4</v>
      </c>
    </row>
    <row r="106" spans="1:11" ht="15.75" customHeight="1" x14ac:dyDescent="0.3">
      <c r="A106" s="1" t="s">
        <v>172</v>
      </c>
      <c r="B106" s="1" t="s">
        <v>198</v>
      </c>
      <c r="C106" s="1">
        <v>99</v>
      </c>
      <c r="D106" s="46">
        <v>7.2350000000000003</v>
      </c>
      <c r="E106" s="1">
        <v>24.6</v>
      </c>
      <c r="F106" s="1">
        <v>1.4</v>
      </c>
      <c r="G106" s="1">
        <v>100</v>
      </c>
      <c r="H106" s="1">
        <v>650</v>
      </c>
      <c r="I106" s="2">
        <v>3</v>
      </c>
      <c r="J106" s="1">
        <v>10</v>
      </c>
      <c r="K106" s="1">
        <v>16</v>
      </c>
    </row>
    <row r="107" spans="1:11" ht="15.75" customHeight="1" x14ac:dyDescent="0.3">
      <c r="A107" s="1" t="s">
        <v>172</v>
      </c>
      <c r="B107" s="1" t="s">
        <v>183</v>
      </c>
      <c r="C107" s="1">
        <v>84</v>
      </c>
      <c r="D107" s="46">
        <v>0.5</v>
      </c>
      <c r="E107" s="1">
        <v>25.9</v>
      </c>
      <c r="F107" s="1">
        <v>0</v>
      </c>
      <c r="G107" s="1">
        <v>100</v>
      </c>
      <c r="H107" s="1">
        <v>2000</v>
      </c>
      <c r="I107" s="2">
        <v>3</v>
      </c>
      <c r="J107" s="1">
        <v>4</v>
      </c>
      <c r="K107" s="1">
        <v>4</v>
      </c>
    </row>
    <row r="108" spans="1:11" ht="15.75" customHeight="1" x14ac:dyDescent="0.3">
      <c r="A108" s="1" t="s">
        <v>172</v>
      </c>
      <c r="B108" s="1" t="s">
        <v>186</v>
      </c>
      <c r="C108" s="1">
        <v>83</v>
      </c>
      <c r="D108" s="46">
        <v>1.1299999999999999</v>
      </c>
      <c r="E108" s="1">
        <v>25.5</v>
      </c>
      <c r="F108" s="1">
        <v>0</v>
      </c>
      <c r="G108" s="1">
        <v>100</v>
      </c>
      <c r="H108" s="1">
        <v>2000</v>
      </c>
      <c r="I108" s="2">
        <v>6</v>
      </c>
      <c r="J108" s="1">
        <v>9</v>
      </c>
      <c r="K108" s="1">
        <v>19</v>
      </c>
    </row>
    <row r="109" spans="1:11" ht="15.75" customHeight="1" x14ac:dyDescent="0.3">
      <c r="D109" s="46"/>
    </row>
    <row r="110" spans="1:11" ht="15.75" customHeight="1" x14ac:dyDescent="0.3">
      <c r="D110" s="46"/>
    </row>
    <row r="111" spans="1:11" ht="15.75" customHeight="1" x14ac:dyDescent="0.3">
      <c r="D111" s="46"/>
    </row>
    <row r="112" spans="1:11" ht="15.75" customHeight="1" x14ac:dyDescent="0.3">
      <c r="D112" s="46"/>
    </row>
    <row r="113" spans="4:4" ht="15.75" customHeight="1" x14ac:dyDescent="0.3">
      <c r="D113" s="46"/>
    </row>
    <row r="114" spans="4:4" ht="15.75" customHeight="1" x14ac:dyDescent="0.3">
      <c r="D114" s="46"/>
    </row>
    <row r="115" spans="4:4" ht="15.75" customHeight="1" x14ac:dyDescent="0.3">
      <c r="D115" s="46"/>
    </row>
    <row r="116" spans="4:4" ht="15.75" customHeight="1" x14ac:dyDescent="0.3">
      <c r="D116" s="46"/>
    </row>
    <row r="117" spans="4:4" ht="15.75" customHeight="1" x14ac:dyDescent="0.3">
      <c r="D117" s="46"/>
    </row>
    <row r="118" spans="4:4" ht="15.75" customHeight="1" x14ac:dyDescent="0.3">
      <c r="D118" s="46"/>
    </row>
    <row r="119" spans="4:4" ht="15.75" customHeight="1" x14ac:dyDescent="0.3">
      <c r="D119" s="46"/>
    </row>
    <row r="120" spans="4:4" ht="15.75" customHeight="1" x14ac:dyDescent="0.3">
      <c r="D120" s="46"/>
    </row>
    <row r="121" spans="4:4" ht="15.75" customHeight="1" x14ac:dyDescent="0.3">
      <c r="D121" s="46"/>
    </row>
    <row r="122" spans="4:4" ht="15.75" customHeight="1" x14ac:dyDescent="0.3">
      <c r="D122" s="46"/>
    </row>
    <row r="123" spans="4:4" ht="15.75" customHeight="1" x14ac:dyDescent="0.3">
      <c r="D123" s="46"/>
    </row>
    <row r="124" spans="4:4" ht="15.75" customHeight="1" x14ac:dyDescent="0.3">
      <c r="D124" s="46"/>
    </row>
    <row r="125" spans="4:4" ht="15.75" customHeight="1" x14ac:dyDescent="0.3">
      <c r="D125" s="46"/>
    </row>
    <row r="126" spans="4:4" ht="15.75" customHeight="1" x14ac:dyDescent="0.3">
      <c r="D126" s="46"/>
    </row>
    <row r="127" spans="4:4" ht="15.75" customHeight="1" x14ac:dyDescent="0.3">
      <c r="D127" s="46"/>
    </row>
    <row r="128" spans="4:4" ht="15.75" customHeight="1" x14ac:dyDescent="0.3">
      <c r="D128" s="46"/>
    </row>
    <row r="129" spans="4:4" ht="15.75" customHeight="1" x14ac:dyDescent="0.3">
      <c r="D129" s="46"/>
    </row>
    <row r="130" spans="4:4" ht="15.75" customHeight="1" x14ac:dyDescent="0.3">
      <c r="D130" s="46"/>
    </row>
    <row r="131" spans="4:4" ht="15.75" customHeight="1" x14ac:dyDescent="0.3">
      <c r="D131" s="46"/>
    </row>
    <row r="132" spans="4:4" ht="15.75" customHeight="1" x14ac:dyDescent="0.3">
      <c r="D132" s="46"/>
    </row>
    <row r="133" spans="4:4" ht="15.75" customHeight="1" x14ac:dyDescent="0.3">
      <c r="D133" s="46"/>
    </row>
    <row r="134" spans="4:4" ht="15.75" customHeight="1" x14ac:dyDescent="0.3">
      <c r="D134" s="46"/>
    </row>
    <row r="135" spans="4:4" ht="15.75" customHeight="1" x14ac:dyDescent="0.3">
      <c r="D135" s="46"/>
    </row>
    <row r="136" spans="4:4" ht="15.75" customHeight="1" x14ac:dyDescent="0.3">
      <c r="D136" s="46"/>
    </row>
    <row r="137" spans="4:4" ht="15.75" customHeight="1" x14ac:dyDescent="0.3">
      <c r="D137" s="46"/>
    </row>
    <row r="138" spans="4:4" ht="15.75" customHeight="1" x14ac:dyDescent="0.3">
      <c r="D138" s="46"/>
    </row>
    <row r="139" spans="4:4" ht="15.75" customHeight="1" x14ac:dyDescent="0.3">
      <c r="D139" s="46"/>
    </row>
    <row r="140" spans="4:4" ht="15.75" customHeight="1" x14ac:dyDescent="0.3">
      <c r="D140" s="46"/>
    </row>
    <row r="141" spans="4:4" ht="15.75" customHeight="1" x14ac:dyDescent="0.3">
      <c r="D141" s="46"/>
    </row>
    <row r="142" spans="4:4" ht="15.75" customHeight="1" x14ac:dyDescent="0.3">
      <c r="D142" s="46"/>
    </row>
    <row r="143" spans="4:4" ht="15.75" customHeight="1" x14ac:dyDescent="0.3">
      <c r="D143" s="46"/>
    </row>
    <row r="144" spans="4:4" ht="15.75" customHeight="1" x14ac:dyDescent="0.3">
      <c r="D144" s="46"/>
    </row>
    <row r="145" spans="4:4" ht="15.75" customHeight="1" x14ac:dyDescent="0.3">
      <c r="D145" s="46"/>
    </row>
    <row r="146" spans="4:4" ht="15.75" customHeight="1" x14ac:dyDescent="0.3">
      <c r="D146" s="46"/>
    </row>
    <row r="147" spans="4:4" ht="15.75" customHeight="1" x14ac:dyDescent="0.3">
      <c r="D147" s="46"/>
    </row>
    <row r="148" spans="4:4" ht="15.75" customHeight="1" x14ac:dyDescent="0.3">
      <c r="D148" s="46"/>
    </row>
    <row r="149" spans="4:4" ht="15.75" customHeight="1" x14ac:dyDescent="0.3">
      <c r="D149" s="46"/>
    </row>
    <row r="150" spans="4:4" ht="15.75" customHeight="1" x14ac:dyDescent="0.3">
      <c r="D150" s="46"/>
    </row>
    <row r="151" spans="4:4" ht="15.75" customHeight="1" x14ac:dyDescent="0.3">
      <c r="D151" s="46"/>
    </row>
    <row r="152" spans="4:4" ht="15.75" customHeight="1" x14ac:dyDescent="0.3">
      <c r="D152" s="46"/>
    </row>
    <row r="153" spans="4:4" ht="15.75" customHeight="1" x14ac:dyDescent="0.3">
      <c r="D153" s="46"/>
    </row>
    <row r="154" spans="4:4" ht="15.75" customHeight="1" x14ac:dyDescent="0.3">
      <c r="D154" s="46"/>
    </row>
    <row r="155" spans="4:4" ht="15.75" customHeight="1" x14ac:dyDescent="0.3">
      <c r="D155" s="46"/>
    </row>
    <row r="156" spans="4:4" ht="15.75" customHeight="1" x14ac:dyDescent="0.3">
      <c r="D156" s="46"/>
    </row>
    <row r="157" spans="4:4" ht="15.75" customHeight="1" x14ac:dyDescent="0.3">
      <c r="D157" s="46"/>
    </row>
    <row r="158" spans="4:4" ht="15.75" customHeight="1" x14ac:dyDescent="0.3">
      <c r="D158" s="46"/>
    </row>
    <row r="159" spans="4:4" ht="15.75" customHeight="1" x14ac:dyDescent="0.3">
      <c r="D159" s="46"/>
    </row>
    <row r="160" spans="4:4" ht="15.75" customHeight="1" x14ac:dyDescent="0.3">
      <c r="D160" s="46"/>
    </row>
    <row r="161" spans="4:4" ht="15.75" customHeight="1" x14ac:dyDescent="0.3">
      <c r="D161" s="46"/>
    </row>
    <row r="162" spans="4:4" ht="15.75" customHeight="1" x14ac:dyDescent="0.3">
      <c r="D162" s="46"/>
    </row>
    <row r="163" spans="4:4" ht="15.75" customHeight="1" x14ac:dyDescent="0.3">
      <c r="D163" s="46"/>
    </row>
    <row r="164" spans="4:4" ht="15.75" customHeight="1" x14ac:dyDescent="0.3">
      <c r="D164" s="46"/>
    </row>
    <row r="165" spans="4:4" ht="15.75" customHeight="1" x14ac:dyDescent="0.3">
      <c r="D165" s="46"/>
    </row>
    <row r="166" spans="4:4" ht="15.75" customHeight="1" x14ac:dyDescent="0.3">
      <c r="D166" s="46"/>
    </row>
    <row r="167" spans="4:4" ht="15.75" customHeight="1" x14ac:dyDescent="0.3">
      <c r="D167" s="46"/>
    </row>
    <row r="168" spans="4:4" ht="15.75" customHeight="1" x14ac:dyDescent="0.3">
      <c r="D168" s="46"/>
    </row>
    <row r="169" spans="4:4" ht="15.75" customHeight="1" x14ac:dyDescent="0.3">
      <c r="D169" s="46"/>
    </row>
    <row r="170" spans="4:4" ht="15.75" customHeight="1" x14ac:dyDescent="0.3">
      <c r="D170" s="46"/>
    </row>
    <row r="171" spans="4:4" ht="15.75" customHeight="1" x14ac:dyDescent="0.3">
      <c r="D171" s="46"/>
    </row>
    <row r="172" spans="4:4" ht="15.75" customHeight="1" x14ac:dyDescent="0.3">
      <c r="D172" s="46"/>
    </row>
    <row r="173" spans="4:4" ht="15.75" customHeight="1" x14ac:dyDescent="0.3">
      <c r="D173" s="46"/>
    </row>
    <row r="174" spans="4:4" ht="15.75" customHeight="1" x14ac:dyDescent="0.3">
      <c r="D174" s="46"/>
    </row>
    <row r="175" spans="4:4" ht="15.75" customHeight="1" x14ac:dyDescent="0.3">
      <c r="D175" s="46"/>
    </row>
    <row r="176" spans="4:4" ht="15.75" customHeight="1" x14ac:dyDescent="0.3">
      <c r="D176" s="46"/>
    </row>
    <row r="177" spans="4:4" ht="15.75" customHeight="1" x14ac:dyDescent="0.3">
      <c r="D177" s="46"/>
    </row>
    <row r="178" spans="4:4" ht="15.75" customHeight="1" x14ac:dyDescent="0.3">
      <c r="D178" s="46"/>
    </row>
    <row r="179" spans="4:4" ht="15.75" customHeight="1" x14ac:dyDescent="0.3">
      <c r="D179" s="46"/>
    </row>
    <row r="180" spans="4:4" ht="15.75" customHeight="1" x14ac:dyDescent="0.3">
      <c r="D180" s="46"/>
    </row>
    <row r="181" spans="4:4" ht="15.75" customHeight="1" x14ac:dyDescent="0.3"/>
    <row r="182" spans="4:4" ht="15.75" customHeight="1" x14ac:dyDescent="0.3"/>
    <row r="183" spans="4:4" ht="15.75" customHeight="1" x14ac:dyDescent="0.3"/>
    <row r="184" spans="4:4" ht="15.75" customHeight="1" x14ac:dyDescent="0.3"/>
    <row r="185" spans="4:4" ht="15.75" customHeight="1" x14ac:dyDescent="0.3"/>
    <row r="186" spans="4:4" ht="15.75" customHeight="1" x14ac:dyDescent="0.3"/>
    <row r="187" spans="4:4" ht="15.75" customHeight="1" x14ac:dyDescent="0.3"/>
    <row r="188" spans="4:4" ht="15.75" customHeight="1" x14ac:dyDescent="0.3"/>
    <row r="189" spans="4:4" ht="15.75" customHeight="1" x14ac:dyDescent="0.3"/>
    <row r="190" spans="4:4" ht="15.75" customHeight="1" x14ac:dyDescent="0.3"/>
    <row r="191" spans="4:4" ht="15.75" customHeight="1" x14ac:dyDescent="0.3"/>
    <row r="192" spans="4:4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Sheet1</vt:lpstr>
      <vt:lpstr>Sheet2</vt:lpstr>
      <vt:lpstr>Sheet3</vt:lpstr>
      <vt:lpstr>Sheet4</vt:lpstr>
      <vt:lpstr>Sheet5</vt:lpstr>
      <vt:lpstr>Sheet1_1</vt:lpstr>
      <vt:lpstr>Sheet2_2</vt:lpstr>
      <vt:lpstr>Sheet3_3</vt:lpstr>
      <vt:lpstr>Sheet4_4</vt:lpstr>
      <vt:lpstr>Sheet5_5</vt:lpstr>
      <vt:lpstr>Sheet6_6</vt:lpstr>
      <vt:lpstr>Sheet7_7</vt:lpstr>
      <vt:lpstr>Sheet8</vt:lpstr>
      <vt:lpstr>Sheet9</vt:lpstr>
      <vt:lpstr>Sheet10</vt:lpstr>
      <vt:lpstr>Sheet11</vt:lpstr>
      <vt:lpstr>Sheet12</vt:lpstr>
      <vt:lpstr>Sheet13</vt:lpstr>
      <vt:lpstr>Sheet14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Pavanthi Sudasinghe</cp:lastModifiedBy>
  <dcterms:created xsi:type="dcterms:W3CDTF">2023-12-29T17:00:07Z</dcterms:created>
  <dcterms:modified xsi:type="dcterms:W3CDTF">2024-01-18T17:16:21Z</dcterms:modified>
</cp:coreProperties>
</file>