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pavan\Downloads\"/>
    </mc:Choice>
  </mc:AlternateContent>
  <xr:revisionPtr revIDLastSave="0" documentId="13_ncr:1_{0C09A4F5-A519-4263-88BA-D46D2FA2068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2" sheetId="2" r:id="rId1"/>
    <sheet name="Sheet3" sheetId="3" r:id="rId2"/>
    <sheet name="Sheet4" sheetId="4" r:id="rId3"/>
    <sheet name="Sheet1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4" i="4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<sst xmlns="http://schemas.openxmlformats.org/spreadsheetml/2006/main" count="184" uniqueCount="51">
  <si>
    <t>Month</t>
  </si>
  <si>
    <t>Date</t>
  </si>
  <si>
    <t>Max</t>
  </si>
  <si>
    <t>Min</t>
  </si>
  <si>
    <t>Rainfall</t>
  </si>
  <si>
    <t>Max Tem</t>
  </si>
  <si>
    <t>Min Tem</t>
  </si>
  <si>
    <t>Mean Tem</t>
  </si>
  <si>
    <t>Sep</t>
  </si>
  <si>
    <t>17/09/2022</t>
  </si>
  <si>
    <t>Oct</t>
  </si>
  <si>
    <t>22/10/2022</t>
  </si>
  <si>
    <t>Nov</t>
  </si>
  <si>
    <t>13/11/2022</t>
  </si>
  <si>
    <t>16/11/2022</t>
  </si>
  <si>
    <t>19/11/2022</t>
  </si>
  <si>
    <t>25/11/2022</t>
  </si>
  <si>
    <t>26/11/2022</t>
  </si>
  <si>
    <t>27/11/2022</t>
  </si>
  <si>
    <t>Dec</t>
  </si>
  <si>
    <t>21/12/2022</t>
  </si>
  <si>
    <t>22/12/2022</t>
  </si>
  <si>
    <t>23/12/2022</t>
  </si>
  <si>
    <t>24/12/2022</t>
  </si>
  <si>
    <t>Jan</t>
  </si>
  <si>
    <t>14/1/2023</t>
  </si>
  <si>
    <t>15/1/2023</t>
  </si>
  <si>
    <t>16/1/2023</t>
  </si>
  <si>
    <t>21/1/2023</t>
  </si>
  <si>
    <t>22/1/2023</t>
  </si>
  <si>
    <t>Feb</t>
  </si>
  <si>
    <t>17/2/2023</t>
  </si>
  <si>
    <t>18/2/2023</t>
  </si>
  <si>
    <t>March</t>
  </si>
  <si>
    <t>13/3/2023</t>
  </si>
  <si>
    <t>15/3/2023</t>
  </si>
  <si>
    <t>16/3/2023</t>
  </si>
  <si>
    <t>April</t>
  </si>
  <si>
    <t>Sampling_Session</t>
  </si>
  <si>
    <t>Date of the year starting from Aug 1st</t>
  </si>
  <si>
    <t>Average_Humidity</t>
  </si>
  <si>
    <t>Average_Light_intensity</t>
  </si>
  <si>
    <t>Average_Temperature</t>
  </si>
  <si>
    <t>Average_Wind_speed</t>
  </si>
  <si>
    <t>Cloudline</t>
  </si>
  <si>
    <t>Distance</t>
  </si>
  <si>
    <t>Habitat_type</t>
  </si>
  <si>
    <t>Species_richness</t>
  </si>
  <si>
    <t>Abundance</t>
  </si>
  <si>
    <t>rain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</si>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</sst>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4E4E8"/>
        <bgColor rgb="FFB4E4E8"/>
      </patternFill>
    </fill>
    <fill>
      <patternFill patternType="solid">
        <fgColor theme="9" tint="0.59999389629810485"/>
        <bgColor rgb="FFB4E4E8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14" fontId="1" fillId="3" borderId="1" xfId="0" applyNumberFormat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/>
    <xf numFmtId="1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/>
    <xf numFmtId="14" fontId="1" fillId="5" borderId="1" xfId="0" applyNumberFormat="1" applyFont="1" applyFill="1" applyBorder="1" applyAlignment="1">
      <alignment horizontal="left"/>
    </xf>
    <xf numFmtId="0" fontId="1" fillId="6" borderId="1" xfId="0" applyFont="1" applyFill="1" applyBorder="1"/>
    <xf numFmtId="14" fontId="0" fillId="6" borderId="1" xfId="0" applyNumberForma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/>
    <xf numFmtId="14" fontId="0" fillId="7" borderId="1" xfId="0" applyNumberFormat="1" applyFill="1" applyBorder="1" applyAlignment="1">
      <alignment horizontal="left"/>
    </xf>
    <xf numFmtId="2" fontId="0" fillId="0" borderId="0" xfId="0" applyNumberFormat="1"/>
    <xf numFmtId="0" fontId="3" fillId="8" borderId="1" xfId="0" applyFont="1" applyFill="1" applyBorder="1" applyAlignment="1">
      <alignment textRotation="90"/>
    </xf>
    <xf numFmtId="0" fontId="3" fillId="8" borderId="1" xfId="0" applyFont="1" applyFill="1" applyBorder="1" applyAlignment="1">
      <alignment horizontal="left" textRotation="90"/>
    </xf>
    <xf numFmtId="0" fontId="3" fillId="8" borderId="1" xfId="0" applyFont="1" applyFill="1" applyBorder="1" applyAlignment="1">
      <alignment horizontal="center" textRotation="90"/>
    </xf>
    <xf numFmtId="2" fontId="3" fillId="8" borderId="1" xfId="0" applyNumberFormat="1" applyFont="1" applyFill="1" applyBorder="1" applyAlignment="1">
      <alignment horizontal="center" textRotation="90"/>
    </xf>
    <xf numFmtId="0" fontId="3" fillId="9" borderId="1" xfId="0" applyFont="1" applyFill="1" applyBorder="1" applyAlignment="1">
      <alignment horizontal="center" textRotation="90"/>
    </xf>
    <xf numFmtId="0" fontId="0" fillId="0" borderId="1" xfId="0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1" fontId="1" fillId="0" borderId="1" xfId="0" applyNumberFormat="1" applyFont="1" applyBorder="1"/>
    <xf numFmtId="0" fontId="1" fillId="10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4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0" fontId="0" fillId="2" borderId="1" xfId="0" applyFill="1" applyBorder="1"/>
    <xf numFmtId="165" fontId="1" fillId="2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/>
    <xf numFmtId="0" fontId="0" fillId="3" borderId="1" xfId="0" applyFill="1" applyBorder="1"/>
    <xf numFmtId="2" fontId="1" fillId="3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2" fontId="1" fillId="4" borderId="1" xfId="0" applyNumberFormat="1" applyFont="1" applyFill="1" applyBorder="1"/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/>
    </xf>
    <xf numFmtId="2" fontId="1" fillId="5" borderId="1" xfId="0" applyNumberFormat="1" applyFont="1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/>
    </xf>
    <xf numFmtId="2" fontId="1" fillId="6" borderId="1" xfId="0" applyNumberFormat="1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2" fontId="4" fillId="6" borderId="1" xfId="0" applyNumberFormat="1" applyFont="1" applyFill="1" applyBorder="1"/>
    <xf numFmtId="0" fontId="0" fillId="7" borderId="1" xfId="0" applyFill="1" applyBorder="1" applyAlignment="1">
      <alignment horizontal="center"/>
    </xf>
    <xf numFmtId="2" fontId="4" fillId="7" borderId="1" xfId="0" applyNumberFormat="1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>
      <selection activeCell="J1" sqref="J1:M9"/>
    </sheetView>
  </sheetViews>
  <sheetFormatPr defaultRowHeight="14.4" x14ac:dyDescent="0.3"/>
  <cols>
    <col min="2" max="2" width="11.7773437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s="1" t="s">
        <v>8</v>
      </c>
      <c r="B2" s="1" t="s">
        <v>9</v>
      </c>
      <c r="C2">
        <v>0</v>
      </c>
      <c r="D2">
        <v>33.1</v>
      </c>
      <c r="E2">
        <v>21.7</v>
      </c>
      <c r="F2">
        <f>AVERAGE(D2:E2)</f>
        <v>27.4</v>
      </c>
    </row>
    <row r="3" spans="1:6" x14ac:dyDescent="0.3">
      <c r="A3" s="1" t="s">
        <v>10</v>
      </c>
      <c r="B3" s="2" t="s">
        <v>11</v>
      </c>
      <c r="C3">
        <v>60.2</v>
      </c>
      <c r="D3">
        <v>28.3</v>
      </c>
      <c r="E3">
        <v>22.2</v>
      </c>
      <c r="F3">
        <f t="shared" ref="F3:F36" si="0">AVERAGE(D3:E3)</f>
        <v>25.25</v>
      </c>
    </row>
    <row r="4" spans="1:6" x14ac:dyDescent="0.3">
      <c r="A4" s="3" t="s">
        <v>12</v>
      </c>
      <c r="B4" s="4" t="s">
        <v>13</v>
      </c>
      <c r="C4">
        <v>20.399999999999999</v>
      </c>
      <c r="D4">
        <v>31.7</v>
      </c>
      <c r="E4">
        <v>23</v>
      </c>
      <c r="F4">
        <f t="shared" si="0"/>
        <v>27.35</v>
      </c>
    </row>
    <row r="5" spans="1:6" x14ac:dyDescent="0.3">
      <c r="A5" s="3" t="s">
        <v>12</v>
      </c>
      <c r="B5" s="4" t="s">
        <v>14</v>
      </c>
      <c r="C5">
        <v>10</v>
      </c>
      <c r="D5">
        <v>32.1</v>
      </c>
      <c r="E5">
        <v>23.2</v>
      </c>
      <c r="F5">
        <f t="shared" si="0"/>
        <v>27.65</v>
      </c>
    </row>
    <row r="6" spans="1:6" x14ac:dyDescent="0.3">
      <c r="A6" s="3" t="s">
        <v>12</v>
      </c>
      <c r="B6" s="4" t="s">
        <v>15</v>
      </c>
      <c r="C6">
        <v>0</v>
      </c>
      <c r="D6">
        <v>31.7</v>
      </c>
      <c r="E6">
        <v>21.2</v>
      </c>
      <c r="F6">
        <f t="shared" si="0"/>
        <v>26.45</v>
      </c>
    </row>
    <row r="7" spans="1:6" x14ac:dyDescent="0.3">
      <c r="A7" s="3" t="s">
        <v>12</v>
      </c>
      <c r="B7" s="4" t="s">
        <v>16</v>
      </c>
      <c r="C7">
        <v>1.8</v>
      </c>
      <c r="D7">
        <v>33.799999999999997</v>
      </c>
      <c r="E7">
        <v>21.5</v>
      </c>
      <c r="F7">
        <f t="shared" si="0"/>
        <v>27.65</v>
      </c>
    </row>
    <row r="8" spans="1:6" x14ac:dyDescent="0.3">
      <c r="A8" s="3" t="s">
        <v>12</v>
      </c>
      <c r="B8" s="4" t="s">
        <v>17</v>
      </c>
      <c r="C8">
        <v>46</v>
      </c>
      <c r="D8">
        <v>33.700000000000003</v>
      </c>
      <c r="E8">
        <v>22.8</v>
      </c>
      <c r="F8">
        <f t="shared" si="0"/>
        <v>28.25</v>
      </c>
    </row>
    <row r="9" spans="1:6" x14ac:dyDescent="0.3">
      <c r="A9" s="3" t="s">
        <v>12</v>
      </c>
      <c r="B9" s="4" t="s">
        <v>18</v>
      </c>
      <c r="C9">
        <v>51.5</v>
      </c>
      <c r="D9">
        <v>34.5</v>
      </c>
      <c r="E9">
        <v>22.9</v>
      </c>
      <c r="F9">
        <f t="shared" si="0"/>
        <v>28.7</v>
      </c>
    </row>
    <row r="10" spans="1:6" x14ac:dyDescent="0.3">
      <c r="A10" s="5" t="s">
        <v>19</v>
      </c>
      <c r="B10" s="6">
        <v>44846</v>
      </c>
      <c r="C10">
        <v>1.2</v>
      </c>
      <c r="D10">
        <v>28.3</v>
      </c>
      <c r="E10">
        <v>22.6</v>
      </c>
      <c r="F10">
        <f t="shared" si="0"/>
        <v>25.450000000000003</v>
      </c>
    </row>
    <row r="11" spans="1:6" x14ac:dyDescent="0.3">
      <c r="A11" s="5" t="s">
        <v>19</v>
      </c>
      <c r="B11" s="6">
        <v>44877</v>
      </c>
      <c r="C11">
        <v>0</v>
      </c>
      <c r="D11">
        <v>30.1</v>
      </c>
      <c r="E11">
        <v>21.5</v>
      </c>
      <c r="F11">
        <f t="shared" si="0"/>
        <v>25.8</v>
      </c>
    </row>
    <row r="12" spans="1:6" x14ac:dyDescent="0.3">
      <c r="A12" s="5" t="s">
        <v>19</v>
      </c>
      <c r="B12" s="6" t="s">
        <v>20</v>
      </c>
      <c r="C12">
        <v>15</v>
      </c>
      <c r="D12">
        <v>32.799999999999997</v>
      </c>
      <c r="E12">
        <v>23.8</v>
      </c>
      <c r="F12">
        <f t="shared" si="0"/>
        <v>28.299999999999997</v>
      </c>
    </row>
    <row r="13" spans="1:6" x14ac:dyDescent="0.3">
      <c r="A13" s="5" t="s">
        <v>19</v>
      </c>
      <c r="B13" s="7" t="s">
        <v>21</v>
      </c>
      <c r="C13">
        <v>10.6</v>
      </c>
      <c r="D13">
        <v>32.9</v>
      </c>
      <c r="E13">
        <v>22.7</v>
      </c>
      <c r="F13">
        <f t="shared" si="0"/>
        <v>27.799999999999997</v>
      </c>
    </row>
    <row r="14" spans="1:6" x14ac:dyDescent="0.3">
      <c r="A14" s="5" t="s">
        <v>19</v>
      </c>
      <c r="B14" s="6" t="s">
        <v>22</v>
      </c>
      <c r="C14">
        <v>0</v>
      </c>
      <c r="D14">
        <v>31.7</v>
      </c>
      <c r="E14">
        <v>21.7</v>
      </c>
      <c r="F14">
        <f t="shared" si="0"/>
        <v>26.7</v>
      </c>
    </row>
    <row r="15" spans="1:6" x14ac:dyDescent="0.3">
      <c r="A15" s="5" t="s">
        <v>19</v>
      </c>
      <c r="B15" s="7" t="s">
        <v>23</v>
      </c>
      <c r="C15">
        <v>7</v>
      </c>
      <c r="D15">
        <v>30.5</v>
      </c>
      <c r="E15">
        <v>23.1</v>
      </c>
      <c r="F15">
        <f t="shared" si="0"/>
        <v>26.8</v>
      </c>
    </row>
    <row r="16" spans="1:6" x14ac:dyDescent="0.3">
      <c r="A16" s="8" t="s">
        <v>24</v>
      </c>
      <c r="B16" s="9">
        <v>45078</v>
      </c>
      <c r="C16">
        <v>10</v>
      </c>
      <c r="D16">
        <v>33</v>
      </c>
      <c r="E16">
        <v>23</v>
      </c>
      <c r="F16">
        <f t="shared" si="0"/>
        <v>28</v>
      </c>
    </row>
    <row r="17" spans="1:6" x14ac:dyDescent="0.3">
      <c r="A17" s="8" t="s">
        <v>24</v>
      </c>
      <c r="B17" s="9">
        <v>45108</v>
      </c>
      <c r="C17">
        <v>16</v>
      </c>
      <c r="D17">
        <v>30.6</v>
      </c>
      <c r="E17">
        <v>21.7</v>
      </c>
      <c r="F17">
        <f t="shared" si="0"/>
        <v>26.15</v>
      </c>
    </row>
    <row r="18" spans="1:6" x14ac:dyDescent="0.3">
      <c r="A18" s="8" t="s">
        <v>24</v>
      </c>
      <c r="B18" s="9" t="s">
        <v>25</v>
      </c>
      <c r="C18">
        <v>4.7</v>
      </c>
      <c r="D18">
        <v>34</v>
      </c>
      <c r="E18">
        <v>21.3</v>
      </c>
      <c r="F18">
        <f t="shared" si="0"/>
        <v>27.65</v>
      </c>
    </row>
    <row r="19" spans="1:6" x14ac:dyDescent="0.3">
      <c r="A19" s="8" t="s">
        <v>24</v>
      </c>
      <c r="B19" s="10" t="s">
        <v>26</v>
      </c>
      <c r="C19">
        <v>32.700000000000003</v>
      </c>
      <c r="D19">
        <v>34.1</v>
      </c>
      <c r="E19">
        <v>21.6</v>
      </c>
      <c r="F19">
        <f t="shared" si="0"/>
        <v>27.85</v>
      </c>
    </row>
    <row r="20" spans="1:6" x14ac:dyDescent="0.3">
      <c r="A20" s="8" t="s">
        <v>24</v>
      </c>
      <c r="B20" s="9" t="s">
        <v>27</v>
      </c>
      <c r="C20">
        <v>10.3</v>
      </c>
      <c r="D20">
        <v>31.9</v>
      </c>
      <c r="E20">
        <v>22.8</v>
      </c>
      <c r="F20">
        <f t="shared" si="0"/>
        <v>27.35</v>
      </c>
    </row>
    <row r="21" spans="1:6" x14ac:dyDescent="0.3">
      <c r="A21" s="8" t="s">
        <v>24</v>
      </c>
      <c r="B21" s="9" t="s">
        <v>28</v>
      </c>
      <c r="C21">
        <v>3.3</v>
      </c>
      <c r="D21">
        <v>27.7</v>
      </c>
      <c r="E21">
        <v>21.2</v>
      </c>
      <c r="F21">
        <f t="shared" si="0"/>
        <v>24.45</v>
      </c>
    </row>
    <row r="22" spans="1:6" x14ac:dyDescent="0.3">
      <c r="A22" s="8" t="s">
        <v>24</v>
      </c>
      <c r="B22" s="9" t="s">
        <v>29</v>
      </c>
      <c r="C22">
        <v>0</v>
      </c>
      <c r="D22">
        <v>29.5</v>
      </c>
      <c r="E22">
        <v>22.3</v>
      </c>
      <c r="F22">
        <f t="shared" si="0"/>
        <v>25.9</v>
      </c>
    </row>
    <row r="23" spans="1:6" x14ac:dyDescent="0.3">
      <c r="A23" s="11" t="s">
        <v>30</v>
      </c>
      <c r="B23" s="12">
        <v>44987</v>
      </c>
      <c r="C23">
        <v>12.4</v>
      </c>
      <c r="D23">
        <v>30.3</v>
      </c>
      <c r="E23">
        <v>23.4</v>
      </c>
      <c r="F23">
        <f t="shared" si="0"/>
        <v>26.85</v>
      </c>
    </row>
    <row r="24" spans="1:6" x14ac:dyDescent="0.3">
      <c r="A24" s="11" t="s">
        <v>30</v>
      </c>
      <c r="B24" s="12">
        <v>45018</v>
      </c>
      <c r="C24">
        <v>20.9</v>
      </c>
      <c r="D24">
        <v>31</v>
      </c>
      <c r="E24">
        <v>22.9</v>
      </c>
      <c r="F24">
        <f t="shared" si="0"/>
        <v>26.95</v>
      </c>
    </row>
    <row r="25" spans="1:6" x14ac:dyDescent="0.3">
      <c r="A25" s="11" t="s">
        <v>30</v>
      </c>
      <c r="B25" s="12">
        <v>45048</v>
      </c>
      <c r="C25">
        <v>0</v>
      </c>
      <c r="D25">
        <v>32.299999999999997</v>
      </c>
      <c r="E25">
        <v>22.7</v>
      </c>
      <c r="F25">
        <f t="shared" si="0"/>
        <v>27.5</v>
      </c>
    </row>
    <row r="26" spans="1:6" x14ac:dyDescent="0.3">
      <c r="A26" s="11" t="s">
        <v>30</v>
      </c>
      <c r="B26" s="12">
        <v>45079</v>
      </c>
      <c r="C26">
        <v>0</v>
      </c>
      <c r="D26">
        <v>29.9</v>
      </c>
      <c r="E26">
        <v>23.2</v>
      </c>
      <c r="F26">
        <f t="shared" si="0"/>
        <v>26.549999999999997</v>
      </c>
    </row>
    <row r="27" spans="1:6" x14ac:dyDescent="0.3">
      <c r="A27" s="11" t="s">
        <v>30</v>
      </c>
      <c r="B27" s="12" t="s">
        <v>31</v>
      </c>
      <c r="C27">
        <v>0</v>
      </c>
      <c r="D27">
        <v>33.1</v>
      </c>
      <c r="E27">
        <v>20.9</v>
      </c>
      <c r="F27">
        <f t="shared" si="0"/>
        <v>27</v>
      </c>
    </row>
    <row r="28" spans="1:6" x14ac:dyDescent="0.3">
      <c r="A28" s="11" t="s">
        <v>30</v>
      </c>
      <c r="B28" s="12" t="s">
        <v>32</v>
      </c>
      <c r="C28">
        <v>31</v>
      </c>
      <c r="D28">
        <v>36</v>
      </c>
      <c r="E28">
        <v>22</v>
      </c>
      <c r="F28">
        <f t="shared" si="0"/>
        <v>29</v>
      </c>
    </row>
    <row r="29" spans="1:6" x14ac:dyDescent="0.3">
      <c r="A29" s="13" t="s">
        <v>33</v>
      </c>
      <c r="B29" s="14">
        <v>45233</v>
      </c>
      <c r="C29">
        <v>6.7</v>
      </c>
      <c r="D29">
        <v>31.7</v>
      </c>
      <c r="E29">
        <v>23.7</v>
      </c>
      <c r="F29">
        <f t="shared" si="0"/>
        <v>27.7</v>
      </c>
    </row>
    <row r="30" spans="1:6" x14ac:dyDescent="0.3">
      <c r="A30" s="13" t="s">
        <v>33</v>
      </c>
      <c r="B30" s="14">
        <v>45263</v>
      </c>
      <c r="C30">
        <v>32</v>
      </c>
      <c r="D30">
        <v>33</v>
      </c>
      <c r="E30">
        <v>22.8</v>
      </c>
      <c r="F30">
        <f t="shared" si="0"/>
        <v>27.9</v>
      </c>
    </row>
    <row r="31" spans="1:6" x14ac:dyDescent="0.3">
      <c r="A31" s="13" t="s">
        <v>33</v>
      </c>
      <c r="B31" s="15" t="s">
        <v>34</v>
      </c>
      <c r="C31">
        <v>0</v>
      </c>
      <c r="D31">
        <v>34.5</v>
      </c>
      <c r="E31">
        <v>22</v>
      </c>
      <c r="F31">
        <f t="shared" si="0"/>
        <v>28.25</v>
      </c>
    </row>
    <row r="32" spans="1:6" x14ac:dyDescent="0.3">
      <c r="A32" s="13" t="s">
        <v>33</v>
      </c>
      <c r="B32" s="16" t="s">
        <v>35</v>
      </c>
      <c r="C32">
        <v>9.6999999999999993</v>
      </c>
      <c r="D32">
        <v>33.1</v>
      </c>
      <c r="E32">
        <v>21.6</v>
      </c>
      <c r="F32">
        <f t="shared" si="0"/>
        <v>27.35</v>
      </c>
    </row>
    <row r="33" spans="1:6" x14ac:dyDescent="0.3">
      <c r="A33" s="13" t="s">
        <v>33</v>
      </c>
      <c r="B33" s="15" t="s">
        <v>36</v>
      </c>
      <c r="C33">
        <v>25.4</v>
      </c>
      <c r="D33">
        <v>33.700000000000003</v>
      </c>
      <c r="E33">
        <v>23.9</v>
      </c>
      <c r="F33">
        <f t="shared" si="0"/>
        <v>28.8</v>
      </c>
    </row>
    <row r="34" spans="1:6" x14ac:dyDescent="0.3">
      <c r="A34" s="17" t="s">
        <v>37</v>
      </c>
      <c r="B34" s="18">
        <v>45111</v>
      </c>
      <c r="C34">
        <v>0</v>
      </c>
      <c r="D34">
        <v>34.9</v>
      </c>
      <c r="E34">
        <v>23.2</v>
      </c>
      <c r="F34">
        <f t="shared" si="0"/>
        <v>29.049999999999997</v>
      </c>
    </row>
    <row r="35" spans="1:6" x14ac:dyDescent="0.3">
      <c r="A35" s="17" t="s">
        <v>37</v>
      </c>
      <c r="B35" s="18">
        <v>45142</v>
      </c>
      <c r="C35">
        <v>98.6</v>
      </c>
      <c r="D35">
        <v>31.8</v>
      </c>
      <c r="E35">
        <v>23.7</v>
      </c>
      <c r="F35">
        <f t="shared" si="0"/>
        <v>27.75</v>
      </c>
    </row>
    <row r="36" spans="1:6" x14ac:dyDescent="0.3">
      <c r="A36" s="17" t="s">
        <v>37</v>
      </c>
      <c r="B36" s="18">
        <v>45173</v>
      </c>
      <c r="C36">
        <v>0</v>
      </c>
      <c r="D36">
        <v>34</v>
      </c>
      <c r="E36">
        <v>21.7</v>
      </c>
      <c r="F36">
        <f t="shared" si="0"/>
        <v>27.85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9"/>
    </sheetView>
  </sheetViews>
  <sheetFormatPr defaultRowHeight="14.4" x14ac:dyDescent="0.3"/>
  <sheetData>
    <row r="1" spans="1:4" x14ac:dyDescent="0.3">
      <c r="A1" t="s">
        <v>0</v>
      </c>
      <c r="B1" t="s">
        <v>2</v>
      </c>
      <c r="C1" t="s">
        <v>3</v>
      </c>
      <c r="D1" t="s">
        <v>7</v>
      </c>
    </row>
    <row r="2" spans="1:4" x14ac:dyDescent="0.3">
      <c r="A2" t="s">
        <v>8</v>
      </c>
      <c r="B2" s="19">
        <v>33.1</v>
      </c>
      <c r="C2" s="19">
        <v>21.7</v>
      </c>
      <c r="D2" s="19">
        <v>27.4</v>
      </c>
    </row>
    <row r="3" spans="1:4" x14ac:dyDescent="0.3">
      <c r="A3" t="s">
        <v>10</v>
      </c>
      <c r="B3" s="19">
        <v>28.3</v>
      </c>
      <c r="C3" s="19">
        <v>22.2</v>
      </c>
      <c r="D3" s="19">
        <v>25.25</v>
      </c>
    </row>
    <row r="4" spans="1:4" x14ac:dyDescent="0.3">
      <c r="A4" t="s">
        <v>12</v>
      </c>
      <c r="B4" s="19">
        <v>32.916666666666664</v>
      </c>
      <c r="C4" s="19">
        <v>22.433333333333334</v>
      </c>
      <c r="D4" s="19">
        <v>27.674999999999997</v>
      </c>
    </row>
    <row r="5" spans="1:4" x14ac:dyDescent="0.3">
      <c r="A5" t="s">
        <v>19</v>
      </c>
      <c r="B5" s="19">
        <v>31.049999999999997</v>
      </c>
      <c r="C5" s="19">
        <v>22.566666666666666</v>
      </c>
      <c r="D5" s="19">
        <v>26.808333333333334</v>
      </c>
    </row>
    <row r="6" spans="1:4" x14ac:dyDescent="0.3">
      <c r="A6" t="s">
        <v>24</v>
      </c>
      <c r="B6" s="19">
        <v>31.542857142857141</v>
      </c>
      <c r="C6" s="19">
        <v>21.985714285714288</v>
      </c>
      <c r="D6" s="19">
        <v>26.764285714285712</v>
      </c>
    </row>
    <row r="7" spans="1:4" x14ac:dyDescent="0.3">
      <c r="A7" t="s">
        <v>30</v>
      </c>
      <c r="B7" s="19">
        <v>32.1</v>
      </c>
      <c r="C7" s="19">
        <v>22.516666666666666</v>
      </c>
      <c r="D7" s="19">
        <v>27.308333333333334</v>
      </c>
    </row>
    <row r="8" spans="1:4" x14ac:dyDescent="0.3">
      <c r="A8" t="s">
        <v>33</v>
      </c>
      <c r="B8" s="19">
        <v>33.200000000000003</v>
      </c>
      <c r="C8" s="19">
        <v>22.8</v>
      </c>
      <c r="D8" s="19">
        <v>28</v>
      </c>
    </row>
    <row r="9" spans="1:4" x14ac:dyDescent="0.3">
      <c r="A9" t="s">
        <v>37</v>
      </c>
      <c r="B9" s="19">
        <v>33.56666666666667</v>
      </c>
      <c r="C9" s="19">
        <v>22.866666666666664</v>
      </c>
      <c r="D9" s="19">
        <v>28.216666666666669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workbookViewId="0">
      <selection activeCell="H2" sqref="H2:H5"/>
    </sheetView>
  </sheetViews>
  <sheetFormatPr defaultRowHeight="14.4" x14ac:dyDescent="0.3"/>
  <sheetData>
    <row r="1" spans="1:12" ht="187.2" x14ac:dyDescent="0.3">
      <c r="A1" s="20" t="s">
        <v>38</v>
      </c>
      <c r="B1" s="21" t="s">
        <v>1</v>
      </c>
      <c r="C1" s="22" t="s">
        <v>39</v>
      </c>
      <c r="D1" s="22" t="s">
        <v>40</v>
      </c>
      <c r="E1" s="23" t="s">
        <v>41</v>
      </c>
      <c r="F1" s="22" t="s">
        <v>42</v>
      </c>
      <c r="G1" s="22" t="s">
        <v>43</v>
      </c>
      <c r="H1" s="22" t="s">
        <v>44</v>
      </c>
      <c r="I1" s="22" t="s">
        <v>45</v>
      </c>
      <c r="J1" s="24" t="s">
        <v>46</v>
      </c>
      <c r="K1" s="25" t="s">
        <v>47</v>
      </c>
      <c r="L1" s="25" t="s">
        <v>48</v>
      </c>
    </row>
    <row r="2" spans="1:12" x14ac:dyDescent="0.3">
      <c r="A2" s="1" t="s">
        <v>8</v>
      </c>
      <c r="B2" s="1" t="s">
        <v>9</v>
      </c>
      <c r="C2" s="26">
        <v>48</v>
      </c>
      <c r="D2" s="1">
        <v>79</v>
      </c>
      <c r="E2" s="27">
        <v>0.309</v>
      </c>
      <c r="F2" s="1">
        <v>23.3</v>
      </c>
      <c r="G2" s="1">
        <v>0.5</v>
      </c>
      <c r="H2" s="28">
        <v>480</v>
      </c>
      <c r="I2" s="29"/>
      <c r="K2">
        <v>10</v>
      </c>
    </row>
    <row r="3" spans="1:12" x14ac:dyDescent="0.3">
      <c r="A3" s="1" t="s">
        <v>8</v>
      </c>
      <c r="B3" s="1" t="s">
        <v>9</v>
      </c>
      <c r="C3" s="26">
        <v>48</v>
      </c>
      <c r="D3" s="1">
        <v>80</v>
      </c>
      <c r="E3" s="27">
        <v>0.32</v>
      </c>
      <c r="F3" s="1">
        <v>24</v>
      </c>
      <c r="G3" s="1">
        <v>0</v>
      </c>
      <c r="H3" s="28">
        <v>480</v>
      </c>
      <c r="I3" s="29"/>
      <c r="K3">
        <v>7</v>
      </c>
    </row>
    <row r="4" spans="1:12" x14ac:dyDescent="0.3">
      <c r="A4" s="1" t="s">
        <v>10</v>
      </c>
      <c r="B4" s="2" t="s">
        <v>11</v>
      </c>
      <c r="C4" s="30">
        <v>83</v>
      </c>
      <c r="D4" s="31">
        <v>99</v>
      </c>
      <c r="E4" s="32">
        <v>0.47249999999999998</v>
      </c>
      <c r="F4" s="31">
        <v>25.7</v>
      </c>
      <c r="G4" s="33">
        <v>0</v>
      </c>
      <c r="H4" s="31">
        <v>480</v>
      </c>
      <c r="I4" s="29" t="e">
        <f>ABS(#REF!-H4)</f>
        <v>#REF!</v>
      </c>
      <c r="K4">
        <v>8</v>
      </c>
    </row>
    <row r="5" spans="1:12" x14ac:dyDescent="0.3">
      <c r="A5" s="1" t="s">
        <v>10</v>
      </c>
      <c r="B5" s="2" t="s">
        <v>11</v>
      </c>
      <c r="C5" s="30">
        <v>83</v>
      </c>
      <c r="D5" s="31">
        <v>99</v>
      </c>
      <c r="E5" s="34">
        <v>32.6</v>
      </c>
      <c r="F5" s="31">
        <v>23.7</v>
      </c>
      <c r="G5" s="33">
        <v>0</v>
      </c>
      <c r="H5" s="33">
        <v>700</v>
      </c>
      <c r="I5" s="29" t="e">
        <f>ABS(#REF!-H5)</f>
        <v>#REF!</v>
      </c>
      <c r="K5">
        <v>3</v>
      </c>
    </row>
    <row r="6" spans="1:12" x14ac:dyDescent="0.3">
      <c r="A6" s="3" t="s">
        <v>12</v>
      </c>
      <c r="B6" s="4" t="s">
        <v>13</v>
      </c>
      <c r="C6" s="35">
        <v>105</v>
      </c>
      <c r="D6" s="3">
        <v>99</v>
      </c>
      <c r="E6" s="36">
        <v>7.59</v>
      </c>
      <c r="F6" s="3">
        <v>23.9</v>
      </c>
      <c r="G6" s="3">
        <v>0</v>
      </c>
      <c r="H6" s="3">
        <v>870</v>
      </c>
      <c r="I6" s="3">
        <v>0</v>
      </c>
      <c r="J6" s="35">
        <v>3</v>
      </c>
      <c r="K6" s="37">
        <v>5</v>
      </c>
      <c r="L6" s="37">
        <v>6</v>
      </c>
    </row>
    <row r="7" spans="1:12" x14ac:dyDescent="0.3">
      <c r="A7" s="3" t="s">
        <v>12</v>
      </c>
      <c r="B7" s="4" t="s">
        <v>13</v>
      </c>
      <c r="C7" s="35">
        <v>105</v>
      </c>
      <c r="D7" s="3">
        <v>96</v>
      </c>
      <c r="E7" s="36">
        <v>15.05</v>
      </c>
      <c r="F7" s="3">
        <v>30.2</v>
      </c>
      <c r="G7" s="3">
        <v>0</v>
      </c>
      <c r="H7" s="3">
        <v>2000</v>
      </c>
      <c r="I7" s="3">
        <v>580</v>
      </c>
      <c r="J7" s="35">
        <v>6</v>
      </c>
      <c r="K7" s="37">
        <v>2</v>
      </c>
      <c r="L7" s="37">
        <v>6</v>
      </c>
    </row>
    <row r="8" spans="1:12" x14ac:dyDescent="0.3">
      <c r="A8" s="3" t="s">
        <v>12</v>
      </c>
      <c r="B8" s="4" t="s">
        <v>14</v>
      </c>
      <c r="C8" s="35">
        <v>108</v>
      </c>
      <c r="D8" s="3">
        <v>94</v>
      </c>
      <c r="E8" s="38">
        <v>0.5</v>
      </c>
      <c r="F8" s="3">
        <v>23</v>
      </c>
      <c r="G8" s="3">
        <v>0</v>
      </c>
      <c r="H8" s="3">
        <v>2000</v>
      </c>
      <c r="I8" s="3">
        <v>1300</v>
      </c>
      <c r="J8" s="35">
        <v>5</v>
      </c>
      <c r="K8" s="37">
        <v>5</v>
      </c>
      <c r="L8" s="37">
        <v>5</v>
      </c>
    </row>
    <row r="9" spans="1:12" x14ac:dyDescent="0.3">
      <c r="A9" s="3" t="s">
        <v>12</v>
      </c>
      <c r="B9" s="4" t="s">
        <v>15</v>
      </c>
      <c r="C9" s="35">
        <v>111</v>
      </c>
      <c r="D9" s="3">
        <v>94</v>
      </c>
      <c r="E9" s="38">
        <v>0.5</v>
      </c>
      <c r="F9" s="3">
        <v>22</v>
      </c>
      <c r="G9" s="3">
        <v>0</v>
      </c>
      <c r="H9" s="3">
        <v>2000</v>
      </c>
      <c r="I9" s="3">
        <v>1300</v>
      </c>
      <c r="J9" s="35">
        <v>5</v>
      </c>
      <c r="K9" s="37">
        <v>1</v>
      </c>
      <c r="L9" s="37">
        <v>1</v>
      </c>
    </row>
    <row r="10" spans="1:12" x14ac:dyDescent="0.3">
      <c r="A10" s="3" t="s">
        <v>12</v>
      </c>
      <c r="B10" s="4" t="s">
        <v>16</v>
      </c>
      <c r="C10" s="35">
        <v>117</v>
      </c>
      <c r="D10" s="3">
        <v>99</v>
      </c>
      <c r="E10" s="38">
        <v>0.27700000000000002</v>
      </c>
      <c r="F10" s="3">
        <v>26.4</v>
      </c>
      <c r="G10" s="3">
        <v>0</v>
      </c>
      <c r="H10" s="3">
        <v>2000</v>
      </c>
      <c r="I10" s="3">
        <v>1520</v>
      </c>
      <c r="J10" s="35">
        <v>4</v>
      </c>
      <c r="K10" s="37">
        <v>6</v>
      </c>
      <c r="L10" s="37">
        <v>22</v>
      </c>
    </row>
    <row r="11" spans="1:12" x14ac:dyDescent="0.3">
      <c r="A11" s="3" t="s">
        <v>12</v>
      </c>
      <c r="B11" s="4" t="s">
        <v>17</v>
      </c>
      <c r="C11" s="35">
        <v>118</v>
      </c>
      <c r="D11" s="3">
        <v>80</v>
      </c>
      <c r="E11" s="36">
        <v>6.56</v>
      </c>
      <c r="F11" s="3">
        <v>23.9</v>
      </c>
      <c r="G11" s="3">
        <v>0</v>
      </c>
      <c r="H11" s="3">
        <v>2000</v>
      </c>
      <c r="I11" s="3">
        <v>900</v>
      </c>
      <c r="J11" s="35">
        <v>2</v>
      </c>
      <c r="K11" s="37">
        <v>0</v>
      </c>
      <c r="L11" s="37">
        <v>0</v>
      </c>
    </row>
    <row r="12" spans="1:12" x14ac:dyDescent="0.3">
      <c r="A12" s="3" t="s">
        <v>12</v>
      </c>
      <c r="B12" s="4" t="s">
        <v>17</v>
      </c>
      <c r="C12" s="35">
        <v>118</v>
      </c>
      <c r="D12" s="3">
        <v>79</v>
      </c>
      <c r="E12" s="36">
        <v>15.5</v>
      </c>
      <c r="F12" s="3">
        <v>28.3</v>
      </c>
      <c r="G12" s="3">
        <v>0</v>
      </c>
      <c r="H12" s="3">
        <v>1360</v>
      </c>
      <c r="I12" s="3">
        <v>110</v>
      </c>
      <c r="J12" s="35">
        <v>3</v>
      </c>
      <c r="K12" s="37">
        <v>3</v>
      </c>
      <c r="L12" s="37">
        <v>3</v>
      </c>
    </row>
    <row r="13" spans="1:12" x14ac:dyDescent="0.3">
      <c r="A13" s="3" t="s">
        <v>12</v>
      </c>
      <c r="B13" s="4" t="s">
        <v>18</v>
      </c>
      <c r="C13" s="35">
        <v>119</v>
      </c>
      <c r="D13" s="3">
        <v>94</v>
      </c>
      <c r="E13" s="38">
        <v>0.50800000000000001</v>
      </c>
      <c r="F13" s="3">
        <v>24.8</v>
      </c>
      <c r="G13" s="3">
        <v>0</v>
      </c>
      <c r="H13" s="3">
        <v>2000</v>
      </c>
      <c r="I13" s="3">
        <v>1300</v>
      </c>
      <c r="J13" s="35">
        <v>5</v>
      </c>
      <c r="K13" s="37">
        <v>8</v>
      </c>
      <c r="L13" s="37">
        <v>8</v>
      </c>
    </row>
    <row r="14" spans="1:12" x14ac:dyDescent="0.3">
      <c r="A14" s="5" t="s">
        <v>19</v>
      </c>
      <c r="B14" s="6">
        <v>44846</v>
      </c>
      <c r="C14" s="39">
        <v>132</v>
      </c>
      <c r="D14" s="5">
        <v>90</v>
      </c>
      <c r="E14" s="40">
        <v>3.5000000000000003E-2</v>
      </c>
      <c r="F14" s="5">
        <v>24.2</v>
      </c>
      <c r="G14" s="5">
        <v>0</v>
      </c>
      <c r="H14" s="5">
        <v>2000</v>
      </c>
      <c r="I14" s="5">
        <v>1300</v>
      </c>
      <c r="J14" s="39">
        <v>5</v>
      </c>
      <c r="K14" s="41">
        <v>1</v>
      </c>
      <c r="L14" s="41">
        <v>1</v>
      </c>
    </row>
    <row r="15" spans="1:12" x14ac:dyDescent="0.3">
      <c r="A15" s="5" t="s">
        <v>19</v>
      </c>
      <c r="B15" s="6">
        <v>44877</v>
      </c>
      <c r="C15" s="39">
        <v>133</v>
      </c>
      <c r="D15" s="5">
        <v>98</v>
      </c>
      <c r="E15" s="42">
        <v>7.54</v>
      </c>
      <c r="F15" s="5">
        <v>25.8</v>
      </c>
      <c r="G15" s="5">
        <v>0</v>
      </c>
      <c r="H15" s="5">
        <v>2000</v>
      </c>
      <c r="I15" s="5">
        <v>1520</v>
      </c>
      <c r="J15" s="39">
        <v>4</v>
      </c>
      <c r="K15" s="41">
        <v>5</v>
      </c>
      <c r="L15" s="41">
        <v>7</v>
      </c>
    </row>
    <row r="16" spans="1:12" x14ac:dyDescent="0.3">
      <c r="A16" s="5" t="s">
        <v>19</v>
      </c>
      <c r="B16" s="6">
        <v>44877</v>
      </c>
      <c r="C16" s="39">
        <v>133</v>
      </c>
      <c r="D16" s="5">
        <v>55</v>
      </c>
      <c r="E16" s="42">
        <v>55.3</v>
      </c>
      <c r="F16" s="5">
        <v>30.2</v>
      </c>
      <c r="G16" s="5">
        <v>0</v>
      </c>
      <c r="H16" s="5">
        <v>2000</v>
      </c>
      <c r="I16" s="5">
        <v>1130</v>
      </c>
      <c r="J16" s="39">
        <v>3</v>
      </c>
      <c r="K16" s="41">
        <v>0</v>
      </c>
      <c r="L16" s="41">
        <v>0</v>
      </c>
    </row>
    <row r="17" spans="1:12" x14ac:dyDescent="0.3">
      <c r="A17" s="5" t="s">
        <v>19</v>
      </c>
      <c r="B17" s="6" t="s">
        <v>20</v>
      </c>
      <c r="C17" s="39">
        <v>143</v>
      </c>
      <c r="D17" s="5">
        <v>77</v>
      </c>
      <c r="E17" s="40">
        <v>1.79</v>
      </c>
      <c r="F17" s="5">
        <v>23.98</v>
      </c>
      <c r="G17" s="5">
        <v>0.83</v>
      </c>
      <c r="H17" s="5">
        <v>1100</v>
      </c>
      <c r="I17" s="5">
        <v>0</v>
      </c>
      <c r="J17" s="39">
        <v>2</v>
      </c>
      <c r="K17" s="41">
        <v>3</v>
      </c>
      <c r="L17" s="41">
        <v>3</v>
      </c>
    </row>
    <row r="18" spans="1:12" x14ac:dyDescent="0.3">
      <c r="A18" s="5" t="s">
        <v>19</v>
      </c>
      <c r="B18" s="6" t="s">
        <v>20</v>
      </c>
      <c r="C18" s="39">
        <v>143</v>
      </c>
      <c r="D18" s="5">
        <v>98</v>
      </c>
      <c r="E18" s="40">
        <v>3.05</v>
      </c>
      <c r="F18" s="5">
        <v>21.7</v>
      </c>
      <c r="G18" s="5">
        <v>0.9</v>
      </c>
      <c r="H18" s="5">
        <v>2000</v>
      </c>
      <c r="I18" s="5">
        <v>900</v>
      </c>
      <c r="J18" s="39">
        <v>2</v>
      </c>
      <c r="K18" s="41">
        <v>1</v>
      </c>
      <c r="L18" s="41">
        <v>1</v>
      </c>
    </row>
    <row r="19" spans="1:12" x14ac:dyDescent="0.3">
      <c r="A19" s="5" t="s">
        <v>19</v>
      </c>
      <c r="B19" s="6" t="s">
        <v>20</v>
      </c>
      <c r="C19" s="39">
        <v>143</v>
      </c>
      <c r="D19" s="5">
        <v>95</v>
      </c>
      <c r="E19" s="42">
        <v>1.44</v>
      </c>
      <c r="F19" s="5">
        <v>25.1</v>
      </c>
      <c r="G19" s="5">
        <v>0</v>
      </c>
      <c r="H19" s="5">
        <v>1420</v>
      </c>
      <c r="I19" s="5">
        <v>0</v>
      </c>
      <c r="J19" s="39">
        <v>6</v>
      </c>
      <c r="K19" s="41">
        <v>2</v>
      </c>
      <c r="L19" s="41">
        <v>7</v>
      </c>
    </row>
    <row r="20" spans="1:12" x14ac:dyDescent="0.3">
      <c r="A20" s="5" t="s">
        <v>19</v>
      </c>
      <c r="B20" s="7" t="s">
        <v>21</v>
      </c>
      <c r="C20" s="39">
        <v>144</v>
      </c>
      <c r="D20" s="5">
        <v>85</v>
      </c>
      <c r="E20" s="42">
        <v>13.84</v>
      </c>
      <c r="F20" s="5">
        <v>26.7</v>
      </c>
      <c r="G20" s="5">
        <v>0</v>
      </c>
      <c r="H20" s="5">
        <v>870</v>
      </c>
      <c r="I20" s="5">
        <v>0</v>
      </c>
      <c r="J20" s="39">
        <v>3</v>
      </c>
      <c r="K20" s="41">
        <v>4</v>
      </c>
      <c r="L20" s="41">
        <v>6</v>
      </c>
    </row>
    <row r="21" spans="1:12" x14ac:dyDescent="0.3">
      <c r="A21" s="5" t="s">
        <v>19</v>
      </c>
      <c r="B21" s="6" t="s">
        <v>22</v>
      </c>
      <c r="C21" s="39">
        <v>145</v>
      </c>
      <c r="D21" s="5">
        <v>65</v>
      </c>
      <c r="E21" s="40">
        <v>3.5000000000000003E-2</v>
      </c>
      <c r="F21" s="5">
        <v>25.7</v>
      </c>
      <c r="G21" s="5">
        <v>0</v>
      </c>
      <c r="H21" s="5">
        <v>2000</v>
      </c>
      <c r="I21" s="5">
        <v>1300</v>
      </c>
      <c r="J21" s="39">
        <v>5</v>
      </c>
      <c r="K21" s="41">
        <v>3</v>
      </c>
      <c r="L21" s="41">
        <v>3</v>
      </c>
    </row>
    <row r="22" spans="1:12" x14ac:dyDescent="0.3">
      <c r="A22" s="5" t="s">
        <v>19</v>
      </c>
      <c r="B22" s="6" t="s">
        <v>22</v>
      </c>
      <c r="C22" s="39">
        <v>145</v>
      </c>
      <c r="D22" s="5">
        <v>78</v>
      </c>
      <c r="E22" s="40">
        <v>20.350000000000001</v>
      </c>
      <c r="F22" s="5">
        <v>22.55</v>
      </c>
      <c r="G22" s="5">
        <v>0</v>
      </c>
      <c r="H22" s="41">
        <v>1420</v>
      </c>
      <c r="I22" s="5">
        <v>320</v>
      </c>
      <c r="J22" s="39">
        <v>2</v>
      </c>
      <c r="K22" s="41">
        <v>6</v>
      </c>
      <c r="L22" s="41">
        <v>14</v>
      </c>
    </row>
    <row r="23" spans="1:12" x14ac:dyDescent="0.3">
      <c r="A23" s="5" t="s">
        <v>19</v>
      </c>
      <c r="B23" s="7" t="s">
        <v>23</v>
      </c>
      <c r="C23" s="39">
        <v>146</v>
      </c>
      <c r="D23" s="5">
        <v>98</v>
      </c>
      <c r="E23" s="42">
        <v>0.77</v>
      </c>
      <c r="F23" s="5">
        <v>22.6</v>
      </c>
      <c r="G23" s="5">
        <v>0</v>
      </c>
      <c r="H23" s="5">
        <v>580</v>
      </c>
      <c r="I23" s="5">
        <v>0</v>
      </c>
      <c r="J23" s="39">
        <v>3</v>
      </c>
      <c r="K23" s="41">
        <v>8</v>
      </c>
      <c r="L23" s="41">
        <v>14</v>
      </c>
    </row>
    <row r="24" spans="1:12" x14ac:dyDescent="0.3">
      <c r="A24" s="8" t="s">
        <v>24</v>
      </c>
      <c r="B24" s="9">
        <v>45078</v>
      </c>
      <c r="C24" s="43">
        <v>159</v>
      </c>
      <c r="D24" s="8">
        <v>77</v>
      </c>
      <c r="E24" s="44">
        <v>19</v>
      </c>
      <c r="F24" s="8">
        <v>23.9</v>
      </c>
      <c r="G24" s="8">
        <v>0</v>
      </c>
      <c r="H24" s="8">
        <v>2000</v>
      </c>
      <c r="I24" s="8">
        <v>750</v>
      </c>
      <c r="J24" s="45">
        <v>3</v>
      </c>
      <c r="K24" s="46">
        <v>4</v>
      </c>
      <c r="L24" s="46">
        <v>13</v>
      </c>
    </row>
    <row r="25" spans="1:12" x14ac:dyDescent="0.3">
      <c r="A25" s="8" t="s">
        <v>24</v>
      </c>
      <c r="B25" s="9">
        <v>45108</v>
      </c>
      <c r="C25" s="43">
        <v>160</v>
      </c>
      <c r="D25" s="8">
        <v>96</v>
      </c>
      <c r="E25" s="44">
        <v>1.1399999999999999</v>
      </c>
      <c r="F25" s="8">
        <v>26.4</v>
      </c>
      <c r="G25" s="8">
        <v>0</v>
      </c>
      <c r="H25" s="8">
        <v>550</v>
      </c>
      <c r="I25" s="8">
        <v>70</v>
      </c>
      <c r="J25" s="45">
        <v>4</v>
      </c>
      <c r="K25" s="46">
        <v>4</v>
      </c>
      <c r="L25" s="46">
        <v>7</v>
      </c>
    </row>
    <row r="26" spans="1:12" x14ac:dyDescent="0.3">
      <c r="A26" s="8" t="s">
        <v>24</v>
      </c>
      <c r="B26" s="9">
        <v>45108</v>
      </c>
      <c r="C26" s="43">
        <v>160</v>
      </c>
      <c r="D26" s="8">
        <v>87</v>
      </c>
      <c r="E26" s="44">
        <v>0.03</v>
      </c>
      <c r="F26" s="8">
        <v>23.2</v>
      </c>
      <c r="G26" s="8">
        <v>0</v>
      </c>
      <c r="H26" s="8">
        <v>2000</v>
      </c>
      <c r="I26" s="8">
        <v>1300</v>
      </c>
      <c r="J26" s="45">
        <v>5</v>
      </c>
      <c r="K26" s="46">
        <v>3</v>
      </c>
      <c r="L26" s="46">
        <v>3</v>
      </c>
    </row>
    <row r="27" spans="1:12" x14ac:dyDescent="0.3">
      <c r="A27" s="8" t="s">
        <v>24</v>
      </c>
      <c r="B27" s="9" t="s">
        <v>25</v>
      </c>
      <c r="C27" s="43">
        <v>167</v>
      </c>
      <c r="D27" s="8">
        <v>71</v>
      </c>
      <c r="E27" s="44">
        <v>7.17</v>
      </c>
      <c r="F27" s="8">
        <v>26.1</v>
      </c>
      <c r="G27" s="8">
        <v>1.9</v>
      </c>
      <c r="H27" s="8">
        <v>700</v>
      </c>
      <c r="I27" s="8">
        <v>300</v>
      </c>
      <c r="J27" s="45">
        <v>3</v>
      </c>
      <c r="K27" s="46">
        <v>9</v>
      </c>
      <c r="L27" s="46">
        <v>11</v>
      </c>
    </row>
    <row r="28" spans="1:12" x14ac:dyDescent="0.3">
      <c r="A28" s="8" t="s">
        <v>24</v>
      </c>
      <c r="B28" s="9" t="s">
        <v>25</v>
      </c>
      <c r="C28" s="43">
        <v>167</v>
      </c>
      <c r="D28" s="8">
        <v>87</v>
      </c>
      <c r="E28" s="44">
        <v>0.16</v>
      </c>
      <c r="F28" s="8">
        <v>20.2</v>
      </c>
      <c r="G28" s="8">
        <v>0</v>
      </c>
      <c r="H28" s="8">
        <v>2000</v>
      </c>
      <c r="I28" s="8">
        <v>580</v>
      </c>
      <c r="J28" s="45">
        <v>6</v>
      </c>
      <c r="K28" s="46">
        <v>6</v>
      </c>
      <c r="L28" s="46">
        <v>6</v>
      </c>
    </row>
    <row r="29" spans="1:12" x14ac:dyDescent="0.3">
      <c r="A29" s="8" t="s">
        <v>24</v>
      </c>
      <c r="B29" s="10" t="s">
        <v>26</v>
      </c>
      <c r="C29" s="43">
        <v>168</v>
      </c>
      <c r="D29" s="8">
        <v>54</v>
      </c>
      <c r="E29" s="44">
        <v>10.85</v>
      </c>
      <c r="F29" s="8">
        <v>28.3</v>
      </c>
      <c r="G29" s="8">
        <v>1.45</v>
      </c>
      <c r="H29" s="8">
        <v>2000</v>
      </c>
      <c r="I29" s="8">
        <v>1000</v>
      </c>
      <c r="J29" s="45">
        <v>3</v>
      </c>
      <c r="K29" s="46">
        <v>4</v>
      </c>
      <c r="L29" s="46">
        <v>4</v>
      </c>
    </row>
    <row r="30" spans="1:12" x14ac:dyDescent="0.3">
      <c r="A30" s="8" t="s">
        <v>24</v>
      </c>
      <c r="B30" s="10" t="s">
        <v>26</v>
      </c>
      <c r="C30" s="43">
        <v>168</v>
      </c>
      <c r="D30" s="8">
        <v>99</v>
      </c>
      <c r="E30" s="44">
        <v>27.94</v>
      </c>
      <c r="F30" s="8">
        <v>22.3</v>
      </c>
      <c r="G30" s="8">
        <v>1.2</v>
      </c>
      <c r="H30" s="8">
        <v>700</v>
      </c>
      <c r="I30" s="8">
        <v>660</v>
      </c>
      <c r="J30" s="45">
        <v>1</v>
      </c>
      <c r="K30" s="46">
        <v>5</v>
      </c>
      <c r="L30" s="46">
        <v>15</v>
      </c>
    </row>
    <row r="31" spans="1:12" x14ac:dyDescent="0.3">
      <c r="A31" s="8" t="s">
        <v>24</v>
      </c>
      <c r="B31" s="9" t="s">
        <v>27</v>
      </c>
      <c r="C31" s="43">
        <v>169</v>
      </c>
      <c r="D31" s="8">
        <v>99</v>
      </c>
      <c r="E31" s="44">
        <v>6.93</v>
      </c>
      <c r="F31" s="8">
        <v>23.5</v>
      </c>
      <c r="G31" s="8">
        <v>0</v>
      </c>
      <c r="H31" s="8">
        <v>2000</v>
      </c>
      <c r="I31" s="8">
        <v>1420</v>
      </c>
      <c r="J31" s="45">
        <v>3</v>
      </c>
      <c r="K31" s="46">
        <v>7</v>
      </c>
      <c r="L31" s="46">
        <v>7</v>
      </c>
    </row>
    <row r="32" spans="1:12" x14ac:dyDescent="0.3">
      <c r="A32" s="8" t="s">
        <v>24</v>
      </c>
      <c r="B32" s="9" t="s">
        <v>28</v>
      </c>
      <c r="C32" s="43">
        <v>174</v>
      </c>
      <c r="D32" s="8">
        <v>99</v>
      </c>
      <c r="E32" s="44">
        <v>8.52</v>
      </c>
      <c r="F32" s="8">
        <v>26.5</v>
      </c>
      <c r="G32" s="8">
        <v>0</v>
      </c>
      <c r="H32" s="8">
        <v>2000</v>
      </c>
      <c r="I32" s="8">
        <v>1520</v>
      </c>
      <c r="J32" s="45">
        <v>4</v>
      </c>
      <c r="K32" s="46">
        <v>5</v>
      </c>
      <c r="L32" s="46">
        <v>6</v>
      </c>
    </row>
    <row r="33" spans="1:12" x14ac:dyDescent="0.3">
      <c r="A33" s="8" t="s">
        <v>24</v>
      </c>
      <c r="B33" s="9" t="s">
        <v>29</v>
      </c>
      <c r="C33" s="43">
        <v>175</v>
      </c>
      <c r="D33" s="8">
        <v>99</v>
      </c>
      <c r="E33" s="44">
        <v>6.8</v>
      </c>
      <c r="F33" s="8">
        <v>23.5</v>
      </c>
      <c r="G33" s="8">
        <v>0</v>
      </c>
      <c r="H33" s="8">
        <v>2000</v>
      </c>
      <c r="I33" s="8">
        <v>1420</v>
      </c>
      <c r="J33" s="45">
        <v>3</v>
      </c>
      <c r="K33" s="46">
        <v>1</v>
      </c>
      <c r="L33" s="46">
        <v>1</v>
      </c>
    </row>
    <row r="34" spans="1:12" x14ac:dyDescent="0.3">
      <c r="A34" s="11" t="s">
        <v>30</v>
      </c>
      <c r="B34" s="12">
        <v>44987</v>
      </c>
      <c r="C34" s="47">
        <v>187</v>
      </c>
      <c r="D34" s="11">
        <v>89</v>
      </c>
      <c r="E34" s="48">
        <v>1.36</v>
      </c>
      <c r="F34" s="11">
        <v>23.18</v>
      </c>
      <c r="G34" s="11">
        <v>0</v>
      </c>
      <c r="H34" s="11">
        <v>2000</v>
      </c>
      <c r="I34" s="11">
        <v>1520</v>
      </c>
      <c r="J34" s="47">
        <v>4</v>
      </c>
      <c r="K34" s="49">
        <v>8</v>
      </c>
      <c r="L34" s="49">
        <v>11</v>
      </c>
    </row>
    <row r="35" spans="1:12" x14ac:dyDescent="0.3">
      <c r="A35" s="11" t="s">
        <v>30</v>
      </c>
      <c r="B35" s="12">
        <v>44987</v>
      </c>
      <c r="C35" s="47">
        <v>187</v>
      </c>
      <c r="D35" s="11">
        <v>85</v>
      </c>
      <c r="E35" s="48">
        <v>1.3</v>
      </c>
      <c r="F35" s="11">
        <v>24.4</v>
      </c>
      <c r="G35" s="11">
        <v>0</v>
      </c>
      <c r="H35" s="11">
        <v>2000</v>
      </c>
      <c r="I35" s="11">
        <v>1300</v>
      </c>
      <c r="J35" s="47">
        <v>5</v>
      </c>
      <c r="K35" s="49">
        <v>8</v>
      </c>
      <c r="L35" s="49">
        <v>8</v>
      </c>
    </row>
    <row r="36" spans="1:12" x14ac:dyDescent="0.3">
      <c r="A36" s="11" t="s">
        <v>30</v>
      </c>
      <c r="B36" s="12">
        <v>45018</v>
      </c>
      <c r="C36" s="47">
        <v>188</v>
      </c>
      <c r="D36" s="11">
        <v>99</v>
      </c>
      <c r="E36" s="48">
        <v>85.6</v>
      </c>
      <c r="F36" s="11">
        <v>28.5</v>
      </c>
      <c r="G36" s="11">
        <v>1.2</v>
      </c>
      <c r="H36" s="11">
        <v>780</v>
      </c>
      <c r="I36" s="11">
        <v>90</v>
      </c>
      <c r="J36" s="47">
        <v>3</v>
      </c>
      <c r="K36" s="49">
        <v>1</v>
      </c>
      <c r="L36" s="49">
        <v>1</v>
      </c>
    </row>
    <row r="37" spans="1:12" x14ac:dyDescent="0.3">
      <c r="A37" s="11" t="s">
        <v>30</v>
      </c>
      <c r="B37" s="12">
        <v>45018</v>
      </c>
      <c r="C37" s="47">
        <v>188</v>
      </c>
      <c r="D37" s="11">
        <v>70</v>
      </c>
      <c r="E37" s="48">
        <v>5.91</v>
      </c>
      <c r="F37" s="11">
        <v>20.5</v>
      </c>
      <c r="G37" s="11">
        <v>1.5</v>
      </c>
      <c r="H37" s="11">
        <v>2000</v>
      </c>
      <c r="I37" s="11">
        <v>900</v>
      </c>
      <c r="J37" s="47">
        <v>2</v>
      </c>
      <c r="K37" s="49">
        <v>3</v>
      </c>
      <c r="L37" s="49">
        <v>3</v>
      </c>
    </row>
    <row r="38" spans="1:12" x14ac:dyDescent="0.3">
      <c r="A38" s="11" t="s">
        <v>30</v>
      </c>
      <c r="B38" s="12">
        <v>45048</v>
      </c>
      <c r="C38" s="47">
        <v>189</v>
      </c>
      <c r="D38" s="11">
        <v>91</v>
      </c>
      <c r="E38" s="48">
        <v>1.1499999999999999</v>
      </c>
      <c r="F38" s="11">
        <v>24.4</v>
      </c>
      <c r="G38" s="11">
        <v>0</v>
      </c>
      <c r="H38" s="11">
        <v>480</v>
      </c>
      <c r="I38" s="11">
        <v>220</v>
      </c>
      <c r="J38" s="47">
        <v>5</v>
      </c>
      <c r="K38" s="49">
        <v>8</v>
      </c>
      <c r="L38" s="49">
        <v>8</v>
      </c>
    </row>
    <row r="39" spans="1:12" x14ac:dyDescent="0.3">
      <c r="A39" s="11" t="s">
        <v>30</v>
      </c>
      <c r="B39" s="12">
        <v>45048</v>
      </c>
      <c r="C39" s="47">
        <v>189</v>
      </c>
      <c r="D39" s="11">
        <v>83</v>
      </c>
      <c r="E39" s="48">
        <v>0.20499999999999999</v>
      </c>
      <c r="F39" s="11">
        <v>24.8</v>
      </c>
      <c r="G39" s="11">
        <v>0</v>
      </c>
      <c r="H39" s="11">
        <v>480</v>
      </c>
      <c r="I39" s="11">
        <v>940</v>
      </c>
      <c r="J39" s="47">
        <v>6</v>
      </c>
      <c r="K39" s="49">
        <v>0</v>
      </c>
      <c r="L39" s="49">
        <v>0</v>
      </c>
    </row>
    <row r="40" spans="1:12" x14ac:dyDescent="0.3">
      <c r="A40" s="11" t="s">
        <v>30</v>
      </c>
      <c r="B40" s="12">
        <v>45079</v>
      </c>
      <c r="C40" s="47">
        <v>190</v>
      </c>
      <c r="D40" s="11">
        <v>88</v>
      </c>
      <c r="E40" s="48">
        <v>24.87</v>
      </c>
      <c r="F40" s="11">
        <v>23.25</v>
      </c>
      <c r="G40" s="11">
        <v>0.45</v>
      </c>
      <c r="H40" s="11">
        <v>2000</v>
      </c>
      <c r="I40" s="11">
        <v>640</v>
      </c>
      <c r="J40" s="47">
        <v>1</v>
      </c>
      <c r="K40" s="49">
        <v>1</v>
      </c>
      <c r="L40" s="49">
        <v>1</v>
      </c>
    </row>
    <row r="41" spans="1:12" x14ac:dyDescent="0.3">
      <c r="A41" s="11" t="s">
        <v>30</v>
      </c>
      <c r="B41" s="12" t="s">
        <v>31</v>
      </c>
      <c r="C41" s="47">
        <v>201</v>
      </c>
      <c r="D41" s="11">
        <v>87</v>
      </c>
      <c r="E41" s="48">
        <v>0.15</v>
      </c>
      <c r="F41" s="11">
        <v>15.2</v>
      </c>
      <c r="G41" s="11">
        <v>0</v>
      </c>
      <c r="H41" s="11">
        <v>2000</v>
      </c>
      <c r="I41" s="11">
        <v>580</v>
      </c>
      <c r="J41" s="47">
        <v>6</v>
      </c>
      <c r="K41" s="49">
        <v>3</v>
      </c>
      <c r="L41" s="49">
        <v>3</v>
      </c>
    </row>
    <row r="42" spans="1:12" x14ac:dyDescent="0.3">
      <c r="A42" s="11" t="s">
        <v>30</v>
      </c>
      <c r="B42" s="12" t="s">
        <v>32</v>
      </c>
      <c r="C42" s="47">
        <v>202</v>
      </c>
      <c r="D42" s="11">
        <v>94</v>
      </c>
      <c r="E42" s="48">
        <v>1.2</v>
      </c>
      <c r="F42" s="11">
        <v>24.4</v>
      </c>
      <c r="G42" s="11">
        <v>0</v>
      </c>
      <c r="H42" s="11">
        <v>2000</v>
      </c>
      <c r="I42" s="11">
        <v>1300</v>
      </c>
      <c r="J42" s="47">
        <v>5</v>
      </c>
      <c r="K42" s="49">
        <v>1</v>
      </c>
      <c r="L42" s="49">
        <v>1</v>
      </c>
    </row>
    <row r="43" spans="1:12" x14ac:dyDescent="0.3">
      <c r="A43" s="11" t="s">
        <v>30</v>
      </c>
      <c r="B43" s="12" t="s">
        <v>32</v>
      </c>
      <c r="C43" s="47">
        <v>202</v>
      </c>
      <c r="D43" s="11">
        <v>75</v>
      </c>
      <c r="E43" s="48">
        <v>17.2</v>
      </c>
      <c r="F43" s="11">
        <v>28</v>
      </c>
      <c r="G43" s="11">
        <v>0</v>
      </c>
      <c r="H43" s="11">
        <v>2000</v>
      </c>
      <c r="I43" s="11">
        <v>1000</v>
      </c>
      <c r="J43" s="47">
        <v>3</v>
      </c>
      <c r="K43" s="49">
        <v>2</v>
      </c>
      <c r="L43" s="49">
        <v>2</v>
      </c>
    </row>
    <row r="44" spans="1:12" x14ac:dyDescent="0.3">
      <c r="A44" s="13" t="s">
        <v>33</v>
      </c>
      <c r="B44" s="14">
        <v>45233</v>
      </c>
      <c r="C44" s="50">
        <v>223</v>
      </c>
      <c r="D44" s="13">
        <v>97</v>
      </c>
      <c r="E44" s="51">
        <v>1.08</v>
      </c>
      <c r="F44" s="13">
        <v>25.4</v>
      </c>
      <c r="G44" s="13">
        <v>0</v>
      </c>
      <c r="H44" s="13">
        <v>2000</v>
      </c>
      <c r="I44" s="13">
        <v>1220</v>
      </c>
      <c r="J44" s="50">
        <v>5</v>
      </c>
      <c r="K44" s="52">
        <v>6</v>
      </c>
      <c r="L44" s="52">
        <v>8</v>
      </c>
    </row>
    <row r="45" spans="1:12" x14ac:dyDescent="0.3">
      <c r="A45" s="13" t="s">
        <v>33</v>
      </c>
      <c r="B45" s="14">
        <v>45263</v>
      </c>
      <c r="C45" s="53">
        <v>224</v>
      </c>
      <c r="D45" s="52">
        <v>89</v>
      </c>
      <c r="E45" s="54">
        <v>1.1000000000000001</v>
      </c>
      <c r="F45" s="52">
        <v>22.3</v>
      </c>
      <c r="G45" s="52">
        <v>0</v>
      </c>
      <c r="H45" s="52">
        <v>2000</v>
      </c>
      <c r="I45" s="13">
        <v>750</v>
      </c>
      <c r="J45" s="53">
        <v>3</v>
      </c>
      <c r="K45" s="52">
        <v>7</v>
      </c>
      <c r="L45" s="52">
        <v>10</v>
      </c>
    </row>
    <row r="46" spans="1:12" x14ac:dyDescent="0.3">
      <c r="A46" s="13" t="s">
        <v>33</v>
      </c>
      <c r="B46" s="15" t="s">
        <v>34</v>
      </c>
      <c r="C46" s="50">
        <v>225</v>
      </c>
      <c r="D46" s="13">
        <v>99</v>
      </c>
      <c r="E46" s="51">
        <v>24.2</v>
      </c>
      <c r="F46" s="13">
        <v>26.1</v>
      </c>
      <c r="G46" s="13">
        <v>0</v>
      </c>
      <c r="H46" s="13">
        <v>2000</v>
      </c>
      <c r="I46" s="13">
        <v>1300</v>
      </c>
      <c r="J46" s="50">
        <v>5</v>
      </c>
      <c r="K46" s="52">
        <v>1</v>
      </c>
      <c r="L46" s="52">
        <v>1</v>
      </c>
    </row>
    <row r="47" spans="1:12" x14ac:dyDescent="0.3">
      <c r="A47" s="13" t="s">
        <v>33</v>
      </c>
      <c r="B47" s="16" t="s">
        <v>35</v>
      </c>
      <c r="C47" s="53">
        <v>227</v>
      </c>
      <c r="D47" s="52">
        <v>79</v>
      </c>
      <c r="E47" s="54">
        <v>13.35</v>
      </c>
      <c r="F47" s="52">
        <v>29.2</v>
      </c>
      <c r="G47" s="52">
        <v>0</v>
      </c>
      <c r="H47" s="52">
        <v>2000</v>
      </c>
      <c r="I47" s="13">
        <v>1000</v>
      </c>
      <c r="J47" s="53">
        <v>3</v>
      </c>
      <c r="K47" s="52">
        <v>2</v>
      </c>
      <c r="L47" s="52">
        <v>2</v>
      </c>
    </row>
    <row r="48" spans="1:12" x14ac:dyDescent="0.3">
      <c r="A48" s="13" t="s">
        <v>33</v>
      </c>
      <c r="B48" s="16" t="s">
        <v>35</v>
      </c>
      <c r="C48" s="53">
        <v>227</v>
      </c>
      <c r="D48" s="52">
        <v>92</v>
      </c>
      <c r="E48" s="54">
        <v>15.6</v>
      </c>
      <c r="F48" s="52">
        <v>23.5</v>
      </c>
      <c r="G48" s="52">
        <v>0.7</v>
      </c>
      <c r="H48" s="52">
        <v>480</v>
      </c>
      <c r="I48" s="13">
        <v>620</v>
      </c>
      <c r="J48" s="53">
        <v>2</v>
      </c>
      <c r="K48" s="52">
        <v>1</v>
      </c>
      <c r="L48" s="52">
        <v>1</v>
      </c>
    </row>
    <row r="49" spans="1:12" x14ac:dyDescent="0.3">
      <c r="A49" s="13" t="s">
        <v>33</v>
      </c>
      <c r="B49" s="16" t="s">
        <v>35</v>
      </c>
      <c r="C49" s="53">
        <v>227</v>
      </c>
      <c r="D49" s="52">
        <v>89</v>
      </c>
      <c r="E49" s="54">
        <v>1</v>
      </c>
      <c r="F49" s="52">
        <v>22.2</v>
      </c>
      <c r="G49" s="52">
        <v>0</v>
      </c>
      <c r="H49" s="52">
        <v>1420</v>
      </c>
      <c r="I49" s="13">
        <v>170</v>
      </c>
      <c r="J49" s="53">
        <v>3</v>
      </c>
      <c r="K49" s="52">
        <v>4</v>
      </c>
      <c r="L49" s="52">
        <v>4</v>
      </c>
    </row>
    <row r="50" spans="1:12" x14ac:dyDescent="0.3">
      <c r="A50" s="13" t="s">
        <v>33</v>
      </c>
      <c r="B50" s="15" t="s">
        <v>36</v>
      </c>
      <c r="C50" s="50">
        <v>228</v>
      </c>
      <c r="D50" s="13">
        <v>92</v>
      </c>
      <c r="E50" s="51">
        <v>0.14000000000000001</v>
      </c>
      <c r="F50" s="13">
        <v>22.5</v>
      </c>
      <c r="G50" s="13">
        <v>0</v>
      </c>
      <c r="H50" s="13">
        <v>480</v>
      </c>
      <c r="I50" s="13">
        <v>0</v>
      </c>
      <c r="J50" s="50">
        <v>4</v>
      </c>
      <c r="K50" s="52">
        <v>6</v>
      </c>
      <c r="L50" s="52">
        <v>11</v>
      </c>
    </row>
    <row r="51" spans="1:12" x14ac:dyDescent="0.3">
      <c r="A51" s="17" t="s">
        <v>37</v>
      </c>
      <c r="B51" s="18">
        <v>45111</v>
      </c>
      <c r="C51" s="55">
        <v>250</v>
      </c>
      <c r="D51" s="17">
        <v>96</v>
      </c>
      <c r="E51" s="56">
        <v>1.1299999999999999</v>
      </c>
      <c r="F51" s="17">
        <v>26.4</v>
      </c>
      <c r="G51" s="17">
        <v>0</v>
      </c>
      <c r="H51" s="17">
        <v>2000</v>
      </c>
      <c r="I51" s="57">
        <v>1420</v>
      </c>
      <c r="J51" s="55">
        <v>3</v>
      </c>
      <c r="K51" s="17">
        <v>5</v>
      </c>
      <c r="L51" s="17">
        <v>5</v>
      </c>
    </row>
    <row r="52" spans="1:12" x14ac:dyDescent="0.3">
      <c r="A52" s="17" t="s">
        <v>37</v>
      </c>
      <c r="B52" s="18">
        <v>45142</v>
      </c>
      <c r="C52" s="55">
        <v>251</v>
      </c>
      <c r="D52" s="17">
        <v>78</v>
      </c>
      <c r="E52" s="56">
        <v>17.850000000000001</v>
      </c>
      <c r="F52" s="17">
        <v>26.8</v>
      </c>
      <c r="G52" s="17">
        <v>0.7</v>
      </c>
      <c r="H52" s="17">
        <v>650</v>
      </c>
      <c r="I52" s="57">
        <v>450</v>
      </c>
      <c r="J52" s="55">
        <v>2</v>
      </c>
      <c r="K52" s="17">
        <v>3</v>
      </c>
      <c r="L52" s="17">
        <v>3</v>
      </c>
    </row>
    <row r="53" spans="1:12" x14ac:dyDescent="0.3">
      <c r="A53" s="17" t="s">
        <v>37</v>
      </c>
      <c r="B53" s="18">
        <v>45173</v>
      </c>
      <c r="C53" s="55">
        <v>252</v>
      </c>
      <c r="D53" s="17">
        <v>83</v>
      </c>
      <c r="E53" s="56">
        <v>1.1299999999999999</v>
      </c>
      <c r="F53" s="17">
        <v>25.5</v>
      </c>
      <c r="G53" s="17">
        <v>0</v>
      </c>
      <c r="H53" s="17">
        <v>2000</v>
      </c>
      <c r="I53" s="57">
        <v>580</v>
      </c>
      <c r="J53" s="55">
        <v>6</v>
      </c>
      <c r="K53" s="17">
        <v>9</v>
      </c>
      <c r="L53" s="17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3"/>
  <sheetViews>
    <sheetView topLeftCell="A28" workbookViewId="0">
      <selection activeCell="D1" sqref="D1:F53"/>
    </sheetView>
  </sheetViews>
  <sheetFormatPr defaultRowHeight="14.4" x14ac:dyDescent="0.3"/>
  <sheetData>
    <row r="1" spans="1:12" ht="91.8" x14ac:dyDescent="0.3">
      <c r="A1" s="20" t="s">
        <v>38</v>
      </c>
      <c r="B1" s="22" t="s">
        <v>44</v>
      </c>
      <c r="C1" t="s">
        <v>49</v>
      </c>
      <c r="D1" t="s">
        <v>2</v>
      </c>
      <c r="E1" t="s">
        <v>3</v>
      </c>
      <c r="F1" t="s">
        <v>50</v>
      </c>
    </row>
    <row r="2" spans="1:12" s="28" customFormat="1" x14ac:dyDescent="0.3">
      <c r="A2" s="28">
        <v>1</v>
      </c>
      <c r="B2" s="28">
        <v>480</v>
      </c>
      <c r="C2"/>
      <c r="D2" s="19">
        <v>33.1</v>
      </c>
      <c r="E2" s="19">
        <v>21.7</v>
      </c>
      <c r="F2" s="19">
        <v>27.4</v>
      </c>
    </row>
    <row r="3" spans="1:12" s="28" customFormat="1" x14ac:dyDescent="0.3">
      <c r="A3" s="28">
        <v>1</v>
      </c>
      <c r="B3" s="28">
        <v>480</v>
      </c>
      <c r="C3"/>
      <c r="D3" s="19">
        <v>33.1</v>
      </c>
      <c r="E3" s="19">
        <v>21.7</v>
      </c>
      <c r="F3" s="19">
        <v>27.4</v>
      </c>
    </row>
    <row r="4" spans="1:12" s="31" customFormat="1" x14ac:dyDescent="0.3">
      <c r="A4" s="31">
        <v>2</v>
      </c>
      <c r="B4" s="31">
        <v>480</v>
      </c>
      <c r="C4"/>
      <c r="D4" s="19">
        <v>28.3</v>
      </c>
      <c r="E4" s="19">
        <v>22.2</v>
      </c>
      <c r="F4" s="19">
        <v>25.25</v>
      </c>
    </row>
    <row r="5" spans="1:12" s="33" customFormat="1" x14ac:dyDescent="0.3">
      <c r="A5" s="33">
        <v>2</v>
      </c>
      <c r="B5" s="33">
        <v>700</v>
      </c>
      <c r="C5"/>
      <c r="D5" s="19">
        <v>28.3</v>
      </c>
      <c r="E5" s="19">
        <v>22.2</v>
      </c>
      <c r="F5" s="19">
        <v>25.25</v>
      </c>
    </row>
    <row r="6" spans="1:12" x14ac:dyDescent="0.3">
      <c r="A6" s="3">
        <v>3</v>
      </c>
      <c r="B6" s="3">
        <v>870</v>
      </c>
      <c r="C6">
        <v>21.6</v>
      </c>
      <c r="D6" s="19">
        <v>32.916666666666664</v>
      </c>
      <c r="E6" s="19">
        <v>22.433333333333334</v>
      </c>
      <c r="F6" s="19">
        <v>27.674999999999997</v>
      </c>
    </row>
    <row r="7" spans="1:12" x14ac:dyDescent="0.3">
      <c r="A7" s="3">
        <v>3</v>
      </c>
      <c r="B7" s="3">
        <v>2000</v>
      </c>
      <c r="C7">
        <v>21.6</v>
      </c>
      <c r="D7" s="19">
        <v>32.916666666666664</v>
      </c>
      <c r="E7" s="19">
        <v>22.433333333333334</v>
      </c>
      <c r="F7" s="19">
        <v>27.674999999999997</v>
      </c>
    </row>
    <row r="8" spans="1:12" x14ac:dyDescent="0.3">
      <c r="A8" s="3">
        <v>3</v>
      </c>
      <c r="B8" s="3">
        <v>2000</v>
      </c>
      <c r="C8">
        <v>21.6</v>
      </c>
      <c r="D8" s="19">
        <v>32.916666666666664</v>
      </c>
      <c r="E8" s="19">
        <v>22.433333333333334</v>
      </c>
      <c r="F8" s="19">
        <v>27.674999999999997</v>
      </c>
    </row>
    <row r="9" spans="1:12" x14ac:dyDescent="0.3">
      <c r="A9" s="3">
        <v>3</v>
      </c>
      <c r="B9" s="3">
        <v>2000</v>
      </c>
      <c r="C9">
        <v>21.6</v>
      </c>
      <c r="D9" s="19">
        <v>32.916666666666664</v>
      </c>
      <c r="E9" s="19">
        <v>22.433333333333334</v>
      </c>
      <c r="F9" s="19">
        <v>27.674999999999997</v>
      </c>
    </row>
    <row r="10" spans="1:12" x14ac:dyDescent="0.3">
      <c r="A10" s="3">
        <v>3</v>
      </c>
      <c r="B10" s="3">
        <v>2000</v>
      </c>
      <c r="C10">
        <v>21.6</v>
      </c>
      <c r="D10" s="19">
        <v>32.916666666666664</v>
      </c>
      <c r="E10" s="19">
        <v>22.433333333333334</v>
      </c>
      <c r="F10" s="19">
        <v>27.674999999999997</v>
      </c>
    </row>
    <row r="11" spans="1:12" x14ac:dyDescent="0.3">
      <c r="A11" s="3">
        <v>3</v>
      </c>
      <c r="B11" s="3">
        <v>2000</v>
      </c>
      <c r="C11">
        <v>21.6</v>
      </c>
      <c r="D11" s="19">
        <v>32.916666666666664</v>
      </c>
      <c r="E11" s="19">
        <v>22.433333333333334</v>
      </c>
      <c r="F11" s="19">
        <v>27.674999999999997</v>
      </c>
    </row>
    <row r="12" spans="1:12" x14ac:dyDescent="0.3">
      <c r="A12" s="3">
        <v>3</v>
      </c>
      <c r="B12" s="3">
        <v>1360</v>
      </c>
      <c r="C12">
        <v>21.6</v>
      </c>
      <c r="D12" s="19">
        <v>32.916666666666664</v>
      </c>
      <c r="E12" s="19">
        <v>22.433333333333334</v>
      </c>
      <c r="F12" s="19">
        <v>27.674999999999997</v>
      </c>
      <c r="J12" s="19"/>
      <c r="K12" s="19"/>
      <c r="L12" s="19"/>
    </row>
    <row r="13" spans="1:12" x14ac:dyDescent="0.3">
      <c r="A13" s="3">
        <v>3</v>
      </c>
      <c r="B13" s="3">
        <v>2000</v>
      </c>
      <c r="C13">
        <v>21.6</v>
      </c>
      <c r="D13" s="19">
        <v>32.916666666666664</v>
      </c>
      <c r="E13" s="19">
        <v>22.433333333333334</v>
      </c>
      <c r="F13" s="19">
        <v>27.674999999999997</v>
      </c>
      <c r="J13" s="19"/>
      <c r="K13" s="19"/>
      <c r="L13" s="19"/>
    </row>
    <row r="14" spans="1:12" x14ac:dyDescent="0.3">
      <c r="A14" s="5">
        <v>4</v>
      </c>
      <c r="B14" s="5">
        <v>2000</v>
      </c>
      <c r="C14">
        <v>5.6</v>
      </c>
      <c r="D14" s="19">
        <v>31.049999999999997</v>
      </c>
      <c r="E14" s="19">
        <v>22.566666666666666</v>
      </c>
      <c r="F14" s="19">
        <v>26.808333333333334</v>
      </c>
      <c r="J14" s="19"/>
      <c r="K14" s="19"/>
      <c r="L14" s="19"/>
    </row>
    <row r="15" spans="1:12" x14ac:dyDescent="0.3">
      <c r="A15" s="5">
        <v>4</v>
      </c>
      <c r="B15" s="5">
        <v>2000</v>
      </c>
      <c r="C15">
        <v>5.6</v>
      </c>
      <c r="D15" s="19">
        <v>31.049999999999997</v>
      </c>
      <c r="E15" s="19">
        <v>22.566666666666666</v>
      </c>
      <c r="F15" s="19">
        <v>26.808333333333334</v>
      </c>
      <c r="J15" s="19"/>
      <c r="K15" s="19"/>
      <c r="L15" s="19"/>
    </row>
    <row r="16" spans="1:12" x14ac:dyDescent="0.3">
      <c r="A16" s="5">
        <v>4</v>
      </c>
      <c r="B16" s="5">
        <v>2000</v>
      </c>
      <c r="C16">
        <v>5.6</v>
      </c>
      <c r="D16" s="19">
        <v>31.049999999999997</v>
      </c>
      <c r="E16" s="19">
        <v>22.566666666666666</v>
      </c>
      <c r="F16" s="19">
        <v>26.808333333333334</v>
      </c>
      <c r="J16" s="19"/>
      <c r="K16" s="19"/>
      <c r="L16" s="19"/>
    </row>
    <row r="17" spans="1:12" x14ac:dyDescent="0.3">
      <c r="A17" s="5">
        <v>4</v>
      </c>
      <c r="B17" s="5">
        <v>1100</v>
      </c>
      <c r="C17">
        <v>5.6</v>
      </c>
      <c r="D17" s="19">
        <v>31.049999999999997</v>
      </c>
      <c r="E17" s="19">
        <v>22.566666666666666</v>
      </c>
      <c r="F17" s="19">
        <v>26.808333333333334</v>
      </c>
      <c r="J17" s="19"/>
      <c r="K17" s="19"/>
      <c r="L17" s="19"/>
    </row>
    <row r="18" spans="1:12" x14ac:dyDescent="0.3">
      <c r="A18" s="5">
        <v>4</v>
      </c>
      <c r="B18" s="5">
        <v>2000</v>
      </c>
      <c r="C18">
        <v>5.6</v>
      </c>
      <c r="D18" s="19">
        <v>31.049999999999997</v>
      </c>
      <c r="E18" s="19">
        <v>22.566666666666666</v>
      </c>
      <c r="F18" s="19">
        <v>26.808333333333334</v>
      </c>
      <c r="J18" s="19"/>
      <c r="K18" s="19"/>
      <c r="L18" s="19"/>
    </row>
    <row r="19" spans="1:12" x14ac:dyDescent="0.3">
      <c r="A19" s="5">
        <v>4</v>
      </c>
      <c r="B19" s="5">
        <v>1420</v>
      </c>
      <c r="C19">
        <v>5.6</v>
      </c>
      <c r="D19" s="19">
        <v>31.049999999999997</v>
      </c>
      <c r="E19" s="19">
        <v>22.566666666666666</v>
      </c>
      <c r="F19" s="19">
        <v>26.808333333333334</v>
      </c>
      <c r="J19" s="19"/>
      <c r="K19" s="19"/>
      <c r="L19" s="19"/>
    </row>
    <row r="20" spans="1:12" x14ac:dyDescent="0.3">
      <c r="A20" s="5">
        <v>4</v>
      </c>
      <c r="B20" s="5">
        <v>870</v>
      </c>
      <c r="C20">
        <v>5.6</v>
      </c>
      <c r="D20" s="19">
        <v>31.049999999999997</v>
      </c>
      <c r="E20" s="19">
        <v>22.566666666666666</v>
      </c>
      <c r="F20" s="19">
        <v>26.808333333333334</v>
      </c>
    </row>
    <row r="21" spans="1:12" x14ac:dyDescent="0.3">
      <c r="A21" s="5">
        <v>4</v>
      </c>
      <c r="B21" s="5">
        <v>2000</v>
      </c>
      <c r="C21">
        <v>5.6</v>
      </c>
      <c r="D21" s="19">
        <v>31.049999999999997</v>
      </c>
      <c r="E21" s="19">
        <v>22.566666666666666</v>
      </c>
      <c r="F21" s="19">
        <v>26.808333333333334</v>
      </c>
    </row>
    <row r="22" spans="1:12" x14ac:dyDescent="0.3">
      <c r="A22" s="5">
        <v>4</v>
      </c>
      <c r="B22" s="41">
        <v>1420</v>
      </c>
      <c r="C22">
        <v>5.6</v>
      </c>
      <c r="D22" s="19">
        <v>31.049999999999997</v>
      </c>
      <c r="E22" s="19">
        <v>22.566666666666666</v>
      </c>
      <c r="F22" s="19">
        <v>26.808333333333334</v>
      </c>
    </row>
    <row r="23" spans="1:12" x14ac:dyDescent="0.3">
      <c r="A23" s="5">
        <v>4</v>
      </c>
      <c r="B23" s="5">
        <v>580</v>
      </c>
      <c r="C23">
        <v>5.6</v>
      </c>
      <c r="D23" s="19">
        <v>31.049999999999997</v>
      </c>
      <c r="E23" s="19">
        <v>22.566666666666666</v>
      </c>
      <c r="F23" s="19">
        <v>26.808333333333334</v>
      </c>
    </row>
    <row r="24" spans="1:12" x14ac:dyDescent="0.3">
      <c r="A24" s="8">
        <v>5</v>
      </c>
      <c r="B24" s="8">
        <v>2000</v>
      </c>
      <c r="C24">
        <v>11</v>
      </c>
      <c r="D24" s="19">
        <v>31.542857142857141</v>
      </c>
      <c r="E24" s="19">
        <v>21.985714285714288</v>
      </c>
      <c r="F24" s="19">
        <v>26.764285714285712</v>
      </c>
    </row>
    <row r="25" spans="1:12" x14ac:dyDescent="0.3">
      <c r="A25" s="8">
        <v>5</v>
      </c>
      <c r="B25" s="8">
        <v>550</v>
      </c>
      <c r="C25">
        <v>11</v>
      </c>
      <c r="D25" s="19">
        <v>31.542857142857141</v>
      </c>
      <c r="E25" s="19">
        <v>21.985714285714288</v>
      </c>
      <c r="F25" s="19">
        <v>26.764285714285712</v>
      </c>
    </row>
    <row r="26" spans="1:12" x14ac:dyDescent="0.3">
      <c r="A26" s="8">
        <v>5</v>
      </c>
      <c r="B26" s="8">
        <v>2000</v>
      </c>
      <c r="C26">
        <v>11</v>
      </c>
      <c r="D26" s="19">
        <v>31.542857142857141</v>
      </c>
      <c r="E26" s="19">
        <v>21.985714285714288</v>
      </c>
      <c r="F26" s="19">
        <v>26.764285714285712</v>
      </c>
    </row>
    <row r="27" spans="1:12" x14ac:dyDescent="0.3">
      <c r="A27" s="8">
        <v>5</v>
      </c>
      <c r="B27" s="8">
        <v>700</v>
      </c>
      <c r="C27">
        <v>11</v>
      </c>
      <c r="D27" s="19">
        <v>31.542857142857141</v>
      </c>
      <c r="E27" s="19">
        <v>21.985714285714288</v>
      </c>
      <c r="F27" s="19">
        <v>26.764285714285712</v>
      </c>
    </row>
    <row r="28" spans="1:12" x14ac:dyDescent="0.3">
      <c r="A28" s="8">
        <v>5</v>
      </c>
      <c r="B28" s="8">
        <v>2000</v>
      </c>
      <c r="C28">
        <v>11</v>
      </c>
      <c r="D28" s="19">
        <v>31.542857142857141</v>
      </c>
      <c r="E28" s="19">
        <v>21.985714285714288</v>
      </c>
      <c r="F28" s="19">
        <v>26.764285714285712</v>
      </c>
    </row>
    <row r="29" spans="1:12" x14ac:dyDescent="0.3">
      <c r="A29" s="8">
        <v>5</v>
      </c>
      <c r="B29" s="8">
        <v>2000</v>
      </c>
      <c r="C29">
        <v>11</v>
      </c>
      <c r="D29" s="19">
        <v>31.542857142857141</v>
      </c>
      <c r="E29" s="19">
        <v>21.985714285714288</v>
      </c>
      <c r="F29" s="19">
        <v>26.764285714285712</v>
      </c>
    </row>
    <row r="30" spans="1:12" x14ac:dyDescent="0.3">
      <c r="A30" s="8">
        <v>5</v>
      </c>
      <c r="B30" s="8">
        <v>700</v>
      </c>
      <c r="C30">
        <v>11</v>
      </c>
      <c r="D30" s="19">
        <v>31.542857142857141</v>
      </c>
      <c r="E30" s="19">
        <v>21.985714285714288</v>
      </c>
      <c r="F30" s="19">
        <v>26.764285714285712</v>
      </c>
    </row>
    <row r="31" spans="1:12" x14ac:dyDescent="0.3">
      <c r="A31" s="8">
        <v>5</v>
      </c>
      <c r="B31" s="8">
        <v>2000</v>
      </c>
      <c r="C31">
        <v>11</v>
      </c>
      <c r="D31" s="19">
        <v>31.542857142857141</v>
      </c>
      <c r="E31" s="19">
        <v>21.985714285714288</v>
      </c>
      <c r="F31" s="19">
        <v>26.764285714285712</v>
      </c>
    </row>
    <row r="32" spans="1:12" x14ac:dyDescent="0.3">
      <c r="A32" s="8">
        <v>5</v>
      </c>
      <c r="B32" s="8">
        <v>2000</v>
      </c>
      <c r="C32">
        <v>11</v>
      </c>
      <c r="D32" s="19">
        <v>31.542857142857141</v>
      </c>
      <c r="E32" s="19">
        <v>21.985714285714288</v>
      </c>
      <c r="F32" s="19">
        <v>26.764285714285712</v>
      </c>
    </row>
    <row r="33" spans="1:6" x14ac:dyDescent="0.3">
      <c r="A33" s="8">
        <v>5</v>
      </c>
      <c r="B33" s="8">
        <v>2000</v>
      </c>
      <c r="C33">
        <v>11</v>
      </c>
      <c r="D33" s="19">
        <v>31.542857142857098</v>
      </c>
      <c r="E33" s="19">
        <v>21.985714285714288</v>
      </c>
      <c r="F33" s="19">
        <v>26.764285714285712</v>
      </c>
    </row>
    <row r="34" spans="1:6" x14ac:dyDescent="0.3">
      <c r="A34" s="11">
        <v>6</v>
      </c>
      <c r="B34" s="11">
        <v>2000</v>
      </c>
      <c r="C34">
        <v>10.7</v>
      </c>
      <c r="D34" s="19">
        <v>32.1</v>
      </c>
      <c r="E34" s="19">
        <v>22.516666666666666</v>
      </c>
      <c r="F34" s="19">
        <v>27.308333333333334</v>
      </c>
    </row>
    <row r="35" spans="1:6" x14ac:dyDescent="0.3">
      <c r="A35" s="11">
        <v>6</v>
      </c>
      <c r="B35" s="11">
        <v>2000</v>
      </c>
      <c r="C35">
        <v>10.7</v>
      </c>
      <c r="D35" s="19">
        <v>32.1</v>
      </c>
      <c r="E35" s="19">
        <v>22.516666666666666</v>
      </c>
      <c r="F35" s="19">
        <v>27.308333333333334</v>
      </c>
    </row>
    <row r="36" spans="1:6" x14ac:dyDescent="0.3">
      <c r="A36" s="11">
        <v>6</v>
      </c>
      <c r="B36" s="11">
        <v>780</v>
      </c>
      <c r="C36">
        <v>10.7</v>
      </c>
      <c r="D36" s="19">
        <v>32.1</v>
      </c>
      <c r="E36" s="19">
        <v>22.516666666666666</v>
      </c>
      <c r="F36" s="19">
        <v>27.308333333333334</v>
      </c>
    </row>
    <row r="37" spans="1:6" x14ac:dyDescent="0.3">
      <c r="A37" s="11">
        <v>6</v>
      </c>
      <c r="B37" s="11">
        <v>2000</v>
      </c>
      <c r="C37">
        <v>10.7</v>
      </c>
      <c r="D37" s="19">
        <v>32.1</v>
      </c>
      <c r="E37" s="19">
        <v>22.516666666666666</v>
      </c>
      <c r="F37" s="19">
        <v>27.308333333333334</v>
      </c>
    </row>
    <row r="38" spans="1:6" x14ac:dyDescent="0.3">
      <c r="A38" s="11">
        <v>6</v>
      </c>
      <c r="B38" s="11">
        <v>480</v>
      </c>
      <c r="C38">
        <v>10.7</v>
      </c>
      <c r="D38" s="19">
        <v>32.1</v>
      </c>
      <c r="E38" s="19">
        <v>22.516666666666666</v>
      </c>
      <c r="F38" s="19">
        <v>27.308333333333334</v>
      </c>
    </row>
    <row r="39" spans="1:6" x14ac:dyDescent="0.3">
      <c r="A39" s="11">
        <v>6</v>
      </c>
      <c r="B39" s="11">
        <v>480</v>
      </c>
      <c r="C39">
        <v>10.7</v>
      </c>
      <c r="D39" s="19">
        <v>32.1</v>
      </c>
      <c r="E39" s="19">
        <v>22.516666666666666</v>
      </c>
      <c r="F39" s="19">
        <v>27.308333333333334</v>
      </c>
    </row>
    <row r="40" spans="1:6" x14ac:dyDescent="0.3">
      <c r="A40" s="11">
        <v>6</v>
      </c>
      <c r="B40" s="11">
        <v>2000</v>
      </c>
      <c r="C40">
        <v>10.7</v>
      </c>
      <c r="D40" s="19">
        <v>32.1</v>
      </c>
      <c r="E40" s="19">
        <v>22.516666666666666</v>
      </c>
      <c r="F40" s="19">
        <v>27.308333333333334</v>
      </c>
    </row>
    <row r="41" spans="1:6" x14ac:dyDescent="0.3">
      <c r="A41" s="11">
        <v>6</v>
      </c>
      <c r="B41" s="11">
        <v>2000</v>
      </c>
      <c r="C41">
        <v>10.7</v>
      </c>
      <c r="D41" s="19">
        <v>32.1</v>
      </c>
      <c r="E41" s="19">
        <v>22.516666666666666</v>
      </c>
      <c r="F41" s="19">
        <v>27.308333333333334</v>
      </c>
    </row>
    <row r="42" spans="1:6" x14ac:dyDescent="0.3">
      <c r="A42" s="11">
        <v>6</v>
      </c>
      <c r="B42" s="11">
        <v>2000</v>
      </c>
      <c r="C42">
        <v>10.7</v>
      </c>
      <c r="D42" s="19">
        <v>32.1</v>
      </c>
      <c r="E42" s="19">
        <v>22.516666666666666</v>
      </c>
      <c r="F42" s="19">
        <v>27.308333333333334</v>
      </c>
    </row>
    <row r="43" spans="1:6" x14ac:dyDescent="0.3">
      <c r="A43" s="11">
        <v>6</v>
      </c>
      <c r="B43" s="11">
        <v>2000</v>
      </c>
      <c r="C43">
        <v>10.7</v>
      </c>
      <c r="D43" s="19">
        <v>32.1</v>
      </c>
      <c r="E43" s="19">
        <v>22.516666666666666</v>
      </c>
      <c r="F43" s="19">
        <v>27.308333333333334</v>
      </c>
    </row>
    <row r="44" spans="1:6" x14ac:dyDescent="0.3">
      <c r="A44" s="13">
        <v>7</v>
      </c>
      <c r="B44" s="13">
        <v>2000</v>
      </c>
      <c r="C44">
        <v>14.8</v>
      </c>
      <c r="D44" s="19">
        <v>33.200000000000003</v>
      </c>
      <c r="E44" s="19">
        <v>22.8</v>
      </c>
      <c r="F44" s="19">
        <v>28</v>
      </c>
    </row>
    <row r="45" spans="1:6" x14ac:dyDescent="0.3">
      <c r="A45" s="13">
        <v>7</v>
      </c>
      <c r="B45" s="52">
        <v>2000</v>
      </c>
      <c r="C45">
        <v>14.8</v>
      </c>
      <c r="D45" s="19">
        <v>33.200000000000003</v>
      </c>
      <c r="E45" s="19">
        <v>22.8</v>
      </c>
      <c r="F45" s="19">
        <v>28</v>
      </c>
    </row>
    <row r="46" spans="1:6" x14ac:dyDescent="0.3">
      <c r="A46" s="13">
        <v>7</v>
      </c>
      <c r="B46" s="13">
        <v>2000</v>
      </c>
      <c r="C46">
        <v>14.8</v>
      </c>
      <c r="D46" s="19">
        <v>33.200000000000003</v>
      </c>
      <c r="E46" s="19">
        <v>22.8</v>
      </c>
      <c r="F46" s="19">
        <v>28</v>
      </c>
    </row>
    <row r="47" spans="1:6" x14ac:dyDescent="0.3">
      <c r="A47" s="13">
        <v>7</v>
      </c>
      <c r="B47" s="52">
        <v>2000</v>
      </c>
      <c r="C47">
        <v>14.8</v>
      </c>
      <c r="D47" s="19">
        <v>33.200000000000003</v>
      </c>
      <c r="E47" s="19">
        <v>22.8</v>
      </c>
      <c r="F47" s="19">
        <v>28</v>
      </c>
    </row>
    <row r="48" spans="1:6" x14ac:dyDescent="0.3">
      <c r="A48" s="13">
        <v>7</v>
      </c>
      <c r="B48" s="52">
        <v>480</v>
      </c>
      <c r="C48">
        <v>14.8</v>
      </c>
      <c r="D48" s="19">
        <v>33.200000000000003</v>
      </c>
      <c r="E48" s="19">
        <v>22.8</v>
      </c>
      <c r="F48" s="19">
        <v>28</v>
      </c>
    </row>
    <row r="49" spans="1:6" x14ac:dyDescent="0.3">
      <c r="A49" s="13">
        <v>7</v>
      </c>
      <c r="B49" s="52">
        <v>1420</v>
      </c>
      <c r="C49">
        <v>14.8</v>
      </c>
      <c r="D49" s="19">
        <v>33.200000000000003</v>
      </c>
      <c r="E49" s="19">
        <v>22.8</v>
      </c>
      <c r="F49" s="19">
        <v>28</v>
      </c>
    </row>
    <row r="50" spans="1:6" x14ac:dyDescent="0.3">
      <c r="A50" s="13">
        <v>7</v>
      </c>
      <c r="B50" s="13">
        <v>480</v>
      </c>
      <c r="C50">
        <v>14.8</v>
      </c>
      <c r="D50" s="19">
        <v>33.200000000000003</v>
      </c>
      <c r="E50" s="19">
        <v>22.8</v>
      </c>
      <c r="F50" s="19">
        <v>28</v>
      </c>
    </row>
    <row r="51" spans="1:6" x14ac:dyDescent="0.3">
      <c r="A51" s="17">
        <v>8</v>
      </c>
      <c r="B51" s="17">
        <v>2000</v>
      </c>
      <c r="C51">
        <v>32.9</v>
      </c>
      <c r="D51" s="19">
        <v>33.56666666666667</v>
      </c>
      <c r="E51" s="19">
        <v>22.866666666666664</v>
      </c>
      <c r="F51" s="19">
        <v>28.216666666666669</v>
      </c>
    </row>
    <row r="52" spans="1:6" x14ac:dyDescent="0.3">
      <c r="A52" s="17">
        <v>8</v>
      </c>
      <c r="B52" s="17">
        <v>650</v>
      </c>
      <c r="C52">
        <v>32.9</v>
      </c>
      <c r="D52" s="19">
        <v>33.56666666666667</v>
      </c>
      <c r="E52" s="19">
        <v>22.866666666666664</v>
      </c>
      <c r="F52" s="19">
        <v>28.216666666666669</v>
      </c>
    </row>
    <row r="53" spans="1:6" x14ac:dyDescent="0.3">
      <c r="A53" s="17">
        <v>8</v>
      </c>
      <c r="B53" s="17">
        <v>2000</v>
      </c>
      <c r="C53">
        <v>32.9</v>
      </c>
      <c r="D53" s="19">
        <v>33.56666666666667</v>
      </c>
      <c r="E53" s="19">
        <v>22.866666666666664</v>
      </c>
      <c r="F53" s="19">
        <v>28.216666666666669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4EB9-D2A6-4ED3-BC37-65FA81ED56FF}">
  <dimension ref="A1:E53"/>
  <sheetViews>
    <sheetView tabSelected="1" workbookViewId="0">
      <selection activeCell="C1" sqref="C1:E53"/>
    </sheetView>
  </sheetViews>
  <sheetFormatPr defaultRowHeight="14.4" x14ac:dyDescent="0.3"/>
  <sheetData>
    <row r="1" spans="1:5" ht="91.8" x14ac:dyDescent="0.3">
      <c r="A1" s="20" t="s">
        <v>38</v>
      </c>
      <c r="B1" s="22" t="s">
        <v>44</v>
      </c>
      <c r="C1" t="s">
        <v>2</v>
      </c>
      <c r="D1" t="s">
        <v>3</v>
      </c>
      <c r="E1" t="s">
        <v>50</v>
      </c>
    </row>
    <row r="2" spans="1:5" x14ac:dyDescent="0.3">
      <c r="A2" s="28">
        <v>1</v>
      </c>
      <c r="B2" s="28">
        <v>480</v>
      </c>
      <c r="C2" s="19">
        <v>33.1</v>
      </c>
      <c r="D2" s="19">
        <v>21.7</v>
      </c>
      <c r="E2" s="19">
        <v>27.4</v>
      </c>
    </row>
    <row r="3" spans="1:5" x14ac:dyDescent="0.3">
      <c r="A3" s="28">
        <v>1</v>
      </c>
      <c r="B3" s="28">
        <v>480</v>
      </c>
      <c r="C3" s="19">
        <v>33.1</v>
      </c>
      <c r="D3" s="19">
        <v>21.7</v>
      </c>
      <c r="E3" s="19">
        <v>27.4</v>
      </c>
    </row>
    <row r="4" spans="1:5" x14ac:dyDescent="0.3">
      <c r="A4" s="31">
        <v>2</v>
      </c>
      <c r="B4" s="31">
        <v>480</v>
      </c>
      <c r="C4" s="19">
        <v>28.3</v>
      </c>
      <c r="D4" s="19">
        <v>22.2</v>
      </c>
      <c r="E4" s="19">
        <v>25.25</v>
      </c>
    </row>
    <row r="5" spans="1:5" x14ac:dyDescent="0.3">
      <c r="A5" s="33">
        <v>2</v>
      </c>
      <c r="B5" s="33">
        <v>700</v>
      </c>
      <c r="C5" s="19">
        <v>28.3</v>
      </c>
      <c r="D5" s="19">
        <v>22.2</v>
      </c>
      <c r="E5" s="19">
        <v>25.25</v>
      </c>
    </row>
    <row r="6" spans="1:5" x14ac:dyDescent="0.3">
      <c r="A6" s="3">
        <v>3</v>
      </c>
      <c r="B6" s="3">
        <v>870</v>
      </c>
      <c r="C6" s="19">
        <v>32.916666666666664</v>
      </c>
      <c r="D6" s="19">
        <v>22.433333333333334</v>
      </c>
      <c r="E6" s="19">
        <v>27.674999999999997</v>
      </c>
    </row>
    <row r="7" spans="1:5" x14ac:dyDescent="0.3">
      <c r="A7" s="3">
        <v>3</v>
      </c>
      <c r="B7" s="3">
        <v>2000</v>
      </c>
      <c r="C7" s="19">
        <v>32.916666666666664</v>
      </c>
      <c r="D7" s="19">
        <v>22.433333333333334</v>
      </c>
      <c r="E7" s="19">
        <v>27.674999999999997</v>
      </c>
    </row>
    <row r="8" spans="1:5" x14ac:dyDescent="0.3">
      <c r="A8" s="3">
        <v>3</v>
      </c>
      <c r="B8" s="3">
        <v>2000</v>
      </c>
      <c r="C8" s="19">
        <v>32.916666666666664</v>
      </c>
      <c r="D8" s="19">
        <v>22.433333333333334</v>
      </c>
      <c r="E8" s="19">
        <v>27.674999999999997</v>
      </c>
    </row>
    <row r="9" spans="1:5" x14ac:dyDescent="0.3">
      <c r="A9" s="3">
        <v>3</v>
      </c>
      <c r="B9" s="3">
        <v>2000</v>
      </c>
      <c r="C9" s="19">
        <v>32.916666666666664</v>
      </c>
      <c r="D9" s="19">
        <v>22.433333333333334</v>
      </c>
      <c r="E9" s="19">
        <v>27.674999999999997</v>
      </c>
    </row>
    <row r="10" spans="1:5" x14ac:dyDescent="0.3">
      <c r="A10" s="3">
        <v>3</v>
      </c>
      <c r="B10" s="3">
        <v>2000</v>
      </c>
      <c r="C10" s="19">
        <v>32.916666666666664</v>
      </c>
      <c r="D10" s="19">
        <v>22.433333333333334</v>
      </c>
      <c r="E10" s="19">
        <v>27.674999999999997</v>
      </c>
    </row>
    <row r="11" spans="1:5" x14ac:dyDescent="0.3">
      <c r="A11" s="3">
        <v>3</v>
      </c>
      <c r="B11" s="3">
        <v>2000</v>
      </c>
      <c r="C11" s="19">
        <v>32.916666666666664</v>
      </c>
      <c r="D11" s="19">
        <v>22.433333333333334</v>
      </c>
      <c r="E11" s="19">
        <v>27.674999999999997</v>
      </c>
    </row>
    <row r="12" spans="1:5" x14ac:dyDescent="0.3">
      <c r="A12" s="3">
        <v>3</v>
      </c>
      <c r="B12" s="3">
        <v>1360</v>
      </c>
      <c r="C12" s="19">
        <v>32.916666666666664</v>
      </c>
      <c r="D12" s="19">
        <v>22.433333333333334</v>
      </c>
      <c r="E12" s="19">
        <v>27.674999999999997</v>
      </c>
    </row>
    <row r="13" spans="1:5" x14ac:dyDescent="0.3">
      <c r="A13" s="3">
        <v>3</v>
      </c>
      <c r="B13" s="3">
        <v>2000</v>
      </c>
      <c r="C13" s="19">
        <v>32.916666666666664</v>
      </c>
      <c r="D13" s="19">
        <v>22.433333333333334</v>
      </c>
      <c r="E13" s="19">
        <v>27.674999999999997</v>
      </c>
    </row>
    <row r="14" spans="1:5" x14ac:dyDescent="0.3">
      <c r="A14" s="5">
        <v>4</v>
      </c>
      <c r="B14" s="5">
        <v>2000</v>
      </c>
      <c r="C14" s="19">
        <v>31.049999999999997</v>
      </c>
      <c r="D14" s="19">
        <v>22.566666666666666</v>
      </c>
      <c r="E14" s="19">
        <v>26.808333333333334</v>
      </c>
    </row>
    <row r="15" spans="1:5" x14ac:dyDescent="0.3">
      <c r="A15" s="5">
        <v>4</v>
      </c>
      <c r="B15" s="5">
        <v>2000</v>
      </c>
      <c r="C15" s="19">
        <v>31.049999999999997</v>
      </c>
      <c r="D15" s="19">
        <v>22.566666666666666</v>
      </c>
      <c r="E15" s="19">
        <v>26.808333333333334</v>
      </c>
    </row>
    <row r="16" spans="1:5" x14ac:dyDescent="0.3">
      <c r="A16" s="5">
        <v>4</v>
      </c>
      <c r="B16" s="5">
        <v>2000</v>
      </c>
      <c r="C16" s="19">
        <v>31.049999999999997</v>
      </c>
      <c r="D16" s="19">
        <v>22.566666666666666</v>
      </c>
      <c r="E16" s="19">
        <v>26.808333333333334</v>
      </c>
    </row>
    <row r="17" spans="1:5" x14ac:dyDescent="0.3">
      <c r="A17" s="5">
        <v>4</v>
      </c>
      <c r="B17" s="5">
        <v>1100</v>
      </c>
      <c r="C17" s="19">
        <v>31.049999999999997</v>
      </c>
      <c r="D17" s="19">
        <v>22.566666666666666</v>
      </c>
      <c r="E17" s="19">
        <v>26.808333333333334</v>
      </c>
    </row>
    <row r="18" spans="1:5" x14ac:dyDescent="0.3">
      <c r="A18" s="5">
        <v>4</v>
      </c>
      <c r="B18" s="5">
        <v>2000</v>
      </c>
      <c r="C18" s="19">
        <v>31.049999999999997</v>
      </c>
      <c r="D18" s="19">
        <v>22.566666666666666</v>
      </c>
      <c r="E18" s="19">
        <v>26.808333333333334</v>
      </c>
    </row>
    <row r="19" spans="1:5" x14ac:dyDescent="0.3">
      <c r="A19" s="5">
        <v>4</v>
      </c>
      <c r="B19" s="5">
        <v>1420</v>
      </c>
      <c r="C19" s="19">
        <v>31.049999999999997</v>
      </c>
      <c r="D19" s="19">
        <v>22.566666666666666</v>
      </c>
      <c r="E19" s="19">
        <v>26.808333333333334</v>
      </c>
    </row>
    <row r="20" spans="1:5" x14ac:dyDescent="0.3">
      <c r="A20" s="5">
        <v>4</v>
      </c>
      <c r="B20" s="5">
        <v>870</v>
      </c>
      <c r="C20" s="19">
        <v>31.049999999999997</v>
      </c>
      <c r="D20" s="19">
        <v>22.566666666666666</v>
      </c>
      <c r="E20" s="19">
        <v>26.808333333333334</v>
      </c>
    </row>
    <row r="21" spans="1:5" x14ac:dyDescent="0.3">
      <c r="A21" s="5">
        <v>4</v>
      </c>
      <c r="B21" s="5">
        <v>2000</v>
      </c>
      <c r="C21" s="19">
        <v>31.049999999999997</v>
      </c>
      <c r="D21" s="19">
        <v>22.566666666666666</v>
      </c>
      <c r="E21" s="19">
        <v>26.808333333333334</v>
      </c>
    </row>
    <row r="22" spans="1:5" x14ac:dyDescent="0.3">
      <c r="A22" s="5">
        <v>4</v>
      </c>
      <c r="B22" s="41">
        <v>1420</v>
      </c>
      <c r="C22" s="19">
        <v>31.049999999999997</v>
      </c>
      <c r="D22" s="19">
        <v>22.566666666666666</v>
      </c>
      <c r="E22" s="19">
        <v>26.808333333333334</v>
      </c>
    </row>
    <row r="23" spans="1:5" x14ac:dyDescent="0.3">
      <c r="A23" s="5">
        <v>4</v>
      </c>
      <c r="B23" s="5">
        <v>580</v>
      </c>
      <c r="C23" s="19">
        <v>31.049999999999997</v>
      </c>
      <c r="D23" s="19">
        <v>22.566666666666666</v>
      </c>
      <c r="E23" s="19">
        <v>26.808333333333334</v>
      </c>
    </row>
    <row r="24" spans="1:5" x14ac:dyDescent="0.3">
      <c r="A24" s="8">
        <v>5</v>
      </c>
      <c r="B24" s="8">
        <v>2000</v>
      </c>
      <c r="C24" s="19">
        <v>31.542857142857141</v>
      </c>
      <c r="D24" s="19">
        <v>21.985714285714288</v>
      </c>
      <c r="E24" s="19">
        <v>26.764285714285712</v>
      </c>
    </row>
    <row r="25" spans="1:5" x14ac:dyDescent="0.3">
      <c r="A25" s="8">
        <v>5</v>
      </c>
      <c r="B25" s="8">
        <v>550</v>
      </c>
      <c r="C25" s="19">
        <v>31.542857142857141</v>
      </c>
      <c r="D25" s="19">
        <v>21.985714285714288</v>
      </c>
      <c r="E25" s="19">
        <v>26.764285714285712</v>
      </c>
    </row>
    <row r="26" spans="1:5" x14ac:dyDescent="0.3">
      <c r="A26" s="8">
        <v>5</v>
      </c>
      <c r="B26" s="8">
        <v>2000</v>
      </c>
      <c r="C26" s="19">
        <v>31.542857142857141</v>
      </c>
      <c r="D26" s="19">
        <v>21.985714285714288</v>
      </c>
      <c r="E26" s="19">
        <v>26.764285714285712</v>
      </c>
    </row>
    <row r="27" spans="1:5" x14ac:dyDescent="0.3">
      <c r="A27" s="8">
        <v>5</v>
      </c>
      <c r="B27" s="8">
        <v>700</v>
      </c>
      <c r="C27" s="19">
        <v>31.542857142857141</v>
      </c>
      <c r="D27" s="19">
        <v>21.985714285714288</v>
      </c>
      <c r="E27" s="19">
        <v>26.764285714285712</v>
      </c>
    </row>
    <row r="28" spans="1:5" x14ac:dyDescent="0.3">
      <c r="A28" s="8">
        <v>5</v>
      </c>
      <c r="B28" s="8">
        <v>2000</v>
      </c>
      <c r="C28" s="19">
        <v>31.542857142857141</v>
      </c>
      <c r="D28" s="19">
        <v>21.985714285714288</v>
      </c>
      <c r="E28" s="19">
        <v>26.764285714285712</v>
      </c>
    </row>
    <row r="29" spans="1:5" x14ac:dyDescent="0.3">
      <c r="A29" s="8">
        <v>5</v>
      </c>
      <c r="B29" s="8">
        <v>2000</v>
      </c>
      <c r="C29" s="19">
        <v>31.542857142857141</v>
      </c>
      <c r="D29" s="19">
        <v>21.985714285714288</v>
      </c>
      <c r="E29" s="19">
        <v>26.764285714285712</v>
      </c>
    </row>
    <row r="30" spans="1:5" x14ac:dyDescent="0.3">
      <c r="A30" s="8">
        <v>5</v>
      </c>
      <c r="B30" s="8">
        <v>700</v>
      </c>
      <c r="C30" s="19">
        <v>31.542857142857141</v>
      </c>
      <c r="D30" s="19">
        <v>21.985714285714288</v>
      </c>
      <c r="E30" s="19">
        <v>26.764285714285712</v>
      </c>
    </row>
    <row r="31" spans="1:5" x14ac:dyDescent="0.3">
      <c r="A31" s="8">
        <v>5</v>
      </c>
      <c r="B31" s="8">
        <v>2000</v>
      </c>
      <c r="C31" s="19">
        <v>31.542857142857141</v>
      </c>
      <c r="D31" s="19">
        <v>21.985714285714288</v>
      </c>
      <c r="E31" s="19">
        <v>26.764285714285712</v>
      </c>
    </row>
    <row r="32" spans="1:5" x14ac:dyDescent="0.3">
      <c r="A32" s="8">
        <v>5</v>
      </c>
      <c r="B32" s="8">
        <v>2000</v>
      </c>
      <c r="C32" s="19">
        <v>31.542857142857141</v>
      </c>
      <c r="D32" s="19">
        <v>21.985714285714288</v>
      </c>
      <c r="E32" s="19">
        <v>26.764285714285712</v>
      </c>
    </row>
    <row r="33" spans="1:5" x14ac:dyDescent="0.3">
      <c r="A33" s="8">
        <v>5</v>
      </c>
      <c r="B33" s="8">
        <v>2000</v>
      </c>
      <c r="C33" s="19">
        <v>31.542857142857098</v>
      </c>
      <c r="D33" s="19">
        <v>21.985714285714288</v>
      </c>
      <c r="E33" s="19">
        <v>26.764285714285712</v>
      </c>
    </row>
    <row r="34" spans="1:5" x14ac:dyDescent="0.3">
      <c r="A34" s="11">
        <v>6</v>
      </c>
      <c r="B34" s="11">
        <v>2000</v>
      </c>
      <c r="C34" s="19">
        <v>32.1</v>
      </c>
      <c r="D34" s="19">
        <v>22.516666666666666</v>
      </c>
      <c r="E34" s="19">
        <v>27.308333333333334</v>
      </c>
    </row>
    <row r="35" spans="1:5" x14ac:dyDescent="0.3">
      <c r="A35" s="11">
        <v>6</v>
      </c>
      <c r="B35" s="11">
        <v>2000</v>
      </c>
      <c r="C35" s="19">
        <v>32.1</v>
      </c>
      <c r="D35" s="19">
        <v>22.516666666666666</v>
      </c>
      <c r="E35" s="19">
        <v>27.308333333333334</v>
      </c>
    </row>
    <row r="36" spans="1:5" x14ac:dyDescent="0.3">
      <c r="A36" s="11">
        <v>6</v>
      </c>
      <c r="B36" s="11">
        <v>780</v>
      </c>
      <c r="C36" s="19">
        <v>32.1</v>
      </c>
      <c r="D36" s="19">
        <v>22.516666666666666</v>
      </c>
      <c r="E36" s="19">
        <v>27.308333333333334</v>
      </c>
    </row>
    <row r="37" spans="1:5" x14ac:dyDescent="0.3">
      <c r="A37" s="11">
        <v>6</v>
      </c>
      <c r="B37" s="11">
        <v>2000</v>
      </c>
      <c r="C37" s="19">
        <v>32.1</v>
      </c>
      <c r="D37" s="19">
        <v>22.516666666666666</v>
      </c>
      <c r="E37" s="19">
        <v>27.308333333333334</v>
      </c>
    </row>
    <row r="38" spans="1:5" x14ac:dyDescent="0.3">
      <c r="A38" s="11">
        <v>6</v>
      </c>
      <c r="B38" s="11">
        <v>480</v>
      </c>
      <c r="C38" s="19">
        <v>32.1</v>
      </c>
      <c r="D38" s="19">
        <v>22.516666666666666</v>
      </c>
      <c r="E38" s="19">
        <v>27.308333333333334</v>
      </c>
    </row>
    <row r="39" spans="1:5" x14ac:dyDescent="0.3">
      <c r="A39" s="11">
        <v>6</v>
      </c>
      <c r="B39" s="11">
        <v>480</v>
      </c>
      <c r="C39" s="19">
        <v>32.1</v>
      </c>
      <c r="D39" s="19">
        <v>22.516666666666666</v>
      </c>
      <c r="E39" s="19">
        <v>27.308333333333334</v>
      </c>
    </row>
    <row r="40" spans="1:5" x14ac:dyDescent="0.3">
      <c r="A40" s="11">
        <v>6</v>
      </c>
      <c r="B40" s="11">
        <v>2000</v>
      </c>
      <c r="C40" s="19">
        <v>32.1</v>
      </c>
      <c r="D40" s="19">
        <v>22.516666666666666</v>
      </c>
      <c r="E40" s="19">
        <v>27.308333333333334</v>
      </c>
    </row>
    <row r="41" spans="1:5" x14ac:dyDescent="0.3">
      <c r="A41" s="11">
        <v>6</v>
      </c>
      <c r="B41" s="11">
        <v>2000</v>
      </c>
      <c r="C41" s="19">
        <v>32.1</v>
      </c>
      <c r="D41" s="19">
        <v>22.516666666666666</v>
      </c>
      <c r="E41" s="19">
        <v>27.308333333333334</v>
      </c>
    </row>
    <row r="42" spans="1:5" x14ac:dyDescent="0.3">
      <c r="A42" s="11">
        <v>6</v>
      </c>
      <c r="B42" s="11">
        <v>2000</v>
      </c>
      <c r="C42" s="19">
        <v>32.1</v>
      </c>
      <c r="D42" s="19">
        <v>22.516666666666666</v>
      </c>
      <c r="E42" s="19">
        <v>27.308333333333334</v>
      </c>
    </row>
    <row r="43" spans="1:5" x14ac:dyDescent="0.3">
      <c r="A43" s="11">
        <v>6</v>
      </c>
      <c r="B43" s="11">
        <v>2000</v>
      </c>
      <c r="C43" s="19">
        <v>32.1</v>
      </c>
      <c r="D43" s="19">
        <v>22.516666666666666</v>
      </c>
      <c r="E43" s="19">
        <v>27.308333333333334</v>
      </c>
    </row>
    <row r="44" spans="1:5" x14ac:dyDescent="0.3">
      <c r="A44" s="13">
        <v>7</v>
      </c>
      <c r="B44" s="13">
        <v>2000</v>
      </c>
      <c r="C44" s="19">
        <v>33.200000000000003</v>
      </c>
      <c r="D44" s="19">
        <v>22.8</v>
      </c>
      <c r="E44" s="19">
        <v>28</v>
      </c>
    </row>
    <row r="45" spans="1:5" x14ac:dyDescent="0.3">
      <c r="A45" s="13">
        <v>7</v>
      </c>
      <c r="B45" s="52">
        <v>2000</v>
      </c>
      <c r="C45" s="19">
        <v>33.200000000000003</v>
      </c>
      <c r="D45" s="19">
        <v>22.8</v>
      </c>
      <c r="E45" s="19">
        <v>28</v>
      </c>
    </row>
    <row r="46" spans="1:5" x14ac:dyDescent="0.3">
      <c r="A46" s="13">
        <v>7</v>
      </c>
      <c r="B46" s="13">
        <v>2000</v>
      </c>
      <c r="C46" s="19">
        <v>33.200000000000003</v>
      </c>
      <c r="D46" s="19">
        <v>22.8</v>
      </c>
      <c r="E46" s="19">
        <v>28</v>
      </c>
    </row>
    <row r="47" spans="1:5" x14ac:dyDescent="0.3">
      <c r="A47" s="13">
        <v>7</v>
      </c>
      <c r="B47" s="52">
        <v>2000</v>
      </c>
      <c r="C47" s="19">
        <v>33.200000000000003</v>
      </c>
      <c r="D47" s="19">
        <v>22.8</v>
      </c>
      <c r="E47" s="19">
        <v>28</v>
      </c>
    </row>
    <row r="48" spans="1:5" x14ac:dyDescent="0.3">
      <c r="A48" s="13">
        <v>7</v>
      </c>
      <c r="B48" s="52">
        <v>480</v>
      </c>
      <c r="C48" s="19">
        <v>33.200000000000003</v>
      </c>
      <c r="D48" s="19">
        <v>22.8</v>
      </c>
      <c r="E48" s="19">
        <v>28</v>
      </c>
    </row>
    <row r="49" spans="1:5" x14ac:dyDescent="0.3">
      <c r="A49" s="13">
        <v>7</v>
      </c>
      <c r="B49" s="52">
        <v>1420</v>
      </c>
      <c r="C49" s="19">
        <v>33.200000000000003</v>
      </c>
      <c r="D49" s="19">
        <v>22.8</v>
      </c>
      <c r="E49" s="19">
        <v>28</v>
      </c>
    </row>
    <row r="50" spans="1:5" x14ac:dyDescent="0.3">
      <c r="A50" s="13">
        <v>7</v>
      </c>
      <c r="B50" s="13">
        <v>480</v>
      </c>
      <c r="C50" s="19">
        <v>33.200000000000003</v>
      </c>
      <c r="D50" s="19">
        <v>22.8</v>
      </c>
      <c r="E50" s="19">
        <v>28</v>
      </c>
    </row>
    <row r="51" spans="1:5" x14ac:dyDescent="0.3">
      <c r="A51" s="17">
        <v>8</v>
      </c>
      <c r="B51" s="17">
        <v>2000</v>
      </c>
      <c r="C51" s="19">
        <v>33.56666666666667</v>
      </c>
      <c r="D51" s="19">
        <v>22.866666666666664</v>
      </c>
      <c r="E51" s="19">
        <v>28.216666666666669</v>
      </c>
    </row>
    <row r="52" spans="1:5" x14ac:dyDescent="0.3">
      <c r="A52" s="17">
        <v>8</v>
      </c>
      <c r="B52" s="17">
        <v>650</v>
      </c>
      <c r="C52" s="19">
        <v>33.56666666666667</v>
      </c>
      <c r="D52" s="19">
        <v>22.866666666666664</v>
      </c>
      <c r="E52" s="19">
        <v>28.216666666666669</v>
      </c>
    </row>
    <row r="53" spans="1:5" x14ac:dyDescent="0.3">
      <c r="A53" s="17">
        <v>8</v>
      </c>
      <c r="B53" s="17">
        <v>2000</v>
      </c>
      <c r="C53" s="19">
        <v>33.56666666666667</v>
      </c>
      <c r="D53" s="19">
        <v>22.866666666666664</v>
      </c>
      <c r="E53" s="19">
        <v>28.216666666666669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Pavanthi Sudasinghe</cp:lastModifiedBy>
  <dcterms:created xsi:type="dcterms:W3CDTF">2024-03-12T02:05:42Z</dcterms:created>
  <dcterms:modified xsi:type="dcterms:W3CDTF">2024-03-13T13:26:43Z</dcterms:modified>
</cp:coreProperties>
</file>