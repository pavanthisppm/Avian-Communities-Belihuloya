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Publications\Thesis\Results thesis\Results-20231210T065403Z-001\Results\R workshop\New analysis\New analysis_10\New analysis\New analysis\"/>
    </mc:Choice>
  </mc:AlternateContent>
  <bookViews>
    <workbookView xWindow="0" yWindow="0" windowWidth="19200" windowHeight="6560" firstSheet="17" activeTab="23"/>
  </bookViews>
  <sheets>
    <sheet name="Sheet1" sheetId="1" r:id="rId1"/>
    <sheet name="Sheet2" sheetId="2" r:id="rId2"/>
    <sheet name="Sheet3" sheetId="5" r:id="rId3"/>
    <sheet name="Sheet4" sheetId="6" r:id="rId4"/>
    <sheet name="Sheet5" sheetId="7" r:id="rId5"/>
    <sheet name="Sheet1_1" sheetId="10" r:id="rId6"/>
    <sheet name="Sheet2_2" sheetId="12" r:id="rId7"/>
    <sheet name="Sheet3_3" sheetId="13" r:id="rId8"/>
    <sheet name="Sheet4_4" sheetId="14" r:id="rId9"/>
    <sheet name="Sheet5_5" sheetId="15" r:id="rId10"/>
    <sheet name="Sheet6_6" sheetId="16" r:id="rId11"/>
    <sheet name="Sheet7_7" sheetId="17" r:id="rId12"/>
    <sheet name="Sheet8" sheetId="18" r:id="rId13"/>
    <sheet name="Sheet9" sheetId="19" r:id="rId14"/>
    <sheet name="Sheet10" sheetId="20" r:id="rId15"/>
    <sheet name="Sheet11" sheetId="21" r:id="rId16"/>
    <sheet name="Sheet12" sheetId="22" r:id="rId17"/>
    <sheet name="Sheet13" sheetId="23" r:id="rId18"/>
    <sheet name="Sheet14" sheetId="24" r:id="rId19"/>
    <sheet name="Sheet15" sheetId="25" r:id="rId20"/>
    <sheet name="Sheet16" sheetId="26" r:id="rId21"/>
    <sheet name="Sheet17" sheetId="29" r:id="rId22"/>
    <sheet name="Sheet18" sheetId="30" r:id="rId23"/>
    <sheet name="Sheet19" sheetId="31" r:id="rId24"/>
    <sheet name="Sheet20" sheetId="32" r:id="rId25"/>
    <sheet name="Sheet21" sheetId="33" r:id="rId26"/>
    <sheet name="Sheet22" sheetId="34" r:id="rId27"/>
    <sheet name="Sheet23" sheetId="35" r:id="rId28"/>
    <sheet name="Sheet24" sheetId="36" r:id="rId29"/>
    <sheet name="Sheet25" sheetId="37" r:id="rId30"/>
  </sheets>
  <definedNames>
    <definedName name="_xlnm._FilterDatabase" localSheetId="14" hidden="1">Sheet10!#REF!</definedName>
    <definedName name="_xlnm._FilterDatabase" localSheetId="16" hidden="1">Sheet12!$A$2:$I$2</definedName>
    <definedName name="_xlnm._FilterDatabase" localSheetId="23" hidden="1">Sheet19!$A$1:$DF$1</definedName>
    <definedName name="_xlnm._FilterDatabase" localSheetId="24" hidden="1">Sheet20!$A$1:$M$1</definedName>
    <definedName name="_xlnm._FilterDatabase" localSheetId="25" hidden="1">Sheet21!$A$1:$M$1</definedName>
    <definedName name="_xlnm._FilterDatabase" localSheetId="8" hidden="1">Sheet4_4!$A$2:$K$2</definedName>
    <definedName name="_xlnm._FilterDatabase" localSheetId="9" hidden="1">Sheet5_5!$A$2:$K$2</definedName>
    <definedName name="_xlnm._FilterDatabase" localSheetId="11" hidden="1">Sheet7_7!$A$2:$J$2</definedName>
    <definedName name="_xlnm._FilterDatabase" localSheetId="13" hidden="1">Sheet9!$A$2:$J$2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31" l="1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N105" i="31"/>
  <c r="N106" i="31"/>
  <c r="N107" i="31"/>
  <c r="N108" i="31"/>
  <c r="N109" i="31"/>
  <c r="N110" i="31"/>
  <c r="N111" i="31"/>
  <c r="N112" i="31"/>
  <c r="N113" i="31"/>
  <c r="N114" i="31"/>
  <c r="N115" i="31"/>
  <c r="N116" i="31"/>
  <c r="N117" i="31"/>
  <c r="N118" i="31"/>
  <c r="N119" i="31"/>
  <c r="N120" i="31"/>
  <c r="N121" i="31"/>
  <c r="N122" i="31"/>
  <c r="N123" i="31"/>
  <c r="N124" i="31"/>
  <c r="N125" i="31"/>
  <c r="N126" i="31"/>
  <c r="N127" i="31"/>
  <c r="N128" i="31"/>
  <c r="N129" i="31"/>
  <c r="N130" i="31"/>
  <c r="N131" i="31"/>
  <c r="N132" i="31"/>
  <c r="N133" i="31"/>
  <c r="N2" i="31"/>
  <c r="F3" i="37" l="1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39" i="37"/>
  <c r="F40" i="37"/>
  <c r="F41" i="37"/>
  <c r="F42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57" i="37"/>
  <c r="F58" i="37"/>
  <c r="F59" i="37"/>
  <c r="F60" i="37"/>
  <c r="F61" i="37"/>
  <c r="F62" i="37"/>
  <c r="F63" i="37"/>
  <c r="F64" i="37"/>
  <c r="F65" i="37"/>
  <c r="F66" i="37"/>
  <c r="F67" i="37"/>
  <c r="F68" i="37"/>
  <c r="F69" i="37"/>
  <c r="F70" i="37"/>
  <c r="F71" i="37"/>
  <c r="F72" i="37"/>
  <c r="F73" i="37"/>
  <c r="F74" i="37"/>
  <c r="F75" i="37"/>
  <c r="F76" i="37"/>
  <c r="F77" i="37"/>
  <c r="F78" i="37"/>
  <c r="F79" i="37"/>
  <c r="F80" i="37"/>
  <c r="F81" i="37"/>
  <c r="F82" i="37"/>
  <c r="F83" i="37"/>
  <c r="F84" i="37"/>
  <c r="F85" i="37"/>
  <c r="F86" i="37"/>
  <c r="F87" i="37"/>
  <c r="F88" i="37"/>
  <c r="F89" i="37"/>
  <c r="F90" i="37"/>
  <c r="F91" i="37"/>
  <c r="F92" i="37"/>
  <c r="F93" i="37"/>
  <c r="F94" i="37"/>
  <c r="F95" i="37"/>
  <c r="F96" i="37"/>
  <c r="F97" i="37"/>
  <c r="F98" i="37"/>
  <c r="F99" i="37"/>
  <c r="F100" i="37"/>
  <c r="F101" i="37"/>
  <c r="F102" i="37"/>
  <c r="F103" i="37"/>
  <c r="F104" i="37"/>
  <c r="F105" i="37"/>
  <c r="F106" i="37"/>
  <c r="F107" i="37"/>
  <c r="F108" i="37"/>
  <c r="F109" i="37"/>
  <c r="F110" i="37"/>
  <c r="F111" i="37"/>
  <c r="F112" i="37"/>
  <c r="F113" i="37"/>
  <c r="F114" i="37"/>
  <c r="F115" i="37"/>
  <c r="F116" i="37"/>
  <c r="F117" i="37"/>
  <c r="F118" i="37"/>
  <c r="F119" i="37"/>
  <c r="F120" i="37"/>
  <c r="F121" i="37"/>
  <c r="F122" i="37"/>
  <c r="F123" i="37"/>
  <c r="F124" i="37"/>
  <c r="F125" i="37"/>
  <c r="F126" i="37"/>
  <c r="F127" i="37"/>
  <c r="F128" i="37"/>
  <c r="F129" i="37"/>
  <c r="F130" i="37"/>
  <c r="F131" i="37"/>
  <c r="F132" i="37"/>
  <c r="F133" i="37"/>
  <c r="F2" i="37"/>
  <c r="N14" i="36" l="1"/>
  <c r="AZ14" i="36"/>
  <c r="AY14" i="36"/>
  <c r="AX14" i="36"/>
  <c r="AW14" i="36"/>
  <c r="AV14" i="36"/>
  <c r="AU14" i="36"/>
  <c r="AT14" i="36"/>
  <c r="AS14" i="36"/>
  <c r="AR14" i="36"/>
  <c r="AQ14" i="36"/>
  <c r="AP14" i="36"/>
  <c r="AO14" i="36"/>
  <c r="AN14" i="36"/>
  <c r="AM14" i="36"/>
  <c r="AL14" i="36"/>
  <c r="AK14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DE14" i="35"/>
  <c r="DF14" i="35"/>
  <c r="DG14" i="35"/>
  <c r="DH14" i="35"/>
  <c r="DI14" i="35"/>
  <c r="DJ14" i="35"/>
  <c r="DK14" i="35"/>
  <c r="CU14" i="35"/>
  <c r="CV14" i="35"/>
  <c r="CW14" i="35"/>
  <c r="CX14" i="35"/>
  <c r="CY14" i="35"/>
  <c r="CZ14" i="35"/>
  <c r="DA14" i="35"/>
  <c r="DB14" i="35"/>
  <c r="DC14" i="35"/>
  <c r="DD14" i="35"/>
  <c r="CK14" i="35"/>
  <c r="CL14" i="35"/>
  <c r="CM14" i="35"/>
  <c r="CN14" i="35"/>
  <c r="CO14" i="35"/>
  <c r="CP14" i="35"/>
  <c r="CQ14" i="35"/>
  <c r="CR14" i="35"/>
  <c r="CS14" i="35"/>
  <c r="CT14" i="35"/>
  <c r="CA14" i="35"/>
  <c r="CB14" i="35"/>
  <c r="CC14" i="35"/>
  <c r="CD14" i="35"/>
  <c r="CE14" i="35"/>
  <c r="CF14" i="35"/>
  <c r="CG14" i="35"/>
  <c r="CH14" i="35"/>
  <c r="CI14" i="35"/>
  <c r="CJ14" i="35"/>
  <c r="BM14" i="35"/>
  <c r="BN14" i="35"/>
  <c r="BO14" i="35"/>
  <c r="BP14" i="35"/>
  <c r="BQ14" i="35"/>
  <c r="BR14" i="35"/>
  <c r="BS14" i="35"/>
  <c r="BT14" i="35"/>
  <c r="BU14" i="35"/>
  <c r="BV14" i="35"/>
  <c r="BW14" i="35"/>
  <c r="BX14" i="35"/>
  <c r="BY14" i="35"/>
  <c r="BZ14" i="35"/>
  <c r="BB14" i="35"/>
  <c r="BC14" i="35"/>
  <c r="BD14" i="35"/>
  <c r="BE14" i="35"/>
  <c r="BF14" i="35"/>
  <c r="BG14" i="35"/>
  <c r="BH14" i="35"/>
  <c r="BI14" i="35"/>
  <c r="BJ14" i="35"/>
  <c r="BK14" i="35"/>
  <c r="BL14" i="35"/>
  <c r="AR14" i="35"/>
  <c r="AS14" i="35"/>
  <c r="AT14" i="35"/>
  <c r="AU14" i="35"/>
  <c r="AV14" i="35"/>
  <c r="AW14" i="35"/>
  <c r="AX14" i="35"/>
  <c r="AY14" i="35"/>
  <c r="AZ14" i="35"/>
  <c r="BA14" i="35"/>
  <c r="AD14" i="35"/>
  <c r="AE14" i="35"/>
  <c r="AF14" i="35"/>
  <c r="AG14" i="35"/>
  <c r="AH14" i="35"/>
  <c r="AI14" i="35"/>
  <c r="AJ14" i="35"/>
  <c r="AK14" i="35"/>
  <c r="AL14" i="35"/>
  <c r="AM14" i="35"/>
  <c r="AN14" i="35"/>
  <c r="AO14" i="35"/>
  <c r="AP14" i="35"/>
  <c r="AQ14" i="35"/>
  <c r="X14" i="35"/>
  <c r="Y14" i="35"/>
  <c r="Z14" i="35"/>
  <c r="AA14" i="35"/>
  <c r="AB14" i="35"/>
  <c r="AC14" i="35"/>
  <c r="Q14" i="35"/>
  <c r="R14" i="35"/>
  <c r="S14" i="35"/>
  <c r="T14" i="35"/>
  <c r="U14" i="35"/>
  <c r="V14" i="35"/>
  <c r="W14" i="35"/>
  <c r="O14" i="35"/>
  <c r="P14" i="35"/>
  <c r="N14" i="35"/>
  <c r="B50" i="34" l="1"/>
  <c r="DI202" i="10" l="1"/>
  <c r="DH202" i="10"/>
  <c r="DI201" i="10"/>
  <c r="DH201" i="10"/>
  <c r="DI200" i="10"/>
  <c r="DH200" i="10"/>
  <c r="DI199" i="10"/>
  <c r="DH199" i="10"/>
  <c r="DI198" i="10"/>
  <c r="DH198" i="10"/>
  <c r="DI197" i="10"/>
  <c r="DH197" i="10"/>
  <c r="DI196" i="10"/>
  <c r="DH196" i="10"/>
  <c r="DI195" i="10"/>
  <c r="DH195" i="10"/>
  <c r="DI194" i="10"/>
  <c r="DH194" i="10"/>
  <c r="DI193" i="10"/>
  <c r="DH193" i="10"/>
  <c r="DI192" i="10"/>
  <c r="DH192" i="10"/>
  <c r="DI191" i="10"/>
  <c r="DH191" i="10"/>
  <c r="DI190" i="10"/>
  <c r="DH190" i="10"/>
  <c r="DI189" i="10"/>
  <c r="DH189" i="10"/>
  <c r="DI188" i="10"/>
  <c r="DH188" i="10"/>
  <c r="DI187" i="10"/>
  <c r="DH187" i="10"/>
  <c r="DI186" i="10"/>
  <c r="DH186" i="10"/>
  <c r="DI185" i="10"/>
  <c r="DH185" i="10"/>
  <c r="DI184" i="10"/>
  <c r="DH184" i="10"/>
  <c r="DI183" i="10"/>
  <c r="DH183" i="10"/>
  <c r="DI182" i="10"/>
  <c r="DH182" i="10"/>
  <c r="DI181" i="10"/>
  <c r="DH181" i="10"/>
  <c r="DI180" i="10"/>
  <c r="DH180" i="10"/>
  <c r="DI179" i="10"/>
  <c r="DH179" i="10"/>
  <c r="DI178" i="10"/>
  <c r="DH178" i="10"/>
  <c r="DI177" i="10"/>
  <c r="DH177" i="10"/>
  <c r="DI176" i="10"/>
  <c r="DH176" i="10"/>
  <c r="DI175" i="10"/>
  <c r="DH175" i="10"/>
  <c r="DI174" i="10"/>
  <c r="DH174" i="10"/>
  <c r="DI173" i="10"/>
  <c r="DH173" i="10"/>
  <c r="DI172" i="10"/>
  <c r="DH172" i="10"/>
  <c r="DI171" i="10"/>
  <c r="DH171" i="10"/>
  <c r="DI170" i="10"/>
  <c r="DH170" i="10"/>
  <c r="DI169" i="10"/>
  <c r="DH169" i="10"/>
  <c r="DI168" i="10"/>
  <c r="DH168" i="10"/>
  <c r="DI167" i="10"/>
  <c r="DH167" i="10"/>
  <c r="DI166" i="10"/>
  <c r="DH166" i="10"/>
  <c r="DI165" i="10"/>
  <c r="DH165" i="10"/>
  <c r="DI164" i="10"/>
  <c r="DH164" i="10"/>
  <c r="DI163" i="10"/>
  <c r="DH163" i="10"/>
  <c r="DI162" i="10"/>
  <c r="DH162" i="10"/>
  <c r="DI161" i="10"/>
  <c r="DH161" i="10"/>
  <c r="DI160" i="10"/>
  <c r="DH160" i="10"/>
  <c r="DI159" i="10"/>
  <c r="DH159" i="10"/>
  <c r="DI158" i="10"/>
  <c r="DH158" i="10"/>
  <c r="DI157" i="10"/>
  <c r="DH157" i="10"/>
  <c r="DI156" i="10"/>
  <c r="DH156" i="10"/>
  <c r="DI155" i="10"/>
  <c r="DH155" i="10"/>
  <c r="DI154" i="10"/>
  <c r="DH154" i="10"/>
  <c r="DI153" i="10"/>
  <c r="DH153" i="10"/>
  <c r="DI152" i="10"/>
  <c r="DH152" i="10"/>
  <c r="DI151" i="10"/>
  <c r="DH151" i="10"/>
  <c r="DI150" i="10"/>
  <c r="DH150" i="10"/>
  <c r="DI149" i="10"/>
  <c r="DH149" i="10"/>
  <c r="DI148" i="10"/>
  <c r="DH148" i="10"/>
  <c r="DI147" i="10"/>
  <c r="DH147" i="10"/>
  <c r="DI146" i="10"/>
  <c r="DH146" i="10"/>
  <c r="DI145" i="10"/>
  <c r="DH145" i="10"/>
  <c r="DI144" i="10"/>
  <c r="DH144" i="10"/>
  <c r="DI143" i="10"/>
  <c r="DH143" i="10"/>
  <c r="DI142" i="10"/>
  <c r="DH142" i="10"/>
  <c r="DI141" i="10"/>
  <c r="DH141" i="10"/>
  <c r="DI140" i="10"/>
  <c r="DH140" i="10"/>
  <c r="DI139" i="10"/>
  <c r="DH139" i="10"/>
  <c r="DI138" i="10"/>
  <c r="DH138" i="10"/>
  <c r="DI137" i="10"/>
  <c r="DH137" i="10"/>
  <c r="DI136" i="10"/>
  <c r="DH136" i="10"/>
  <c r="DI135" i="10"/>
  <c r="DH135" i="10"/>
  <c r="DI134" i="10"/>
  <c r="DH134" i="10"/>
  <c r="DI133" i="10"/>
  <c r="DH133" i="10"/>
  <c r="DI132" i="10"/>
  <c r="DH132" i="10"/>
  <c r="DI131" i="10"/>
  <c r="DH131" i="10"/>
  <c r="DI130" i="10"/>
  <c r="DH130" i="10"/>
  <c r="DI129" i="10"/>
  <c r="DH129" i="10"/>
  <c r="DI128" i="10"/>
  <c r="DH128" i="10"/>
  <c r="DI127" i="10"/>
  <c r="DH127" i="10"/>
  <c r="DI126" i="10"/>
  <c r="DH126" i="10"/>
  <c r="DI125" i="10"/>
  <c r="DH125" i="10"/>
  <c r="DI124" i="10"/>
  <c r="DH124" i="10"/>
  <c r="DI123" i="10"/>
  <c r="DH123" i="10"/>
  <c r="DI122" i="10"/>
  <c r="DH122" i="10"/>
  <c r="DI121" i="10"/>
  <c r="DH121" i="10"/>
  <c r="DI120" i="10"/>
  <c r="DH120" i="10"/>
  <c r="DI119" i="10"/>
  <c r="DH119" i="10"/>
  <c r="DI118" i="10"/>
  <c r="DH118" i="10"/>
  <c r="DI117" i="10"/>
  <c r="DH117" i="10"/>
  <c r="DI116" i="10"/>
  <c r="DH116" i="10"/>
  <c r="DI115" i="10"/>
  <c r="DH115" i="10"/>
  <c r="DI114" i="10"/>
  <c r="DH114" i="10"/>
  <c r="DI113" i="10"/>
  <c r="DH113" i="10"/>
  <c r="DI112" i="10"/>
  <c r="DH112" i="10"/>
  <c r="DI111" i="10"/>
  <c r="DH111" i="10"/>
  <c r="DI110" i="10"/>
  <c r="DH110" i="10"/>
  <c r="DI109" i="10"/>
  <c r="DH109" i="10"/>
  <c r="DI108" i="10"/>
  <c r="DH108" i="10"/>
  <c r="DI107" i="10"/>
  <c r="DH107" i="10"/>
  <c r="DI106" i="10"/>
  <c r="DH106" i="10"/>
  <c r="DI105" i="10"/>
  <c r="DH105" i="10"/>
  <c r="DI104" i="10"/>
  <c r="DH104" i="10"/>
  <c r="DI103" i="10"/>
  <c r="DH103" i="10"/>
  <c r="DI102" i="10"/>
  <c r="DH102" i="10"/>
  <c r="DI101" i="10"/>
  <c r="DH101" i="10"/>
  <c r="DI100" i="10"/>
  <c r="DH100" i="10"/>
  <c r="DI99" i="10"/>
  <c r="DH99" i="10"/>
  <c r="DI98" i="10"/>
  <c r="DH98" i="10"/>
  <c r="DI97" i="10"/>
  <c r="DH97" i="10"/>
  <c r="DI96" i="10"/>
  <c r="DH96" i="10"/>
  <c r="DI95" i="10"/>
  <c r="DH95" i="10"/>
  <c r="DI94" i="10"/>
  <c r="DH94" i="10"/>
  <c r="DI93" i="10"/>
  <c r="DH93" i="10"/>
  <c r="DI92" i="10"/>
  <c r="DH92" i="10"/>
  <c r="DI91" i="10"/>
  <c r="DH91" i="10"/>
  <c r="DI90" i="10"/>
  <c r="DH90" i="10"/>
  <c r="DI89" i="10"/>
  <c r="DH89" i="10"/>
  <c r="DI88" i="10"/>
  <c r="DH88" i="10"/>
  <c r="DI87" i="10"/>
  <c r="DH87" i="10"/>
  <c r="DI86" i="10"/>
  <c r="DH86" i="10"/>
  <c r="DI85" i="10"/>
  <c r="DH85" i="10"/>
  <c r="DI84" i="10"/>
  <c r="DH84" i="10"/>
  <c r="DI83" i="10"/>
  <c r="DH83" i="10"/>
  <c r="DI82" i="10"/>
  <c r="DH82" i="10"/>
  <c r="DI81" i="10"/>
  <c r="DH81" i="10"/>
  <c r="DI80" i="10"/>
  <c r="DH80" i="10"/>
  <c r="DI79" i="10"/>
  <c r="DH79" i="10"/>
  <c r="DI78" i="10"/>
  <c r="DH78" i="10"/>
  <c r="DI77" i="10"/>
  <c r="DH77" i="10"/>
  <c r="DI76" i="10"/>
  <c r="DH76" i="10"/>
  <c r="DI75" i="10"/>
  <c r="DH75" i="10"/>
  <c r="DI74" i="10"/>
  <c r="DH74" i="10"/>
  <c r="DI73" i="10"/>
  <c r="DH73" i="10"/>
  <c r="DI72" i="10"/>
  <c r="DH72" i="10"/>
  <c r="DI71" i="10"/>
  <c r="DH71" i="10"/>
  <c r="DI70" i="10"/>
  <c r="DH70" i="10"/>
  <c r="DI69" i="10"/>
  <c r="DH69" i="10"/>
  <c r="DI68" i="10"/>
  <c r="DH68" i="10"/>
  <c r="DI67" i="10"/>
  <c r="DH67" i="10"/>
  <c r="DI66" i="10"/>
  <c r="DH66" i="10"/>
  <c r="DI65" i="10"/>
  <c r="DH65" i="10"/>
  <c r="DI64" i="10"/>
  <c r="DH64" i="10"/>
  <c r="DI63" i="10"/>
  <c r="DH63" i="10"/>
  <c r="DI62" i="10"/>
  <c r="DH62" i="10"/>
  <c r="DI61" i="10"/>
  <c r="DH61" i="10"/>
  <c r="DI60" i="10"/>
  <c r="DH60" i="10"/>
  <c r="DI59" i="10"/>
  <c r="DH59" i="10"/>
  <c r="DI58" i="10"/>
  <c r="DH58" i="10"/>
  <c r="DI57" i="10"/>
  <c r="DH57" i="10"/>
  <c r="DI56" i="10"/>
  <c r="DH56" i="10"/>
  <c r="DI55" i="10"/>
  <c r="DH55" i="10"/>
  <c r="DI54" i="10"/>
  <c r="DH54" i="10"/>
  <c r="DI53" i="10"/>
  <c r="DH53" i="10"/>
  <c r="DI52" i="10"/>
  <c r="DH52" i="10"/>
  <c r="DI51" i="10"/>
  <c r="DH51" i="10"/>
  <c r="DI50" i="10"/>
  <c r="DH50" i="10"/>
  <c r="DI49" i="10"/>
  <c r="DH49" i="10"/>
  <c r="DI48" i="10"/>
  <c r="DH48" i="10"/>
  <c r="DI47" i="10"/>
  <c r="DH47" i="10"/>
  <c r="DI46" i="10"/>
  <c r="DH46" i="10"/>
  <c r="DI45" i="10"/>
  <c r="DH45" i="10"/>
  <c r="DI44" i="10"/>
  <c r="DH44" i="10"/>
  <c r="DI43" i="10"/>
  <c r="DH43" i="10"/>
  <c r="DI42" i="10"/>
  <c r="DH42" i="10"/>
  <c r="DI41" i="10"/>
  <c r="DH41" i="10"/>
  <c r="DI40" i="10"/>
  <c r="DH40" i="10"/>
  <c r="DI39" i="10"/>
  <c r="DH39" i="10"/>
  <c r="DI38" i="10"/>
  <c r="DH38" i="10"/>
  <c r="DI37" i="10"/>
  <c r="DH37" i="10"/>
  <c r="DI36" i="10"/>
  <c r="DH36" i="10"/>
  <c r="DI35" i="10"/>
  <c r="DH35" i="10"/>
  <c r="DI34" i="10"/>
  <c r="DH34" i="10"/>
  <c r="DI33" i="10"/>
  <c r="DH33" i="10"/>
  <c r="DI32" i="10"/>
  <c r="DH32" i="10"/>
  <c r="DI31" i="10"/>
  <c r="DH31" i="10"/>
  <c r="DI30" i="10"/>
  <c r="DH30" i="10"/>
  <c r="DI29" i="10"/>
  <c r="DH29" i="10"/>
  <c r="DI28" i="10"/>
  <c r="DH28" i="10"/>
  <c r="DI27" i="10"/>
  <c r="DH27" i="10"/>
  <c r="DI26" i="10"/>
  <c r="DH26" i="10"/>
  <c r="DI25" i="10"/>
  <c r="DH25" i="10"/>
  <c r="DI24" i="10"/>
  <c r="DH24" i="10"/>
  <c r="DI23" i="10"/>
  <c r="DH23" i="10"/>
  <c r="DI22" i="10"/>
  <c r="DH22" i="10"/>
  <c r="DI21" i="10"/>
  <c r="DH21" i="10"/>
  <c r="DI20" i="10"/>
  <c r="DH20" i="10"/>
  <c r="DI19" i="10"/>
  <c r="DH19" i="10"/>
  <c r="DI18" i="10"/>
  <c r="DH18" i="10"/>
  <c r="DI17" i="10"/>
  <c r="DH17" i="10"/>
  <c r="DI16" i="10"/>
  <c r="DH16" i="10"/>
  <c r="DI15" i="10"/>
  <c r="DH15" i="10"/>
  <c r="DI14" i="10"/>
  <c r="DH14" i="10"/>
  <c r="DI13" i="10"/>
  <c r="DH13" i="10"/>
  <c r="DI12" i="10"/>
  <c r="DH12" i="10"/>
  <c r="DI11" i="10"/>
  <c r="DH11" i="10"/>
  <c r="DI10" i="10"/>
  <c r="DH10" i="10"/>
  <c r="DI9" i="10"/>
  <c r="DH9" i="10"/>
  <c r="DI8" i="10"/>
  <c r="DH8" i="10"/>
  <c r="DI7" i="10"/>
  <c r="DH7" i="10"/>
  <c r="DI6" i="10"/>
  <c r="DH6" i="10"/>
  <c r="DI5" i="10"/>
  <c r="DH5" i="10"/>
  <c r="DJ6" i="1" l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5" i="1"/>
</calcChain>
</file>

<file path=xl/sharedStrings.xml><?xml version="1.0" encoding="utf-8"?>
<sst xmlns="http://schemas.openxmlformats.org/spreadsheetml/2006/main" count="8689" uniqueCount="215">
  <si>
    <t>LC</t>
  </si>
  <si>
    <t>Vu</t>
  </si>
  <si>
    <t>Endemism</t>
  </si>
  <si>
    <t>N</t>
  </si>
  <si>
    <t>,</t>
  </si>
  <si>
    <t>Y</t>
  </si>
  <si>
    <t>Species</t>
  </si>
  <si>
    <t>Sampling Session</t>
  </si>
  <si>
    <t>Transect &amp; Elevation</t>
  </si>
  <si>
    <t>Session</t>
  </si>
  <si>
    <t>Date</t>
  </si>
  <si>
    <t>Date of the year starting from Aug 1st</t>
  </si>
  <si>
    <t>GPS coordinates N</t>
  </si>
  <si>
    <t>GPS coordinates E</t>
  </si>
  <si>
    <t>Average Humidity (%)</t>
  </si>
  <si>
    <t>Average Light intensity KLux</t>
  </si>
  <si>
    <t>Average Temperature</t>
  </si>
  <si>
    <t>Average Wind speed</t>
  </si>
  <si>
    <t>Average Cloud cover</t>
  </si>
  <si>
    <t>Elevation of the cloudline</t>
  </si>
  <si>
    <t>Visibility Percentage</t>
  </si>
  <si>
    <t>Ordinal Habitat type (1SG,2TG,3GT,4ST,5T,6TT)</t>
  </si>
  <si>
    <t>King quail</t>
  </si>
  <si>
    <t>Spurfowl</t>
  </si>
  <si>
    <t>Jungle fowl</t>
  </si>
  <si>
    <t>Indian peafowl</t>
  </si>
  <si>
    <t>Peregrine Falcon</t>
  </si>
  <si>
    <t>Brahminy kite</t>
  </si>
  <si>
    <t>White bellied sea eagle</t>
  </si>
  <si>
    <t>Oriental Honey-buzzard</t>
  </si>
  <si>
    <t>Crested Serpant Eagle</t>
  </si>
  <si>
    <t>Black eagle</t>
  </si>
  <si>
    <t>Rufous bellied Eagle</t>
  </si>
  <si>
    <t>Legg'sHawk eagle</t>
  </si>
  <si>
    <t>Sri Lanka Green pigeon</t>
  </si>
  <si>
    <t>Wood piegon</t>
  </si>
  <si>
    <t>Spotted Dove</t>
  </si>
  <si>
    <t>Emerald Dove</t>
  </si>
  <si>
    <t>Sri Lanka Hanging Parrot</t>
  </si>
  <si>
    <t>Layerd's Parakeet</t>
  </si>
  <si>
    <t>Alexandrian parakeet</t>
  </si>
  <si>
    <t>Rose ringed Parakeet</t>
  </si>
  <si>
    <t>Plum headed parakeet</t>
  </si>
  <si>
    <t>Common Hawk Cuckoo</t>
  </si>
  <si>
    <t>Indian Cuckoo</t>
  </si>
  <si>
    <t xml:space="preserve">Banded bay Cuckoo </t>
  </si>
  <si>
    <t>Drongo cuckoo</t>
  </si>
  <si>
    <t>Greater coucal</t>
  </si>
  <si>
    <t>Sri Lanka Frogmouth</t>
  </si>
  <si>
    <t>Chestnut backed Owlet</t>
  </si>
  <si>
    <t>Brown wood owl</t>
  </si>
  <si>
    <t>Indian swiftlet</t>
  </si>
  <si>
    <t xml:space="preserve">Little swift </t>
  </si>
  <si>
    <t>Asian palm swift</t>
  </si>
  <si>
    <t>Blue-tailed Bee-eater</t>
  </si>
  <si>
    <t xml:space="preserve">Dwaft kingfisher </t>
  </si>
  <si>
    <t>Malabar Trogon</t>
  </si>
  <si>
    <t>Brown headed barbet</t>
  </si>
  <si>
    <t>Yellow fronted Barbet</t>
  </si>
  <si>
    <t>Crimson fronted Barbet</t>
  </si>
  <si>
    <t>Copper smith Barbet</t>
  </si>
  <si>
    <t>Sri Lanka Grey Hornbill</t>
  </si>
  <si>
    <t xml:space="preserve">Red backed Flameback </t>
  </si>
  <si>
    <t>Indian pitta</t>
  </si>
  <si>
    <t>Sri Lanka Woodshrike</t>
  </si>
  <si>
    <t>Orange minivet</t>
  </si>
  <si>
    <t>Bar-winged Flycatcher-shrike</t>
  </si>
  <si>
    <t>Brown shrike</t>
  </si>
  <si>
    <t>Common Iora</t>
  </si>
  <si>
    <t>Jerdon's leafbird</t>
  </si>
  <si>
    <t>Golden frronted leafbird</t>
  </si>
  <si>
    <t>Black hooded Oriole</t>
  </si>
  <si>
    <t>Barn Swallow</t>
  </si>
  <si>
    <t>Hill Swallow</t>
  </si>
  <si>
    <t>Sri Lankan Swallow</t>
  </si>
  <si>
    <t>Sri Lanaka Drongo</t>
  </si>
  <si>
    <t>White bellied drongo</t>
  </si>
  <si>
    <t>Paddyfield Pipit</t>
  </si>
  <si>
    <t>Black capped Bulbul</t>
  </si>
  <si>
    <t>Red vented Bulbul</t>
  </si>
  <si>
    <t>Yellow eared Bulbul</t>
  </si>
  <si>
    <t>White browed Bulbul</t>
  </si>
  <si>
    <t>Yellow browed Bulbul</t>
  </si>
  <si>
    <t>Square tailed bulbul</t>
  </si>
  <si>
    <t>Grey breasted Prinia</t>
  </si>
  <si>
    <t>Jungle prinia</t>
  </si>
  <si>
    <t>Ashy Prinia</t>
  </si>
  <si>
    <t>Plain prinia</t>
  </si>
  <si>
    <t>Common Tailorbird</t>
  </si>
  <si>
    <t>Zitting cisticola</t>
  </si>
  <si>
    <t xml:space="preserve">Green Wabbler </t>
  </si>
  <si>
    <t>Large billed leaf wabbler</t>
  </si>
  <si>
    <t>Black-naped Monarch</t>
  </si>
  <si>
    <t>Asian Paradise Flycatcher</t>
  </si>
  <si>
    <t>Brown capped Babbler</t>
  </si>
  <si>
    <t>Scimitter Babbler</t>
  </si>
  <si>
    <t>Dark fronted Babbler</t>
  </si>
  <si>
    <t>Orange billed Babbler</t>
  </si>
  <si>
    <t>Yellow billed Babbler</t>
  </si>
  <si>
    <t>Lesser hill myna</t>
  </si>
  <si>
    <t>Common mynah</t>
  </si>
  <si>
    <t>Sri Lanka Whistling Thrush</t>
  </si>
  <si>
    <t>Spot winged Thrush</t>
  </si>
  <si>
    <t xml:space="preserve">Oriental magpie Robin </t>
  </si>
  <si>
    <t>Indian Blue Robin</t>
  </si>
  <si>
    <t>White rumped Shama</t>
  </si>
  <si>
    <t>Asian brown Flycatcher</t>
  </si>
  <si>
    <t>Brown breasted Flycatcher</t>
  </si>
  <si>
    <t>Dull blue Flycatcher</t>
  </si>
  <si>
    <t>Tickell's blue Flycatcher</t>
  </si>
  <si>
    <t>Grey-headed Canary Flycatcher</t>
  </si>
  <si>
    <t>Pale billed Flowerpecker</t>
  </si>
  <si>
    <t>Purple rumped Sunbird</t>
  </si>
  <si>
    <t>Purple sunbird</t>
  </si>
  <si>
    <t xml:space="preserve">Loten's sunbird </t>
  </si>
  <si>
    <t>Oriental whiteye</t>
  </si>
  <si>
    <t>Sri Lankan whiteye</t>
  </si>
  <si>
    <t>Velvet fronted nuthatch</t>
  </si>
  <si>
    <t>Great tit</t>
  </si>
  <si>
    <t>Aug</t>
  </si>
  <si>
    <t>Morning</t>
  </si>
  <si>
    <t>28/08/2022</t>
  </si>
  <si>
    <t>Evening</t>
  </si>
  <si>
    <t>22/08/2022</t>
  </si>
  <si>
    <t>25/08/2022</t>
  </si>
  <si>
    <t>27/08/2022</t>
  </si>
  <si>
    <t>29/08/2022</t>
  </si>
  <si>
    <t>30/08/2022</t>
  </si>
  <si>
    <t>15/8/2022</t>
  </si>
  <si>
    <t>20/8/2022</t>
  </si>
  <si>
    <t>18/8/2022</t>
  </si>
  <si>
    <t>21/08/2022</t>
  </si>
  <si>
    <t>23/08/2022</t>
  </si>
  <si>
    <t>27/8/2023</t>
  </si>
  <si>
    <t>Sep</t>
  </si>
  <si>
    <t>17/09/2022</t>
  </si>
  <si>
    <t>15/09/2022</t>
  </si>
  <si>
    <t>21/09/2022</t>
  </si>
  <si>
    <t xml:space="preserve">Sep </t>
  </si>
  <si>
    <t xml:space="preserve">Morning </t>
  </si>
  <si>
    <t xml:space="preserve">Evening </t>
  </si>
  <si>
    <t>Oct</t>
  </si>
  <si>
    <t>22/10/2022</t>
  </si>
  <si>
    <t>23/10/2022</t>
  </si>
  <si>
    <t>25/10/2022</t>
  </si>
  <si>
    <t>29/10/2022</t>
  </si>
  <si>
    <t>Nov</t>
  </si>
  <si>
    <t>25/11/2022</t>
  </si>
  <si>
    <t>27/11/2022</t>
  </si>
  <si>
    <t>13/11/2022</t>
  </si>
  <si>
    <t>16/11/2022</t>
  </si>
  <si>
    <t>19/11/2022</t>
  </si>
  <si>
    <t>26/11/2022</t>
  </si>
  <si>
    <t>Dec</t>
  </si>
  <si>
    <t>24/12/2022</t>
  </si>
  <si>
    <t>22/12/2022</t>
  </si>
  <si>
    <t>23/12/2022</t>
  </si>
  <si>
    <t>21/12/2022</t>
  </si>
  <si>
    <t>Jan</t>
  </si>
  <si>
    <t>16/1/2023</t>
  </si>
  <si>
    <t>21/1/2023</t>
  </si>
  <si>
    <t>22/1/2023</t>
  </si>
  <si>
    <t>14/1/2023</t>
  </si>
  <si>
    <t>15/1/2023</t>
  </si>
  <si>
    <t>Feb</t>
  </si>
  <si>
    <t>19/2/2023</t>
  </si>
  <si>
    <t>18/2/2023</t>
  </si>
  <si>
    <t>17/2/2023</t>
  </si>
  <si>
    <t>March</t>
  </si>
  <si>
    <t>16/3/2023</t>
  </si>
  <si>
    <t>13/3/2023</t>
  </si>
  <si>
    <t>15/3/2023</t>
  </si>
  <si>
    <t>April</t>
  </si>
  <si>
    <t xml:space="preserve">                                                                                                                                             </t>
  </si>
  <si>
    <t>Species richness</t>
  </si>
  <si>
    <t>Abundance</t>
  </si>
  <si>
    <t>T1 - 480m</t>
  </si>
  <si>
    <t>T2 - 580m</t>
  </si>
  <si>
    <t xml:space="preserve">T2 - 580m </t>
  </si>
  <si>
    <t>T3 - 780m</t>
  </si>
  <si>
    <t>T4 - 780m</t>
  </si>
  <si>
    <t>T5 - 870m</t>
  </si>
  <si>
    <t>T6 - 1250m</t>
  </si>
  <si>
    <t>T8 - 1250m</t>
  </si>
  <si>
    <t>T7 - 1250m</t>
  </si>
  <si>
    <t>T9 - 1360m</t>
  </si>
  <si>
    <t>T10 - 1420m</t>
  </si>
  <si>
    <t>Transect_&amp;_Elevation</t>
  </si>
  <si>
    <t>Average_Humidity</t>
  </si>
  <si>
    <t>Average_Light_intensity</t>
  </si>
  <si>
    <t>Average_Temperature</t>
  </si>
  <si>
    <t>Average_Wind_speed</t>
  </si>
  <si>
    <t>Average_Cloud_cover</t>
  </si>
  <si>
    <t>Visibility_Percentage</t>
  </si>
  <si>
    <t>Habitat_type</t>
  </si>
  <si>
    <t>Species_richness</t>
  </si>
  <si>
    <t>Sampling_Session</t>
  </si>
  <si>
    <t>Cloudline</t>
  </si>
  <si>
    <t>T6 - 1000m</t>
  </si>
  <si>
    <t>T7 - 1100m</t>
  </si>
  <si>
    <t>T3 - 700m</t>
  </si>
  <si>
    <t>Date_Number</t>
  </si>
  <si>
    <t>T1</t>
  </si>
  <si>
    <t>-</t>
  </si>
  <si>
    <t>T2</t>
  </si>
  <si>
    <t>T3</t>
  </si>
  <si>
    <t>T5</t>
  </si>
  <si>
    <t>T6</t>
  </si>
  <si>
    <t>T7</t>
  </si>
  <si>
    <t>T8</t>
  </si>
  <si>
    <t>T9</t>
  </si>
  <si>
    <t>T10</t>
  </si>
  <si>
    <t>T4</t>
  </si>
  <si>
    <t>Distance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</si>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</sst>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4E4E8"/>
        <bgColor rgb="FFB4E4E8"/>
      </patternFill>
    </fill>
    <fill>
      <patternFill patternType="solid">
        <fgColor theme="9" tint="0.59999389629810485"/>
        <bgColor rgb="FFB4E4E8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theme="2" tint="-4.9989318521683403E-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1" fillId="5" borderId="1" xfId="0" applyFont="1" applyFill="1" applyBorder="1" applyAlignment="1">
      <alignment textRotation="90"/>
    </xf>
    <xf numFmtId="0" fontId="1" fillId="6" borderId="1" xfId="0" applyFont="1" applyFill="1" applyBorder="1" applyAlignment="1">
      <alignment horizontal="right" textRotation="90"/>
    </xf>
    <xf numFmtId="0" fontId="3" fillId="7" borderId="1" xfId="0" applyFont="1" applyFill="1" applyBorder="1" applyAlignment="1">
      <alignment textRotation="90"/>
    </xf>
    <xf numFmtId="0" fontId="1" fillId="5" borderId="1" xfId="0" applyFont="1" applyFill="1" applyBorder="1" applyAlignment="1">
      <alignment horizontal="left" textRotation="90"/>
    </xf>
    <xf numFmtId="0" fontId="3" fillId="8" borderId="1" xfId="0" applyFont="1" applyFill="1" applyBorder="1" applyAlignment="1">
      <alignment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14" fontId="4" fillId="0" borderId="1" xfId="0" applyNumberFormat="1" applyFont="1" applyBorder="1"/>
    <xf numFmtId="0" fontId="4" fillId="10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4" fontId="7" fillId="0" borderId="1" xfId="0" applyNumberFormat="1" applyFont="1" applyBorder="1"/>
    <xf numFmtId="0" fontId="7" fillId="10" borderId="1" xfId="0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5" fillId="9" borderId="1" xfId="0" applyFont="1" applyFill="1" applyBorder="1"/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14" fontId="8" fillId="0" borderId="1" xfId="0" applyNumberFormat="1" applyFont="1" applyBorder="1"/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14" fontId="0" fillId="0" borderId="1" xfId="0" applyNumberFormat="1" applyBorder="1"/>
    <xf numFmtId="2" fontId="5" fillId="0" borderId="1" xfId="0" applyNumberFormat="1" applyFont="1" applyBorder="1"/>
    <xf numFmtId="1" fontId="4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4" fillId="10" borderId="1" xfId="0" applyFont="1" applyFill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/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0" fontId="7" fillId="10" borderId="1" xfId="0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 applyAlignment="1">
      <alignment horizontal="left"/>
    </xf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2" fontId="5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2" fillId="0" borderId="1" xfId="0" applyFont="1" applyBorder="1" applyAlignment="1">
      <alignment horizontal="left"/>
    </xf>
    <xf numFmtId="165" fontId="4" fillId="0" borderId="1" xfId="0" applyNumberFormat="1" applyFont="1" applyBorder="1"/>
    <xf numFmtId="14" fontId="4" fillId="0" borderId="1" xfId="0" applyNumberFormat="1" applyFont="1" applyBorder="1" applyAlignment="1">
      <alignment horizontal="center"/>
    </xf>
    <xf numFmtId="2" fontId="5" fillId="0" borderId="1" xfId="0" applyNumberFormat="1" applyFont="1" applyBorder="1"/>
    <xf numFmtId="14" fontId="8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4" fillId="10" borderId="1" xfId="0" applyFont="1" applyFill="1" applyBorder="1"/>
    <xf numFmtId="0" fontId="2" fillId="0" borderId="1" xfId="0" applyFont="1" applyBorder="1" applyAlignment="1">
      <alignment horizontal="left"/>
    </xf>
    <xf numFmtId="165" fontId="4" fillId="0" borderId="1" xfId="0" applyNumberFormat="1" applyFont="1" applyBorder="1"/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2" fontId="5" fillId="0" borderId="1" xfId="0" applyNumberFormat="1" applyFont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textRotation="90"/>
    </xf>
    <xf numFmtId="0" fontId="1" fillId="6" borderId="1" xfId="0" applyFont="1" applyFill="1" applyBorder="1" applyAlignment="1">
      <alignment horizontal="right" textRotation="90"/>
    </xf>
    <xf numFmtId="0" fontId="3" fillId="7" borderId="1" xfId="0" applyFont="1" applyFill="1" applyBorder="1" applyAlignment="1">
      <alignment textRotation="90"/>
    </xf>
    <xf numFmtId="0" fontId="1" fillId="5" borderId="1" xfId="0" applyFont="1" applyFill="1" applyBorder="1" applyAlignment="1">
      <alignment horizontal="left" textRotation="90"/>
    </xf>
    <xf numFmtId="0" fontId="3" fillId="8" borderId="1" xfId="0" applyFont="1" applyFill="1" applyBorder="1" applyAlignment="1">
      <alignment textRotation="90"/>
    </xf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4" fillId="10" borderId="1" xfId="0" applyFont="1" applyFill="1" applyBorder="1"/>
    <xf numFmtId="0" fontId="2" fillId="0" borderId="1" xfId="0" applyFont="1" applyBorder="1" applyAlignment="1">
      <alignment horizontal="left"/>
    </xf>
    <xf numFmtId="165" fontId="4" fillId="0" borderId="1" xfId="0" applyNumberFormat="1" applyFont="1" applyBorder="1"/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2" fontId="5" fillId="0" borderId="1" xfId="0" applyNumberFormat="1" applyFont="1" applyBorder="1"/>
    <xf numFmtId="0" fontId="10" fillId="0" borderId="0" xfId="0" applyFont="1" applyBorder="1"/>
    <xf numFmtId="0" fontId="4" fillId="0" borderId="0" xfId="0" applyFont="1" applyBorder="1"/>
    <xf numFmtId="0" fontId="4" fillId="11" borderId="1" xfId="0" applyFont="1" applyFill="1" applyBorder="1"/>
    <xf numFmtId="0" fontId="2" fillId="11" borderId="1" xfId="0" applyFont="1" applyFill="1" applyBorder="1" applyAlignment="1">
      <alignment horizontal="left"/>
    </xf>
    <xf numFmtId="2" fontId="4" fillId="11" borderId="1" xfId="0" applyNumberFormat="1" applyFont="1" applyFill="1" applyBorder="1"/>
    <xf numFmtId="0" fontId="4" fillId="11" borderId="1" xfId="0" applyFont="1" applyFill="1" applyBorder="1" applyAlignment="1">
      <alignment horizontal="center"/>
    </xf>
    <xf numFmtId="0" fontId="0" fillId="11" borderId="1" xfId="0" applyFill="1" applyBorder="1"/>
    <xf numFmtId="0" fontId="0" fillId="11" borderId="0" xfId="0" applyFill="1"/>
    <xf numFmtId="165" fontId="4" fillId="11" borderId="1" xfId="0" applyNumberFormat="1" applyFont="1" applyFill="1" applyBorder="1"/>
    <xf numFmtId="14" fontId="4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2" fontId="5" fillId="11" borderId="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0" xfId="0" applyFill="1" applyBorder="1"/>
    <xf numFmtId="0" fontId="4" fillId="11" borderId="0" xfId="0" applyFont="1" applyFill="1" applyBorder="1"/>
    <xf numFmtId="0" fontId="1" fillId="3" borderId="2" xfId="0" applyFont="1" applyFill="1" applyBorder="1" applyAlignment="1">
      <alignment textRotation="90"/>
    </xf>
    <xf numFmtId="0" fontId="4" fillId="12" borderId="1" xfId="0" applyFont="1" applyFill="1" applyBorder="1"/>
    <xf numFmtId="0" fontId="2" fillId="12" borderId="1" xfId="0" applyFont="1" applyFill="1" applyBorder="1" applyAlignment="1">
      <alignment horizontal="left"/>
    </xf>
    <xf numFmtId="165" fontId="4" fillId="12" borderId="1" xfId="0" applyNumberFormat="1" applyFont="1" applyFill="1" applyBorder="1"/>
    <xf numFmtId="0" fontId="4" fillId="12" borderId="1" xfId="0" applyFont="1" applyFill="1" applyBorder="1" applyAlignment="1">
      <alignment horizontal="center"/>
    </xf>
    <xf numFmtId="0" fontId="0" fillId="12" borderId="1" xfId="0" applyFill="1" applyBorder="1"/>
    <xf numFmtId="0" fontId="0" fillId="12" borderId="0" xfId="0" applyFill="1"/>
    <xf numFmtId="0" fontId="0" fillId="12" borderId="0" xfId="0" applyFill="1" applyBorder="1"/>
    <xf numFmtId="2" fontId="4" fillId="1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Sheet22!$B$1</c:f>
              <c:strCache>
                <c:ptCount val="1"/>
                <c:pt idx="0">
                  <c:v>Cloudline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Sheet22!$A$2:$A$49</c:f>
              <c:numCache>
                <c:formatCode>General</c:formatCode>
                <c:ptCount val="48"/>
                <c:pt idx="0">
                  <c:v>105</c:v>
                </c:pt>
                <c:pt idx="1">
                  <c:v>105</c:v>
                </c:pt>
                <c:pt idx="2">
                  <c:v>108</c:v>
                </c:pt>
                <c:pt idx="3">
                  <c:v>111</c:v>
                </c:pt>
                <c:pt idx="4">
                  <c:v>117</c:v>
                </c:pt>
                <c:pt idx="5">
                  <c:v>118</c:v>
                </c:pt>
                <c:pt idx="6">
                  <c:v>118</c:v>
                </c:pt>
                <c:pt idx="7">
                  <c:v>133</c:v>
                </c:pt>
                <c:pt idx="8">
                  <c:v>133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145</c:v>
                </c:pt>
                <c:pt idx="15">
                  <c:v>145</c:v>
                </c:pt>
                <c:pt idx="16">
                  <c:v>145</c:v>
                </c:pt>
                <c:pt idx="17">
                  <c:v>146</c:v>
                </c:pt>
                <c:pt idx="18">
                  <c:v>159</c:v>
                </c:pt>
                <c:pt idx="19">
                  <c:v>160</c:v>
                </c:pt>
                <c:pt idx="20">
                  <c:v>160</c:v>
                </c:pt>
                <c:pt idx="21">
                  <c:v>167</c:v>
                </c:pt>
                <c:pt idx="22">
                  <c:v>167</c:v>
                </c:pt>
                <c:pt idx="23">
                  <c:v>168</c:v>
                </c:pt>
                <c:pt idx="24">
                  <c:v>168</c:v>
                </c:pt>
                <c:pt idx="25">
                  <c:v>169</c:v>
                </c:pt>
                <c:pt idx="26">
                  <c:v>174</c:v>
                </c:pt>
                <c:pt idx="27">
                  <c:v>175</c:v>
                </c:pt>
                <c:pt idx="28">
                  <c:v>187</c:v>
                </c:pt>
                <c:pt idx="29">
                  <c:v>188</c:v>
                </c:pt>
                <c:pt idx="30">
                  <c:v>189</c:v>
                </c:pt>
                <c:pt idx="31">
                  <c:v>190</c:v>
                </c:pt>
                <c:pt idx="32">
                  <c:v>201</c:v>
                </c:pt>
                <c:pt idx="33">
                  <c:v>202</c:v>
                </c:pt>
                <c:pt idx="34">
                  <c:v>203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227</c:v>
                </c:pt>
                <c:pt idx="39">
                  <c:v>227</c:v>
                </c:pt>
                <c:pt idx="40">
                  <c:v>227</c:v>
                </c:pt>
                <c:pt idx="41">
                  <c:v>228</c:v>
                </c:pt>
                <c:pt idx="42">
                  <c:v>228</c:v>
                </c:pt>
                <c:pt idx="43">
                  <c:v>250</c:v>
                </c:pt>
                <c:pt idx="44">
                  <c:v>251</c:v>
                </c:pt>
                <c:pt idx="45">
                  <c:v>252</c:v>
                </c:pt>
              </c:numCache>
            </c:numRef>
          </c:xVal>
          <c:yVal>
            <c:numRef>
              <c:f>Sheet22!$B$2:$B$49</c:f>
              <c:numCache>
                <c:formatCode>General</c:formatCode>
                <c:ptCount val="48"/>
                <c:pt idx="0">
                  <c:v>870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1360</c:v>
                </c:pt>
                <c:pt idx="7">
                  <c:v>2000</c:v>
                </c:pt>
                <c:pt idx="8">
                  <c:v>2000</c:v>
                </c:pt>
                <c:pt idx="9">
                  <c:v>1100</c:v>
                </c:pt>
                <c:pt idx="10">
                  <c:v>2000</c:v>
                </c:pt>
                <c:pt idx="11">
                  <c:v>1420</c:v>
                </c:pt>
                <c:pt idx="12">
                  <c:v>870</c:v>
                </c:pt>
                <c:pt idx="13">
                  <c:v>2000</c:v>
                </c:pt>
                <c:pt idx="14">
                  <c:v>1420</c:v>
                </c:pt>
                <c:pt idx="15">
                  <c:v>2000</c:v>
                </c:pt>
                <c:pt idx="16">
                  <c:v>1420</c:v>
                </c:pt>
                <c:pt idx="17">
                  <c:v>580</c:v>
                </c:pt>
                <c:pt idx="18">
                  <c:v>2000</c:v>
                </c:pt>
                <c:pt idx="19">
                  <c:v>550</c:v>
                </c:pt>
                <c:pt idx="20">
                  <c:v>2000</c:v>
                </c:pt>
                <c:pt idx="21">
                  <c:v>700</c:v>
                </c:pt>
                <c:pt idx="22">
                  <c:v>2000</c:v>
                </c:pt>
                <c:pt idx="23">
                  <c:v>2000</c:v>
                </c:pt>
                <c:pt idx="24">
                  <c:v>700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780</c:v>
                </c:pt>
                <c:pt idx="30">
                  <c:v>480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480</c:v>
                </c:pt>
                <c:pt idx="39">
                  <c:v>2000</c:v>
                </c:pt>
                <c:pt idx="40">
                  <c:v>1420</c:v>
                </c:pt>
                <c:pt idx="41">
                  <c:v>480</c:v>
                </c:pt>
                <c:pt idx="42">
                  <c:v>480</c:v>
                </c:pt>
                <c:pt idx="43">
                  <c:v>2000</c:v>
                </c:pt>
                <c:pt idx="44">
                  <c:v>650</c:v>
                </c:pt>
                <c:pt idx="45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2-4CD6-A550-8A2D383B7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92752"/>
        <c:axId val="166297744"/>
      </c:scatterChart>
      <c:valAx>
        <c:axId val="16629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7744"/>
        <c:crosses val="autoZero"/>
        <c:crossBetween val="midCat"/>
      </c:valAx>
      <c:valAx>
        <c:axId val="1662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3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Sheet22!$B$1</c:f>
              <c:strCache>
                <c:ptCount val="1"/>
                <c:pt idx="0">
                  <c:v>Cloudline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Sheet22!$A$2:$A$47</c:f>
              <c:numCache>
                <c:formatCode>General</c:formatCode>
                <c:ptCount val="46"/>
                <c:pt idx="0">
                  <c:v>105</c:v>
                </c:pt>
                <c:pt idx="1">
                  <c:v>105</c:v>
                </c:pt>
                <c:pt idx="2">
                  <c:v>108</c:v>
                </c:pt>
                <c:pt idx="3">
                  <c:v>111</c:v>
                </c:pt>
                <c:pt idx="4">
                  <c:v>117</c:v>
                </c:pt>
                <c:pt idx="5">
                  <c:v>118</c:v>
                </c:pt>
                <c:pt idx="6">
                  <c:v>118</c:v>
                </c:pt>
                <c:pt idx="7">
                  <c:v>133</c:v>
                </c:pt>
                <c:pt idx="8">
                  <c:v>133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145</c:v>
                </c:pt>
                <c:pt idx="15">
                  <c:v>145</c:v>
                </c:pt>
                <c:pt idx="16">
                  <c:v>145</c:v>
                </c:pt>
                <c:pt idx="17">
                  <c:v>146</c:v>
                </c:pt>
                <c:pt idx="18">
                  <c:v>159</c:v>
                </c:pt>
                <c:pt idx="19">
                  <c:v>160</c:v>
                </c:pt>
                <c:pt idx="20">
                  <c:v>160</c:v>
                </c:pt>
                <c:pt idx="21">
                  <c:v>167</c:v>
                </c:pt>
                <c:pt idx="22">
                  <c:v>167</c:v>
                </c:pt>
                <c:pt idx="23">
                  <c:v>168</c:v>
                </c:pt>
                <c:pt idx="24">
                  <c:v>168</c:v>
                </c:pt>
                <c:pt idx="25">
                  <c:v>169</c:v>
                </c:pt>
                <c:pt idx="26">
                  <c:v>174</c:v>
                </c:pt>
                <c:pt idx="27">
                  <c:v>175</c:v>
                </c:pt>
                <c:pt idx="28">
                  <c:v>187</c:v>
                </c:pt>
                <c:pt idx="29">
                  <c:v>188</c:v>
                </c:pt>
                <c:pt idx="30">
                  <c:v>189</c:v>
                </c:pt>
                <c:pt idx="31">
                  <c:v>190</c:v>
                </c:pt>
                <c:pt idx="32">
                  <c:v>201</c:v>
                </c:pt>
                <c:pt idx="33">
                  <c:v>202</c:v>
                </c:pt>
                <c:pt idx="34">
                  <c:v>203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227</c:v>
                </c:pt>
                <c:pt idx="39">
                  <c:v>227</c:v>
                </c:pt>
                <c:pt idx="40">
                  <c:v>227</c:v>
                </c:pt>
                <c:pt idx="41">
                  <c:v>228</c:v>
                </c:pt>
                <c:pt idx="42">
                  <c:v>228</c:v>
                </c:pt>
                <c:pt idx="43">
                  <c:v>250</c:v>
                </c:pt>
                <c:pt idx="44">
                  <c:v>251</c:v>
                </c:pt>
                <c:pt idx="45">
                  <c:v>252</c:v>
                </c:pt>
              </c:numCache>
            </c:numRef>
          </c:xVal>
          <c:yVal>
            <c:numRef>
              <c:f>Sheet22!$B$2:$B$47</c:f>
              <c:numCache>
                <c:formatCode>General</c:formatCode>
                <c:ptCount val="46"/>
                <c:pt idx="0">
                  <c:v>870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1360</c:v>
                </c:pt>
                <c:pt idx="7">
                  <c:v>2000</c:v>
                </c:pt>
                <c:pt idx="8">
                  <c:v>2000</c:v>
                </c:pt>
                <c:pt idx="9">
                  <c:v>1100</c:v>
                </c:pt>
                <c:pt idx="10">
                  <c:v>2000</c:v>
                </c:pt>
                <c:pt idx="11">
                  <c:v>1420</c:v>
                </c:pt>
                <c:pt idx="12">
                  <c:v>870</c:v>
                </c:pt>
                <c:pt idx="13">
                  <c:v>2000</c:v>
                </c:pt>
                <c:pt idx="14">
                  <c:v>1420</c:v>
                </c:pt>
                <c:pt idx="15">
                  <c:v>2000</c:v>
                </c:pt>
                <c:pt idx="16">
                  <c:v>1420</c:v>
                </c:pt>
                <c:pt idx="17">
                  <c:v>580</c:v>
                </c:pt>
                <c:pt idx="18">
                  <c:v>2000</c:v>
                </c:pt>
                <c:pt idx="19">
                  <c:v>550</c:v>
                </c:pt>
                <c:pt idx="20">
                  <c:v>2000</c:v>
                </c:pt>
                <c:pt idx="21">
                  <c:v>700</c:v>
                </c:pt>
                <c:pt idx="22">
                  <c:v>2000</c:v>
                </c:pt>
                <c:pt idx="23">
                  <c:v>2000</c:v>
                </c:pt>
                <c:pt idx="24">
                  <c:v>700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780</c:v>
                </c:pt>
                <c:pt idx="30">
                  <c:v>480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480</c:v>
                </c:pt>
                <c:pt idx="39">
                  <c:v>2000</c:v>
                </c:pt>
                <c:pt idx="40">
                  <c:v>1420</c:v>
                </c:pt>
                <c:pt idx="41">
                  <c:v>480</c:v>
                </c:pt>
                <c:pt idx="42">
                  <c:v>480</c:v>
                </c:pt>
                <c:pt idx="43">
                  <c:v>2000</c:v>
                </c:pt>
                <c:pt idx="44">
                  <c:v>650</c:v>
                </c:pt>
                <c:pt idx="45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2-469C-B815-DE24E0FE6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21695"/>
        <c:axId val="559911295"/>
      </c:scatterChart>
      <c:valAx>
        <c:axId val="55992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11295"/>
        <c:crosses val="autoZero"/>
        <c:crossBetween val="midCat"/>
      </c:valAx>
      <c:valAx>
        <c:axId val="55991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2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53974</xdr:colOff>
      <xdr:row>33</xdr:row>
      <xdr:rowOff>50800</xdr:rowOff>
    </xdr:from>
    <xdr:to>
      <xdr:col>14</xdr:col>
      <xdr:colOff>158749</xdr:colOff>
      <xdr:row>49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53975</xdr:colOff>
      <xdr:row>0</xdr:row>
      <xdr:rowOff>603250</xdr:rowOff>
    </xdr:from>
    <xdr:to>
      <xdr:col>13</xdr:col>
      <xdr:colOff>358775</xdr:colOff>
      <xdr:row>14</xdr:row>
      <xdr:rowOff>82550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54"/>
  <sheetViews>
    <sheetView topLeftCell="A63" zoomScale="64" workbookViewId="0">
      <selection activeCell="N10" sqref="N10"/>
    </sheetView>
  </sheetViews>
  <sheetFormatPr defaultColWidth="12.7265625" defaultRowHeight="14.5" x14ac:dyDescent="0.35"/>
  <cols>
    <col min="1" max="1" width="7.26953125" style="1" customWidth="1"/>
    <col min="2" max="2" width="14.7265625" style="1" customWidth="1"/>
    <col min="3" max="3" width="7.7265625" style="1" customWidth="1"/>
    <col min="4" max="4" width="13" style="1" customWidth="1"/>
    <col min="5" max="5" width="10.7265625" style="2" customWidth="1"/>
    <col min="6" max="7" width="3.26953125" style="1" hidden="1" customWidth="1"/>
    <col min="8" max="8" width="6.453125" style="1" customWidth="1"/>
    <col min="9" max="9" width="8" style="1" customWidth="1"/>
    <col min="10" max="10" width="6.1796875" style="1" customWidth="1"/>
    <col min="11" max="11" width="6" style="1" customWidth="1"/>
    <col min="12" max="12" width="10" style="1" customWidth="1"/>
    <col min="13" max="13" width="7.54296875" style="1" customWidth="1"/>
    <col min="14" max="14" width="8.26953125" style="1" customWidth="1"/>
    <col min="15" max="15" width="11.453125" style="2" customWidth="1"/>
    <col min="16" max="16" width="4.54296875" style="1" customWidth="1"/>
    <col min="17" max="17" width="5.453125" style="1" customWidth="1"/>
    <col min="18" max="18" width="5.81640625" style="1" customWidth="1"/>
    <col min="19" max="19" width="4.81640625" style="1" customWidth="1"/>
    <col min="20" max="20" width="4.7265625" style="1" customWidth="1"/>
    <col min="21" max="21" width="4.26953125" style="1" customWidth="1"/>
    <col min="22" max="22" width="4.1796875" style="1" customWidth="1"/>
    <col min="23" max="23" width="4.54296875" style="1" customWidth="1"/>
    <col min="24" max="24" width="4.7265625" style="1" customWidth="1"/>
    <col min="25" max="25" width="4.26953125" style="1" customWidth="1"/>
    <col min="26" max="27" width="4.453125" style="1" customWidth="1"/>
    <col min="28" max="28" width="4.1796875" style="1" customWidth="1"/>
    <col min="29" max="29" width="5" style="1" customWidth="1"/>
    <col min="30" max="31" width="3.26953125" style="1" customWidth="1"/>
    <col min="32" max="33" width="3.54296875" style="1" customWidth="1"/>
    <col min="34" max="34" width="4.26953125" style="1" customWidth="1"/>
    <col min="35" max="35" width="5.26953125" style="1" customWidth="1"/>
    <col min="36" max="36" width="3.81640625" style="1" customWidth="1"/>
    <col min="37" max="37" width="4.7265625" style="1" customWidth="1"/>
    <col min="38" max="38" width="3.453125" style="1" customWidth="1"/>
    <col min="39" max="39" width="3.26953125" style="1" customWidth="1"/>
    <col min="40" max="40" width="3.81640625" style="1" customWidth="1"/>
    <col min="41" max="41" width="3.26953125" style="1" customWidth="1"/>
    <col min="42" max="42" width="4.7265625" style="1" customWidth="1"/>
    <col min="43" max="43" width="4.26953125" style="1" customWidth="1"/>
    <col min="44" max="44" width="3.7265625" style="1" customWidth="1"/>
    <col min="45" max="46" width="3.26953125" style="1" customWidth="1"/>
    <col min="47" max="47" width="4.81640625" style="1" customWidth="1"/>
    <col min="48" max="48" width="4.26953125" style="1" customWidth="1"/>
    <col min="49" max="49" width="3.26953125" style="1" customWidth="1"/>
    <col min="50" max="50" width="4.26953125" style="1" customWidth="1"/>
    <col min="51" max="52" width="3.26953125" style="1" customWidth="1"/>
    <col min="53" max="53" width="3.81640625" style="1" customWidth="1"/>
    <col min="54" max="54" width="3.26953125" style="1" customWidth="1"/>
    <col min="55" max="55" width="4.7265625" style="1" customWidth="1"/>
    <col min="56" max="56" width="5.453125" style="1" customWidth="1"/>
    <col min="57" max="58" width="5.1796875" style="1" customWidth="1"/>
    <col min="59" max="59" width="3.81640625" style="1" customWidth="1"/>
    <col min="60" max="60" width="4.7265625" style="1" customWidth="1"/>
    <col min="61" max="61" width="4.81640625" style="1" customWidth="1"/>
    <col min="62" max="62" width="4.7265625" style="1" customWidth="1"/>
    <col min="63" max="64" width="3" style="1" customWidth="1"/>
    <col min="65" max="65" width="3.26953125" style="1" customWidth="1"/>
    <col min="66" max="67" width="4.7265625" style="1" customWidth="1"/>
    <col min="68" max="69" width="3.7265625" style="1" customWidth="1"/>
    <col min="70" max="70" width="3.26953125" style="1" customWidth="1"/>
    <col min="71" max="71" width="4.7265625" style="1" customWidth="1"/>
    <col min="72" max="73" width="3.26953125" style="1" customWidth="1"/>
    <col min="74" max="74" width="4.26953125" style="1" customWidth="1"/>
    <col min="75" max="75" width="3.26953125" style="1" customWidth="1"/>
    <col min="76" max="76" width="4.26953125" style="1" customWidth="1"/>
    <col min="77" max="77" width="3.26953125" style="1" customWidth="1"/>
    <col min="78" max="78" width="6.26953125" style="1" customWidth="1"/>
    <col min="79" max="79" width="4.81640625" style="1" customWidth="1"/>
    <col min="80" max="80" width="5.26953125" style="1" customWidth="1"/>
    <col min="81" max="82" width="4.54296875" style="1" customWidth="1"/>
    <col min="83" max="83" width="4.7265625" style="1" customWidth="1"/>
    <col min="84" max="85" width="4.81640625" style="1" customWidth="1"/>
    <col min="86" max="86" width="4.54296875" style="1" customWidth="1"/>
    <col min="87" max="87" width="3.54296875" style="1" customWidth="1"/>
    <col min="88" max="88" width="3.453125" style="1" customWidth="1"/>
    <col min="89" max="89" width="5.7265625" style="1" customWidth="1"/>
    <col min="90" max="90" width="4.26953125" style="1" customWidth="1"/>
    <col min="91" max="91" width="5.26953125" style="1" customWidth="1"/>
    <col min="92" max="94" width="4.26953125" style="1" customWidth="1"/>
    <col min="95" max="95" width="4.7265625" style="1" customWidth="1"/>
    <col min="96" max="96" width="4.54296875" style="1" customWidth="1"/>
    <col min="97" max="98" width="3.26953125" style="1" customWidth="1"/>
    <col min="99" max="101" width="4.26953125" style="1" customWidth="1"/>
    <col min="102" max="102" width="3.81640625" style="1" customWidth="1"/>
    <col min="103" max="104" width="3.26953125" style="1" customWidth="1"/>
    <col min="105" max="105" width="3.7265625" style="1" customWidth="1"/>
    <col min="106" max="106" width="4" style="1" customWidth="1"/>
    <col min="107" max="107" width="4.1796875" style="1" customWidth="1"/>
    <col min="108" max="108" width="3.26953125" style="1" customWidth="1"/>
    <col min="109" max="109" width="4.26953125" style="1" customWidth="1"/>
    <col min="110" max="110" width="3.7265625" style="1" customWidth="1"/>
    <col min="111" max="111" width="4.26953125" style="1" customWidth="1"/>
    <col min="112" max="112" width="4.7265625" style="1" customWidth="1"/>
    <col min="113" max="16384" width="12.7265625" style="1"/>
  </cols>
  <sheetData>
    <row r="1" spans="1:114" ht="15" hidden="1" customHeight="1" x14ac:dyDescent="0.35">
      <c r="O1" s="3"/>
      <c r="AD1" s="4" t="s">
        <v>0</v>
      </c>
      <c r="BM1" s="4" t="s">
        <v>1</v>
      </c>
      <c r="BU1" s="4" t="s">
        <v>0</v>
      </c>
    </row>
    <row r="2" spans="1:114" ht="15" customHeight="1" x14ac:dyDescent="0.35">
      <c r="O2" s="3" t="s">
        <v>2</v>
      </c>
      <c r="AD2" s="4" t="s">
        <v>3</v>
      </c>
      <c r="AZ2" s="1" t="s">
        <v>4</v>
      </c>
      <c r="BM2" s="4" t="s">
        <v>5</v>
      </c>
      <c r="BU2" s="4" t="s">
        <v>3</v>
      </c>
    </row>
    <row r="3" spans="1:114" ht="15" customHeight="1" x14ac:dyDescent="0.35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3" t="s">
        <v>6</v>
      </c>
      <c r="P3" s="4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4">
        <v>8</v>
      </c>
      <c r="X3" s="4">
        <v>9</v>
      </c>
      <c r="Y3" s="4">
        <v>10</v>
      </c>
      <c r="Z3" s="4">
        <v>11</v>
      </c>
      <c r="AA3" s="4">
        <v>12</v>
      </c>
      <c r="AB3" s="4">
        <v>13</v>
      </c>
      <c r="AC3" s="4">
        <v>14</v>
      </c>
      <c r="AD3" s="4">
        <v>15</v>
      </c>
      <c r="AE3" s="4">
        <v>16</v>
      </c>
      <c r="AF3" s="4">
        <v>17</v>
      </c>
      <c r="AG3" s="4"/>
      <c r="AH3" s="4">
        <v>18</v>
      </c>
      <c r="AI3" s="4">
        <v>19</v>
      </c>
      <c r="AJ3" s="4">
        <v>20</v>
      </c>
      <c r="AK3" s="4">
        <v>21</v>
      </c>
      <c r="AL3" s="4">
        <v>22</v>
      </c>
      <c r="AM3" s="4">
        <v>23</v>
      </c>
      <c r="AN3" s="4">
        <v>24</v>
      </c>
      <c r="AO3" s="4">
        <v>25</v>
      </c>
      <c r="AP3" s="4">
        <v>26</v>
      </c>
      <c r="AQ3" s="4">
        <v>27</v>
      </c>
      <c r="AR3" s="4">
        <v>28</v>
      </c>
      <c r="AS3" s="4">
        <v>29</v>
      </c>
      <c r="AT3" s="4">
        <v>30</v>
      </c>
      <c r="AU3" s="4">
        <v>31</v>
      </c>
      <c r="AV3" s="4">
        <v>32</v>
      </c>
      <c r="AW3" s="4">
        <v>33</v>
      </c>
      <c r="AX3" s="4">
        <v>34</v>
      </c>
      <c r="AY3" s="4">
        <v>35</v>
      </c>
      <c r="AZ3" s="4">
        <v>36</v>
      </c>
      <c r="BA3" s="4">
        <v>37</v>
      </c>
      <c r="BB3" s="4">
        <v>38</v>
      </c>
      <c r="BC3" s="4">
        <v>39</v>
      </c>
      <c r="BD3" s="4">
        <v>40</v>
      </c>
      <c r="BE3" s="4">
        <v>41</v>
      </c>
      <c r="BF3" s="4">
        <v>42</v>
      </c>
      <c r="BG3" s="4">
        <v>43</v>
      </c>
      <c r="BH3" s="4">
        <v>44</v>
      </c>
      <c r="BI3" s="4">
        <v>45</v>
      </c>
      <c r="BJ3" s="4">
        <v>46</v>
      </c>
      <c r="BK3" s="4">
        <v>47</v>
      </c>
      <c r="BL3" s="4">
        <v>48</v>
      </c>
      <c r="BM3" s="4">
        <v>49</v>
      </c>
      <c r="BN3" s="4">
        <v>50</v>
      </c>
      <c r="BO3" s="4">
        <v>51</v>
      </c>
      <c r="BP3" s="4">
        <v>52</v>
      </c>
      <c r="BQ3" s="4">
        <v>53</v>
      </c>
      <c r="BR3" s="4">
        <v>54</v>
      </c>
      <c r="BS3" s="4">
        <v>55</v>
      </c>
      <c r="BT3" s="4">
        <v>56</v>
      </c>
      <c r="BU3" s="4">
        <v>57</v>
      </c>
      <c r="BV3" s="4">
        <v>58</v>
      </c>
      <c r="BW3" s="4">
        <v>59</v>
      </c>
      <c r="BX3" s="4">
        <v>60</v>
      </c>
      <c r="BY3" s="4">
        <v>61</v>
      </c>
      <c r="BZ3" s="4">
        <v>62</v>
      </c>
      <c r="CA3" s="4">
        <v>63</v>
      </c>
      <c r="CB3" s="4">
        <v>64</v>
      </c>
      <c r="CC3" s="4">
        <v>65</v>
      </c>
      <c r="CD3" s="4">
        <v>66</v>
      </c>
      <c r="CE3" s="4">
        <v>67</v>
      </c>
      <c r="CF3" s="4">
        <v>68</v>
      </c>
      <c r="CG3" s="4">
        <v>69</v>
      </c>
      <c r="CH3" s="4">
        <v>70</v>
      </c>
      <c r="CI3" s="4">
        <v>71</v>
      </c>
      <c r="CJ3" s="4">
        <v>72</v>
      </c>
      <c r="CK3" s="4">
        <v>73</v>
      </c>
      <c r="CL3" s="4">
        <v>74</v>
      </c>
      <c r="CM3" s="4">
        <v>75</v>
      </c>
      <c r="CN3" s="4">
        <v>76</v>
      </c>
      <c r="CO3" s="4">
        <v>77</v>
      </c>
      <c r="CP3" s="4">
        <v>78</v>
      </c>
      <c r="CQ3" s="4">
        <v>79</v>
      </c>
      <c r="CR3" s="4">
        <v>80</v>
      </c>
      <c r="CS3" s="4">
        <v>81</v>
      </c>
      <c r="CT3" s="4">
        <v>82</v>
      </c>
      <c r="CU3" s="4">
        <v>83</v>
      </c>
      <c r="CV3" s="4">
        <v>84</v>
      </c>
      <c r="CW3" s="4">
        <v>85</v>
      </c>
      <c r="CX3" s="4">
        <v>86</v>
      </c>
      <c r="CY3" s="4">
        <v>87</v>
      </c>
      <c r="CZ3" s="4"/>
      <c r="DA3" s="4">
        <v>88</v>
      </c>
      <c r="DB3" s="4">
        <v>89</v>
      </c>
      <c r="DC3" s="4">
        <v>90</v>
      </c>
      <c r="DD3" s="4">
        <v>91</v>
      </c>
      <c r="DE3" s="4">
        <v>92</v>
      </c>
      <c r="DF3" s="4">
        <v>93</v>
      </c>
      <c r="DG3" s="4">
        <v>94</v>
      </c>
      <c r="DH3" s="4">
        <v>95</v>
      </c>
    </row>
    <row r="4" spans="1:114" ht="237" x14ac:dyDescent="0.35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8" t="s">
        <v>21</v>
      </c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V4" s="10" t="s">
        <v>28</v>
      </c>
      <c r="W4" s="10" t="s">
        <v>29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1" t="s">
        <v>36</v>
      </c>
      <c r="AE4" s="10" t="s">
        <v>37</v>
      </c>
      <c r="AF4" s="10" t="s">
        <v>38</v>
      </c>
      <c r="AG4" s="10" t="s">
        <v>39</v>
      </c>
      <c r="AH4" s="10" t="s">
        <v>40</v>
      </c>
      <c r="AI4" s="10" t="s">
        <v>41</v>
      </c>
      <c r="AJ4" s="10" t="s">
        <v>42</v>
      </c>
      <c r="AK4" s="10" t="s">
        <v>43</v>
      </c>
      <c r="AL4" s="10" t="s">
        <v>44</v>
      </c>
      <c r="AM4" s="12" t="s">
        <v>45</v>
      </c>
      <c r="AN4" s="10" t="s">
        <v>46</v>
      </c>
      <c r="AO4" s="10" t="s">
        <v>47</v>
      </c>
      <c r="AP4" s="10" t="s">
        <v>48</v>
      </c>
      <c r="AQ4" s="10" t="s">
        <v>49</v>
      </c>
      <c r="AR4" s="10" t="s">
        <v>50</v>
      </c>
      <c r="AS4" s="12" t="s">
        <v>51</v>
      </c>
      <c r="AT4" s="12" t="s">
        <v>52</v>
      </c>
      <c r="AU4" s="10" t="s">
        <v>53</v>
      </c>
      <c r="AV4" s="10" t="s">
        <v>54</v>
      </c>
      <c r="AW4" s="12" t="s">
        <v>55</v>
      </c>
      <c r="AX4" s="10" t="s">
        <v>56</v>
      </c>
      <c r="AY4" s="11" t="s">
        <v>57</v>
      </c>
      <c r="AZ4" s="11" t="s">
        <v>58</v>
      </c>
      <c r="BA4" s="10" t="s">
        <v>59</v>
      </c>
      <c r="BB4" s="10" t="s">
        <v>60</v>
      </c>
      <c r="BC4" s="10" t="s">
        <v>61</v>
      </c>
      <c r="BD4" s="10" t="s">
        <v>62</v>
      </c>
      <c r="BE4" s="10" t="s">
        <v>63</v>
      </c>
      <c r="BF4" s="10" t="s">
        <v>64</v>
      </c>
      <c r="BG4" s="10" t="s">
        <v>65</v>
      </c>
      <c r="BH4" s="10" t="s">
        <v>66</v>
      </c>
      <c r="BI4" s="10" t="s">
        <v>67</v>
      </c>
      <c r="BJ4" s="10" t="s">
        <v>68</v>
      </c>
      <c r="BK4" s="10" t="s">
        <v>69</v>
      </c>
      <c r="BL4" s="10" t="s">
        <v>70</v>
      </c>
      <c r="BM4" s="11" t="s">
        <v>71</v>
      </c>
      <c r="BN4" s="10" t="s">
        <v>72</v>
      </c>
      <c r="BO4" s="10" t="s">
        <v>73</v>
      </c>
      <c r="BP4" s="10" t="s">
        <v>74</v>
      </c>
      <c r="BQ4" s="10" t="s">
        <v>75</v>
      </c>
      <c r="BR4" s="11" t="s">
        <v>76</v>
      </c>
      <c r="BS4" s="10" t="s">
        <v>77</v>
      </c>
      <c r="BT4" s="11" t="s">
        <v>78</v>
      </c>
      <c r="BU4" s="11" t="s">
        <v>79</v>
      </c>
      <c r="BV4" s="10" t="s">
        <v>80</v>
      </c>
      <c r="BW4" s="13" t="s">
        <v>81</v>
      </c>
      <c r="BX4" s="10" t="s">
        <v>82</v>
      </c>
      <c r="BY4" s="12" t="s">
        <v>83</v>
      </c>
      <c r="BZ4" s="10" t="s">
        <v>84</v>
      </c>
      <c r="CA4" s="10" t="s">
        <v>85</v>
      </c>
      <c r="CB4" s="10" t="s">
        <v>86</v>
      </c>
      <c r="CC4" s="10" t="s">
        <v>87</v>
      </c>
      <c r="CD4" s="10" t="s">
        <v>88</v>
      </c>
      <c r="CE4" s="10" t="s">
        <v>89</v>
      </c>
      <c r="CF4" s="10" t="s">
        <v>90</v>
      </c>
      <c r="CG4" s="10" t="s">
        <v>91</v>
      </c>
      <c r="CH4" s="10" t="s">
        <v>92</v>
      </c>
      <c r="CI4" s="10" t="s">
        <v>93</v>
      </c>
      <c r="CJ4" s="10" t="s">
        <v>94</v>
      </c>
      <c r="CK4" s="10" t="s">
        <v>95</v>
      </c>
      <c r="CL4" s="10" t="s">
        <v>96</v>
      </c>
      <c r="CM4" s="10" t="s">
        <v>97</v>
      </c>
      <c r="CN4" s="10" t="s">
        <v>98</v>
      </c>
      <c r="CO4" s="10" t="s">
        <v>99</v>
      </c>
      <c r="CP4" s="10" t="s">
        <v>100</v>
      </c>
      <c r="CQ4" s="10" t="s">
        <v>101</v>
      </c>
      <c r="CR4" s="10" t="s">
        <v>102</v>
      </c>
      <c r="CS4" s="14" t="s">
        <v>103</v>
      </c>
      <c r="CT4" s="14" t="s">
        <v>104</v>
      </c>
      <c r="CU4" s="10" t="s">
        <v>105</v>
      </c>
      <c r="CV4" s="10" t="s">
        <v>106</v>
      </c>
      <c r="CW4" s="10" t="s">
        <v>107</v>
      </c>
      <c r="CX4" s="10" t="s">
        <v>108</v>
      </c>
      <c r="CY4" s="11" t="s">
        <v>109</v>
      </c>
      <c r="CZ4" s="11" t="s">
        <v>110</v>
      </c>
      <c r="DA4" s="10" t="s">
        <v>111</v>
      </c>
      <c r="DB4" s="10" t="s">
        <v>112</v>
      </c>
      <c r="DC4" s="10" t="s">
        <v>113</v>
      </c>
      <c r="DD4" s="12" t="s">
        <v>114</v>
      </c>
      <c r="DE4" s="10" t="s">
        <v>115</v>
      </c>
      <c r="DF4" s="10" t="s">
        <v>116</v>
      </c>
      <c r="DG4" s="10" t="s">
        <v>117</v>
      </c>
      <c r="DH4" s="10" t="s">
        <v>118</v>
      </c>
      <c r="DI4" s="10" t="s">
        <v>174</v>
      </c>
      <c r="DJ4" s="10" t="s">
        <v>175</v>
      </c>
    </row>
    <row r="5" spans="1:114" ht="15.75" customHeight="1" x14ac:dyDescent="0.35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5"/>
      <c r="O5" s="17">
        <v>3</v>
      </c>
      <c r="AD5" s="15">
        <v>6</v>
      </c>
      <c r="AM5" s="15"/>
      <c r="AS5" s="15"/>
      <c r="AT5" s="15"/>
      <c r="AW5" s="15"/>
      <c r="AY5" s="15">
        <v>1</v>
      </c>
      <c r="AZ5" s="15">
        <v>1</v>
      </c>
      <c r="BM5" s="15">
        <v>1</v>
      </c>
      <c r="BR5" s="15"/>
      <c r="BT5" s="15">
        <v>1</v>
      </c>
      <c r="BU5" s="15">
        <v>3</v>
      </c>
      <c r="BY5" s="15"/>
      <c r="CS5" s="15"/>
      <c r="CT5" s="15"/>
      <c r="CY5" s="15">
        <v>1</v>
      </c>
      <c r="CZ5" s="15"/>
      <c r="DD5" s="15"/>
      <c r="DI5" s="1">
        <f>COUNT(P5:DH5)</f>
        <v>7</v>
      </c>
      <c r="DJ5" s="1">
        <f>SUM(P5:DH5)</f>
        <v>14</v>
      </c>
    </row>
    <row r="6" spans="1:114" ht="15.75" customHeight="1" x14ac:dyDescent="0.35">
      <c r="A6" s="15" t="s">
        <v>119</v>
      </c>
      <c r="B6" s="16" t="s">
        <v>179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5"/>
      <c r="O6" s="17">
        <v>5</v>
      </c>
      <c r="AD6" s="15"/>
      <c r="AM6" s="15"/>
      <c r="AS6" s="15"/>
      <c r="AT6" s="15"/>
      <c r="AW6" s="15"/>
      <c r="AY6" s="15"/>
      <c r="AZ6" s="15">
        <v>1</v>
      </c>
      <c r="BA6" s="1">
        <v>1</v>
      </c>
      <c r="BM6" s="15"/>
      <c r="BR6" s="15"/>
      <c r="BT6" s="15"/>
      <c r="BU6" s="15">
        <v>1</v>
      </c>
      <c r="BY6" s="15"/>
      <c r="CS6" s="15"/>
      <c r="CT6" s="15"/>
      <c r="CY6" s="15"/>
      <c r="CZ6" s="15"/>
      <c r="DD6" s="15"/>
      <c r="DI6" s="1">
        <f t="shared" ref="DI6:DI69" si="0">COUNT(P6:DH6)</f>
        <v>3</v>
      </c>
      <c r="DJ6" s="1">
        <f t="shared" ref="DJ6:DJ69" si="1">SUM(P6:DH6)</f>
        <v>3</v>
      </c>
    </row>
    <row r="7" spans="1:114" ht="15.75" customHeight="1" x14ac:dyDescent="0.35">
      <c r="A7" s="15" t="s">
        <v>119</v>
      </c>
      <c r="B7" s="16" t="s">
        <v>179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5"/>
      <c r="O7" s="17">
        <v>5</v>
      </c>
      <c r="AD7" s="15"/>
      <c r="AM7" s="15"/>
      <c r="AS7" s="15"/>
      <c r="AT7" s="15"/>
      <c r="AW7" s="15"/>
      <c r="AY7" s="15"/>
      <c r="AZ7" s="15">
        <v>1</v>
      </c>
      <c r="BM7" s="15"/>
      <c r="BR7" s="15"/>
      <c r="BT7" s="15"/>
      <c r="BU7" s="15"/>
      <c r="BY7" s="15"/>
      <c r="CS7" s="15"/>
      <c r="CT7" s="15"/>
      <c r="CY7" s="15"/>
      <c r="CZ7" s="15"/>
      <c r="DD7" s="15"/>
      <c r="DI7" s="1">
        <f t="shared" si="0"/>
        <v>1</v>
      </c>
      <c r="DJ7" s="1">
        <f t="shared" si="1"/>
        <v>1</v>
      </c>
    </row>
    <row r="8" spans="1:114" ht="15.75" customHeight="1" x14ac:dyDescent="0.35">
      <c r="A8" s="15" t="s">
        <v>119</v>
      </c>
      <c r="B8" s="16" t="s">
        <v>179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5"/>
      <c r="O8" s="17">
        <v>5</v>
      </c>
      <c r="AD8" s="15"/>
      <c r="AM8" s="15"/>
      <c r="AS8" s="15"/>
      <c r="AT8" s="15"/>
      <c r="AW8" s="15"/>
      <c r="AY8" s="15"/>
      <c r="AZ8" s="15"/>
      <c r="BM8" s="15"/>
      <c r="BR8" s="15"/>
      <c r="BT8" s="15"/>
      <c r="BU8" s="15">
        <v>1</v>
      </c>
      <c r="BY8" s="15"/>
      <c r="CS8" s="15"/>
      <c r="CT8" s="15"/>
      <c r="CY8" s="15"/>
      <c r="CZ8" s="15"/>
      <c r="DD8" s="15"/>
      <c r="DI8" s="1">
        <f t="shared" si="0"/>
        <v>1</v>
      </c>
      <c r="DJ8" s="1">
        <f t="shared" si="1"/>
        <v>1</v>
      </c>
    </row>
    <row r="9" spans="1:114" ht="15.75" customHeight="1" x14ac:dyDescent="0.35">
      <c r="A9" s="15" t="s">
        <v>119</v>
      </c>
      <c r="B9" s="16" t="s">
        <v>179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5"/>
      <c r="O9" s="17">
        <v>5</v>
      </c>
      <c r="AD9" s="15"/>
      <c r="AM9" s="15"/>
      <c r="AS9" s="15"/>
      <c r="AT9" s="15"/>
      <c r="AW9" s="15"/>
      <c r="AY9" s="15"/>
      <c r="AZ9" s="15">
        <v>1</v>
      </c>
      <c r="BM9" s="15"/>
      <c r="BR9" s="15"/>
      <c r="BT9" s="15"/>
      <c r="BU9" s="15">
        <v>1</v>
      </c>
      <c r="BY9" s="15"/>
      <c r="CS9" s="15"/>
      <c r="CT9" s="15"/>
      <c r="CY9" s="15"/>
      <c r="CZ9" s="15"/>
      <c r="DD9" s="15"/>
      <c r="DI9" s="1">
        <f t="shared" si="0"/>
        <v>2</v>
      </c>
      <c r="DJ9" s="1">
        <f t="shared" si="1"/>
        <v>2</v>
      </c>
    </row>
    <row r="10" spans="1:114" ht="15.75" customHeight="1" x14ac:dyDescent="0.35">
      <c r="A10" s="15" t="s">
        <v>119</v>
      </c>
      <c r="B10" s="16" t="s">
        <v>179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5"/>
      <c r="O10" s="17">
        <v>5</v>
      </c>
      <c r="AD10" s="15"/>
      <c r="AM10" s="15"/>
      <c r="AS10" s="15"/>
      <c r="AT10" s="15"/>
      <c r="AW10" s="15"/>
      <c r="AY10" s="15"/>
      <c r="AZ10" s="15"/>
      <c r="BA10" s="1">
        <v>1</v>
      </c>
      <c r="BM10" s="15"/>
      <c r="BR10" s="15"/>
      <c r="BT10" s="15"/>
      <c r="BU10" s="15"/>
      <c r="BY10" s="15"/>
      <c r="CS10" s="15"/>
      <c r="CT10" s="15"/>
      <c r="CY10" s="15"/>
      <c r="CZ10" s="15"/>
      <c r="DD10" s="15"/>
      <c r="DI10" s="1">
        <f t="shared" si="0"/>
        <v>1</v>
      </c>
      <c r="DJ10" s="1">
        <f t="shared" si="1"/>
        <v>1</v>
      </c>
    </row>
    <row r="11" spans="1:114" ht="15.75" customHeight="1" x14ac:dyDescent="0.35">
      <c r="A11" s="15" t="s">
        <v>119</v>
      </c>
      <c r="B11" s="16" t="s">
        <v>179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5"/>
      <c r="O11" s="17">
        <v>5</v>
      </c>
      <c r="AD11" s="15"/>
      <c r="AM11" s="15"/>
      <c r="AS11" s="15"/>
      <c r="AT11" s="15"/>
      <c r="AW11" s="15"/>
      <c r="AY11" s="15"/>
      <c r="AZ11" s="15">
        <v>1</v>
      </c>
      <c r="BA11" s="1">
        <v>1</v>
      </c>
      <c r="BM11" s="15"/>
      <c r="BR11" s="15"/>
      <c r="BT11" s="15"/>
      <c r="BU11" s="15">
        <v>1</v>
      </c>
      <c r="BY11" s="15"/>
      <c r="CS11" s="15"/>
      <c r="CT11" s="15"/>
      <c r="CY11" s="15"/>
      <c r="CZ11" s="15"/>
      <c r="DD11" s="15"/>
      <c r="DI11" s="1">
        <f t="shared" si="0"/>
        <v>3</v>
      </c>
      <c r="DJ11" s="1">
        <f t="shared" si="1"/>
        <v>3</v>
      </c>
    </row>
    <row r="12" spans="1:114" ht="15.75" customHeight="1" x14ac:dyDescent="0.35">
      <c r="A12" s="15" t="s">
        <v>119</v>
      </c>
      <c r="B12" s="16" t="s">
        <v>179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5"/>
      <c r="O12" s="17">
        <v>5</v>
      </c>
      <c r="AD12" s="15"/>
      <c r="AM12" s="15"/>
      <c r="AS12" s="15"/>
      <c r="AT12" s="15"/>
      <c r="AW12" s="15"/>
      <c r="AY12" s="15"/>
      <c r="AZ12" s="15"/>
      <c r="BM12" s="15"/>
      <c r="BR12" s="15"/>
      <c r="BT12" s="15"/>
      <c r="BU12" s="15">
        <v>1</v>
      </c>
      <c r="BY12" s="15"/>
      <c r="CS12" s="15"/>
      <c r="CT12" s="15"/>
      <c r="CY12" s="15"/>
      <c r="CZ12" s="15"/>
      <c r="DD12" s="15"/>
      <c r="DI12" s="1">
        <f t="shared" si="0"/>
        <v>1</v>
      </c>
      <c r="DJ12" s="1">
        <f t="shared" si="1"/>
        <v>1</v>
      </c>
    </row>
    <row r="13" spans="1:114" ht="15.75" customHeight="1" x14ac:dyDescent="0.35">
      <c r="A13" s="15" t="s">
        <v>119</v>
      </c>
      <c r="B13" s="16" t="s">
        <v>179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5"/>
      <c r="O13" s="17">
        <v>5</v>
      </c>
      <c r="AD13" s="15"/>
      <c r="AM13" s="4"/>
      <c r="AS13" s="4"/>
      <c r="AT13" s="15"/>
      <c r="AW13" s="15"/>
      <c r="AY13" s="15"/>
      <c r="AZ13" s="15">
        <v>1</v>
      </c>
      <c r="BM13" s="15"/>
      <c r="BR13" s="15">
        <v>1</v>
      </c>
      <c r="BT13" s="15"/>
      <c r="BU13" s="15"/>
      <c r="BY13" s="15"/>
      <c r="CS13" s="15"/>
      <c r="CT13" s="15"/>
      <c r="CY13" s="15">
        <v>1</v>
      </c>
      <c r="CZ13" s="15"/>
      <c r="DD13" s="15"/>
      <c r="DI13" s="1">
        <f t="shared" si="0"/>
        <v>3</v>
      </c>
      <c r="DJ13" s="1">
        <f t="shared" si="1"/>
        <v>3</v>
      </c>
    </row>
    <row r="14" spans="1:114" ht="15.75" customHeight="1" x14ac:dyDescent="0.35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5"/>
      <c r="O14" s="17">
        <v>5</v>
      </c>
      <c r="AD14" s="15"/>
      <c r="AM14" s="15">
        <v>1</v>
      </c>
      <c r="AS14" s="15"/>
      <c r="AT14" s="15"/>
      <c r="AW14" s="15"/>
      <c r="AY14" s="15"/>
      <c r="AZ14" s="15">
        <v>1</v>
      </c>
      <c r="BM14" s="15"/>
      <c r="BR14" s="15"/>
      <c r="BT14" s="15"/>
      <c r="BU14" s="15"/>
      <c r="BY14" s="15">
        <v>1</v>
      </c>
      <c r="CS14" s="15"/>
      <c r="CT14" s="15"/>
      <c r="CY14" s="15"/>
      <c r="CZ14" s="15"/>
      <c r="DD14" s="15"/>
      <c r="DI14" s="1">
        <f t="shared" si="0"/>
        <v>3</v>
      </c>
      <c r="DJ14" s="1">
        <f t="shared" si="1"/>
        <v>3</v>
      </c>
    </row>
    <row r="15" spans="1:114" ht="15.75" customHeight="1" x14ac:dyDescent="0.35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5"/>
      <c r="O15" s="17">
        <v>5</v>
      </c>
      <c r="AD15" s="15"/>
      <c r="AM15" s="15"/>
      <c r="AS15" s="15"/>
      <c r="AT15" s="15"/>
      <c r="AW15" s="15"/>
      <c r="AY15" s="15"/>
      <c r="AZ15" s="15">
        <v>1</v>
      </c>
      <c r="BM15" s="15"/>
      <c r="BR15" s="15"/>
      <c r="BT15" s="15"/>
      <c r="BU15" s="15"/>
      <c r="BY15" s="15"/>
      <c r="CS15" s="15"/>
      <c r="CT15" s="15"/>
      <c r="CY15" s="15"/>
      <c r="CZ15" s="15"/>
      <c r="DD15" s="15"/>
      <c r="DI15" s="1">
        <f t="shared" si="0"/>
        <v>1</v>
      </c>
      <c r="DJ15" s="1">
        <f t="shared" si="1"/>
        <v>1</v>
      </c>
    </row>
    <row r="16" spans="1:114" ht="15.75" customHeight="1" x14ac:dyDescent="0.35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5"/>
      <c r="O16" s="17">
        <v>3</v>
      </c>
      <c r="AD16" s="15"/>
      <c r="AM16" s="15"/>
      <c r="AS16" s="15">
        <v>1</v>
      </c>
      <c r="AT16" s="4"/>
      <c r="AW16" s="15"/>
      <c r="AY16" s="15"/>
      <c r="AZ16" s="15">
        <v>1</v>
      </c>
      <c r="BM16" s="15"/>
      <c r="BR16" s="15"/>
      <c r="BT16" s="15"/>
      <c r="BU16" s="15"/>
      <c r="BY16" s="15"/>
      <c r="CS16" s="15"/>
      <c r="CT16" s="15"/>
      <c r="CY16" s="15"/>
      <c r="CZ16" s="15"/>
      <c r="DD16" s="15">
        <v>1</v>
      </c>
      <c r="DI16" s="1">
        <f t="shared" si="0"/>
        <v>3</v>
      </c>
      <c r="DJ16" s="1">
        <f t="shared" si="1"/>
        <v>3</v>
      </c>
    </row>
    <row r="17" spans="1:114" ht="15.75" customHeight="1" x14ac:dyDescent="0.35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5"/>
      <c r="O17" s="17">
        <v>3</v>
      </c>
      <c r="AD17" s="15"/>
      <c r="AM17" s="15"/>
      <c r="AS17" s="15"/>
      <c r="AT17" s="15">
        <v>1</v>
      </c>
      <c r="AW17" s="15"/>
      <c r="AY17" s="15"/>
      <c r="AZ17" s="15">
        <v>1</v>
      </c>
      <c r="BM17" s="15"/>
      <c r="BR17" s="15"/>
      <c r="BT17" s="15"/>
      <c r="BU17" s="15"/>
      <c r="BY17" s="15">
        <v>1</v>
      </c>
      <c r="CS17" s="15"/>
      <c r="CT17" s="15"/>
      <c r="CY17" s="15"/>
      <c r="CZ17" s="15"/>
      <c r="DD17" s="15"/>
      <c r="DI17" s="1">
        <f t="shared" si="0"/>
        <v>3</v>
      </c>
      <c r="DJ17" s="1">
        <f t="shared" si="1"/>
        <v>3</v>
      </c>
    </row>
    <row r="18" spans="1:114" ht="15.75" customHeight="1" x14ac:dyDescent="0.35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5"/>
      <c r="O18" s="17">
        <v>3</v>
      </c>
      <c r="AD18" s="15"/>
      <c r="AM18" s="15"/>
      <c r="AS18" s="15"/>
      <c r="AT18" s="15"/>
      <c r="AW18" s="15"/>
      <c r="AY18" s="15"/>
      <c r="AZ18" s="15">
        <v>1</v>
      </c>
      <c r="BM18" s="15"/>
      <c r="BR18" s="15"/>
      <c r="BT18" s="15"/>
      <c r="BU18" s="15">
        <v>1</v>
      </c>
      <c r="BY18" s="15"/>
      <c r="CS18" s="15"/>
      <c r="CT18" s="15"/>
      <c r="CY18" s="15"/>
      <c r="CZ18" s="15"/>
      <c r="DD18" s="15"/>
      <c r="DI18" s="1">
        <f t="shared" si="0"/>
        <v>2</v>
      </c>
      <c r="DJ18" s="1">
        <f t="shared" si="1"/>
        <v>2</v>
      </c>
    </row>
    <row r="19" spans="1:114" ht="15.75" customHeight="1" x14ac:dyDescent="0.35">
      <c r="A19" s="15" t="s">
        <v>119</v>
      </c>
      <c r="B19" s="16" t="s">
        <v>182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5"/>
      <c r="O19" s="17">
        <v>3</v>
      </c>
      <c r="AC19" s="1">
        <v>1</v>
      </c>
      <c r="AD19" s="15"/>
      <c r="AM19" s="15"/>
      <c r="AS19" s="15"/>
      <c r="AT19" s="15"/>
      <c r="AW19" s="15"/>
      <c r="AY19" s="15"/>
      <c r="AZ19" s="15">
        <v>1</v>
      </c>
      <c r="BA19" s="1">
        <v>1</v>
      </c>
      <c r="BM19" s="15"/>
      <c r="BR19" s="15"/>
      <c r="BT19" s="15"/>
      <c r="BU19" s="15"/>
      <c r="BY19" s="15"/>
      <c r="CJ19" s="1">
        <v>1</v>
      </c>
      <c r="CS19" s="15"/>
      <c r="CT19" s="15"/>
      <c r="CY19" s="15"/>
      <c r="CZ19" s="15"/>
      <c r="DD19" s="15"/>
      <c r="DI19" s="1">
        <f t="shared" si="0"/>
        <v>4</v>
      </c>
      <c r="DJ19" s="1">
        <f t="shared" si="1"/>
        <v>4</v>
      </c>
    </row>
    <row r="20" spans="1:114" ht="15.75" customHeight="1" x14ac:dyDescent="0.35">
      <c r="A20" s="15" t="s">
        <v>119</v>
      </c>
      <c r="B20" s="16" t="s">
        <v>182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5"/>
      <c r="O20" s="17">
        <v>3</v>
      </c>
      <c r="AC20" s="1">
        <v>1</v>
      </c>
      <c r="AD20" s="15"/>
      <c r="AM20" s="15"/>
      <c r="AS20" s="15"/>
      <c r="AT20" s="15"/>
      <c r="AW20" s="15"/>
      <c r="AY20" s="15"/>
      <c r="AZ20" s="15"/>
      <c r="BM20" s="15"/>
      <c r="BR20" s="15"/>
      <c r="BT20" s="15"/>
      <c r="BU20" s="15"/>
      <c r="BY20" s="15"/>
      <c r="CS20" s="15"/>
      <c r="CT20" s="15"/>
      <c r="CY20" s="15"/>
      <c r="CZ20" s="15"/>
      <c r="DD20" s="15"/>
      <c r="DI20" s="1">
        <f t="shared" si="0"/>
        <v>1</v>
      </c>
      <c r="DJ20" s="1">
        <f t="shared" si="1"/>
        <v>1</v>
      </c>
    </row>
    <row r="21" spans="1:114" ht="15.75" customHeight="1" x14ac:dyDescent="0.35">
      <c r="A21" s="15" t="s">
        <v>119</v>
      </c>
      <c r="B21" s="16" t="s">
        <v>182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5"/>
      <c r="O21" s="17">
        <v>3</v>
      </c>
      <c r="AD21" s="15"/>
      <c r="AM21" s="15"/>
      <c r="AS21" s="15"/>
      <c r="AT21" s="15"/>
      <c r="AW21" s="15"/>
      <c r="AY21" s="15"/>
      <c r="AZ21" s="15">
        <v>1</v>
      </c>
      <c r="BM21" s="15"/>
      <c r="BR21" s="15"/>
      <c r="BT21" s="15"/>
      <c r="BU21" s="15"/>
      <c r="BY21" s="15"/>
      <c r="CS21" s="15"/>
      <c r="CT21" s="15"/>
      <c r="CY21" s="15"/>
      <c r="CZ21" s="15"/>
      <c r="DD21" s="15"/>
      <c r="DI21" s="1">
        <f t="shared" si="0"/>
        <v>1</v>
      </c>
      <c r="DJ21" s="1">
        <f t="shared" si="1"/>
        <v>1</v>
      </c>
    </row>
    <row r="22" spans="1:114" ht="15.75" customHeight="1" x14ac:dyDescent="0.35">
      <c r="A22" s="15" t="s">
        <v>119</v>
      </c>
      <c r="B22" s="16" t="s">
        <v>182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5"/>
      <c r="O22" s="17">
        <v>3</v>
      </c>
      <c r="AD22" s="15"/>
      <c r="AM22" s="15"/>
      <c r="AS22" s="15"/>
      <c r="AT22" s="15"/>
      <c r="AW22" s="15"/>
      <c r="AY22" s="15"/>
      <c r="AZ22" s="15">
        <v>1</v>
      </c>
      <c r="BA22" s="1">
        <v>1</v>
      </c>
      <c r="BM22" s="15"/>
      <c r="BR22" s="15"/>
      <c r="BT22" s="15"/>
      <c r="BU22" s="15">
        <v>1</v>
      </c>
      <c r="BY22" s="15">
        <v>1</v>
      </c>
      <c r="CS22" s="15"/>
      <c r="CT22" s="15"/>
      <c r="CY22" s="15">
        <v>1</v>
      </c>
      <c r="CZ22" s="15"/>
      <c r="DD22" s="15"/>
      <c r="DI22" s="1">
        <f t="shared" si="0"/>
        <v>5</v>
      </c>
      <c r="DJ22" s="1">
        <f t="shared" si="1"/>
        <v>5</v>
      </c>
    </row>
    <row r="23" spans="1:114" ht="15.75" customHeight="1" x14ac:dyDescent="0.35">
      <c r="A23" s="15" t="s">
        <v>119</v>
      </c>
      <c r="B23" s="16" t="s">
        <v>182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5"/>
      <c r="O23" s="17">
        <v>3</v>
      </c>
      <c r="AC23" s="1">
        <v>1</v>
      </c>
      <c r="AD23" s="15"/>
      <c r="AM23" s="15"/>
      <c r="AS23" s="15"/>
      <c r="AT23" s="15"/>
      <c r="AW23" s="15"/>
      <c r="AY23" s="15"/>
      <c r="AZ23" s="15">
        <v>1</v>
      </c>
      <c r="BM23" s="15"/>
      <c r="BR23" s="15"/>
      <c r="BT23" s="15"/>
      <c r="BU23" s="15"/>
      <c r="BY23" s="15"/>
      <c r="CS23" s="15"/>
      <c r="CT23" s="15"/>
      <c r="CY23" s="15"/>
      <c r="CZ23" s="15"/>
      <c r="DD23" s="15"/>
      <c r="DI23" s="1">
        <f t="shared" si="0"/>
        <v>2</v>
      </c>
      <c r="DJ23" s="1">
        <f t="shared" si="1"/>
        <v>2</v>
      </c>
    </row>
    <row r="24" spans="1:114" ht="15.75" customHeight="1" x14ac:dyDescent="0.35">
      <c r="A24" s="15" t="s">
        <v>119</v>
      </c>
      <c r="B24" s="16" t="s">
        <v>182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5"/>
      <c r="O24" s="17">
        <v>3</v>
      </c>
      <c r="R24" s="1">
        <v>1</v>
      </c>
      <c r="AD24" s="15"/>
      <c r="AM24" s="15"/>
      <c r="AS24" s="15"/>
      <c r="AT24" s="15"/>
      <c r="AW24" s="15"/>
      <c r="AY24" s="15"/>
      <c r="AZ24" s="15"/>
      <c r="BM24" s="15"/>
      <c r="BR24" s="15"/>
      <c r="BT24" s="15"/>
      <c r="BU24" s="15"/>
      <c r="BY24" s="15"/>
      <c r="CS24" s="15"/>
      <c r="CT24" s="15"/>
      <c r="CY24" s="15"/>
      <c r="CZ24" s="15"/>
      <c r="DD24" s="15"/>
      <c r="DI24" s="1">
        <f t="shared" si="0"/>
        <v>1</v>
      </c>
      <c r="DJ24" s="1">
        <f t="shared" si="1"/>
        <v>1</v>
      </c>
    </row>
    <row r="25" spans="1:114" ht="15.75" customHeight="1" x14ac:dyDescent="0.35">
      <c r="A25" s="15" t="s">
        <v>119</v>
      </c>
      <c r="B25" s="16" t="s">
        <v>182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5"/>
      <c r="O25" s="17">
        <v>3</v>
      </c>
      <c r="AD25" s="15"/>
      <c r="AM25" s="15"/>
      <c r="AS25" s="15"/>
      <c r="AT25" s="15"/>
      <c r="AW25" s="15"/>
      <c r="AY25" s="15"/>
      <c r="AZ25" s="15">
        <v>1</v>
      </c>
      <c r="BM25" s="15"/>
      <c r="BR25" s="15"/>
      <c r="BT25" s="15"/>
      <c r="BU25" s="15"/>
      <c r="BY25" s="15"/>
      <c r="CS25" s="15"/>
      <c r="CT25" s="15"/>
      <c r="CY25" s="15"/>
      <c r="CZ25" s="15"/>
      <c r="DD25" s="15"/>
      <c r="DI25" s="1">
        <f t="shared" si="0"/>
        <v>1</v>
      </c>
      <c r="DJ25" s="1">
        <f t="shared" si="1"/>
        <v>1</v>
      </c>
    </row>
    <row r="26" spans="1:114" ht="15.75" customHeight="1" x14ac:dyDescent="0.35">
      <c r="A26" s="15" t="s">
        <v>119</v>
      </c>
      <c r="B26" s="16" t="s">
        <v>182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5"/>
      <c r="O26" s="17">
        <v>3</v>
      </c>
      <c r="AD26" s="15"/>
      <c r="AM26" s="15"/>
      <c r="AS26" s="15"/>
      <c r="AT26" s="15"/>
      <c r="AW26" s="15"/>
      <c r="AY26" s="15"/>
      <c r="AZ26" s="15">
        <v>1</v>
      </c>
      <c r="BM26" s="15"/>
      <c r="BR26" s="15"/>
      <c r="BT26" s="15"/>
      <c r="BU26" s="15"/>
      <c r="BY26" s="15"/>
      <c r="CS26" s="15"/>
      <c r="CT26" s="15"/>
      <c r="CY26" s="15"/>
      <c r="CZ26" s="15"/>
      <c r="DD26" s="15"/>
      <c r="DI26" s="1">
        <f t="shared" si="0"/>
        <v>1</v>
      </c>
      <c r="DJ26" s="1">
        <f t="shared" si="1"/>
        <v>1</v>
      </c>
    </row>
    <row r="27" spans="1:114" ht="15.75" customHeight="1" x14ac:dyDescent="0.35">
      <c r="A27" s="15" t="s">
        <v>119</v>
      </c>
      <c r="B27" s="16" t="s">
        <v>182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5"/>
      <c r="O27" s="17">
        <v>3</v>
      </c>
      <c r="AD27" s="15"/>
      <c r="AM27" s="15"/>
      <c r="AS27" s="15"/>
      <c r="AT27" s="15"/>
      <c r="AW27" s="15"/>
      <c r="AY27" s="15"/>
      <c r="AZ27" s="15">
        <v>1</v>
      </c>
      <c r="BM27" s="15"/>
      <c r="BR27" s="15"/>
      <c r="BT27" s="15"/>
      <c r="BU27" s="15"/>
      <c r="BY27" s="15"/>
      <c r="CS27" s="15"/>
      <c r="CT27" s="15"/>
      <c r="CY27" s="15"/>
      <c r="CZ27" s="15"/>
      <c r="DD27" s="15"/>
      <c r="DI27" s="1">
        <f t="shared" si="0"/>
        <v>1</v>
      </c>
      <c r="DJ27" s="1">
        <f t="shared" si="1"/>
        <v>1</v>
      </c>
    </row>
    <row r="28" spans="1:114" ht="15.75" customHeight="1" x14ac:dyDescent="0.35">
      <c r="A28" s="15" t="s">
        <v>119</v>
      </c>
      <c r="B28" s="16" t="s">
        <v>182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5"/>
      <c r="O28" s="17">
        <v>3</v>
      </c>
      <c r="AD28" s="15"/>
      <c r="AM28" s="15"/>
      <c r="AS28" s="15"/>
      <c r="AT28" s="15"/>
      <c r="AW28" s="15"/>
      <c r="AY28" s="15"/>
      <c r="AZ28" s="15">
        <v>1</v>
      </c>
      <c r="BM28" s="15"/>
      <c r="BR28" s="15"/>
      <c r="BT28" s="15"/>
      <c r="BU28" s="15"/>
      <c r="BY28" s="15"/>
      <c r="CS28" s="15"/>
      <c r="CT28" s="15"/>
      <c r="CY28" s="15"/>
      <c r="CZ28" s="15"/>
      <c r="DD28" s="15"/>
      <c r="DI28" s="1">
        <f t="shared" si="0"/>
        <v>1</v>
      </c>
      <c r="DJ28" s="1">
        <f t="shared" si="1"/>
        <v>1</v>
      </c>
    </row>
    <row r="29" spans="1:114" ht="15.75" customHeight="1" x14ac:dyDescent="0.35">
      <c r="A29" s="15" t="s">
        <v>119</v>
      </c>
      <c r="B29" s="16" t="s">
        <v>182</v>
      </c>
      <c r="C29" s="16" t="s">
        <v>120</v>
      </c>
      <c r="D29" s="15" t="s">
        <v>133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5"/>
      <c r="O29" s="17">
        <v>3</v>
      </c>
      <c r="AD29" s="15"/>
      <c r="AM29" s="15"/>
      <c r="AS29" s="15"/>
      <c r="AT29" s="15"/>
      <c r="AW29" s="15"/>
      <c r="AY29" s="15"/>
      <c r="AZ29" s="15"/>
      <c r="BM29" s="15"/>
      <c r="BR29" s="15"/>
      <c r="BT29" s="15"/>
      <c r="BU29" s="15"/>
      <c r="BY29" s="15"/>
      <c r="CJ29" s="1">
        <v>1</v>
      </c>
      <c r="CS29" s="15"/>
      <c r="CT29" s="15"/>
      <c r="CY29" s="15"/>
      <c r="CZ29" s="15"/>
      <c r="DD29" s="15"/>
      <c r="DI29" s="1">
        <f t="shared" si="0"/>
        <v>1</v>
      </c>
      <c r="DJ29" s="1">
        <f t="shared" si="1"/>
        <v>1</v>
      </c>
    </row>
    <row r="30" spans="1:114" ht="15.75" customHeight="1" x14ac:dyDescent="0.35">
      <c r="A30" s="15" t="s">
        <v>119</v>
      </c>
      <c r="B30" s="16" t="s">
        <v>182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15"/>
      <c r="O30" s="21">
        <v>3</v>
      </c>
      <c r="AD30" s="15"/>
      <c r="AM30" s="15"/>
      <c r="AS30" s="15"/>
      <c r="AT30" s="15"/>
      <c r="AW30" s="15"/>
      <c r="AY30" s="15">
        <v>1</v>
      </c>
      <c r="AZ30" s="15">
        <v>1</v>
      </c>
      <c r="BM30" s="15"/>
      <c r="BR30" s="15"/>
      <c r="BT30" s="15"/>
      <c r="BU30" s="15"/>
      <c r="BY30" s="15">
        <v>1</v>
      </c>
      <c r="CS30" s="15"/>
      <c r="CT30" s="15"/>
      <c r="CY30" s="15"/>
      <c r="CZ30" s="15"/>
      <c r="DD30" s="15"/>
      <c r="DI30" s="1">
        <f t="shared" si="0"/>
        <v>3</v>
      </c>
      <c r="DJ30" s="1">
        <f t="shared" si="1"/>
        <v>3</v>
      </c>
    </row>
    <row r="31" spans="1:114" ht="15.75" customHeight="1" x14ac:dyDescent="0.35">
      <c r="A31" s="15" t="s">
        <v>119</v>
      </c>
      <c r="B31" s="16" t="s">
        <v>182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15"/>
      <c r="O31" s="21">
        <v>3</v>
      </c>
      <c r="AD31" s="15"/>
      <c r="AM31" s="15"/>
      <c r="AS31" s="15"/>
      <c r="AT31" s="15"/>
      <c r="AW31" s="15"/>
      <c r="AY31" s="15"/>
      <c r="AZ31" s="15">
        <v>1</v>
      </c>
      <c r="BM31" s="15"/>
      <c r="BR31" s="15"/>
      <c r="BT31" s="15"/>
      <c r="BU31" s="15"/>
      <c r="BY31" s="15"/>
      <c r="CS31" s="15"/>
      <c r="CT31" s="15"/>
      <c r="CY31" s="15"/>
      <c r="CZ31" s="15"/>
      <c r="DD31" s="15"/>
      <c r="DI31" s="1">
        <f t="shared" si="0"/>
        <v>1</v>
      </c>
      <c r="DJ31" s="1">
        <f t="shared" si="1"/>
        <v>1</v>
      </c>
    </row>
    <row r="32" spans="1:114" ht="15.75" customHeight="1" x14ac:dyDescent="0.35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5"/>
      <c r="O32" s="17"/>
      <c r="AD32" s="15"/>
      <c r="AM32" s="15"/>
      <c r="AS32" s="15"/>
      <c r="AT32" s="15"/>
      <c r="AW32" s="15"/>
      <c r="AY32" s="15"/>
      <c r="AZ32" s="15"/>
      <c r="BM32" s="15"/>
      <c r="BR32" s="15"/>
      <c r="BT32" s="15"/>
      <c r="BU32" s="15"/>
      <c r="BY32" s="15"/>
      <c r="CS32" s="15"/>
      <c r="CT32" s="15"/>
      <c r="CY32" s="15"/>
      <c r="CZ32" s="15"/>
      <c r="DD32" s="15"/>
      <c r="DI32" s="1">
        <f t="shared" si="0"/>
        <v>0</v>
      </c>
      <c r="DJ32" s="1">
        <f t="shared" si="1"/>
        <v>0</v>
      </c>
    </row>
    <row r="33" spans="1:114" ht="15.75" customHeight="1" x14ac:dyDescent="0.35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18"/>
      <c r="N33" s="15">
        <v>76.67</v>
      </c>
      <c r="O33" s="17">
        <v>4</v>
      </c>
      <c r="AD33" s="15">
        <v>1</v>
      </c>
      <c r="AE33" s="22">
        <v>1</v>
      </c>
      <c r="AM33" s="15"/>
      <c r="AS33" s="15"/>
      <c r="AT33" s="15"/>
      <c r="AW33" s="15">
        <v>1</v>
      </c>
      <c r="AY33" s="15"/>
      <c r="AZ33" s="15"/>
      <c r="BM33" s="15"/>
      <c r="BR33" s="15"/>
      <c r="BT33" s="15">
        <v>1</v>
      </c>
      <c r="BU33" s="15">
        <v>1</v>
      </c>
      <c r="BW33" s="22">
        <v>1</v>
      </c>
      <c r="BY33" s="15"/>
      <c r="CS33" s="15">
        <v>1</v>
      </c>
      <c r="CT33" s="15"/>
      <c r="CY33" s="15"/>
      <c r="CZ33" s="15"/>
      <c r="DA33" s="22">
        <v>1</v>
      </c>
      <c r="DD33" s="15">
        <v>1</v>
      </c>
      <c r="DF33" s="22">
        <v>1</v>
      </c>
      <c r="DI33" s="1">
        <f t="shared" si="0"/>
        <v>10</v>
      </c>
      <c r="DJ33" s="1">
        <f t="shared" si="1"/>
        <v>10</v>
      </c>
    </row>
    <row r="34" spans="1:114" ht="15.75" customHeight="1" x14ac:dyDescent="0.35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18"/>
      <c r="N34" s="15">
        <v>76.67</v>
      </c>
      <c r="O34" s="17">
        <v>4</v>
      </c>
      <c r="AD34" s="15">
        <v>1</v>
      </c>
      <c r="AM34" s="15"/>
      <c r="AS34" s="15"/>
      <c r="AT34" s="15"/>
      <c r="AV34" s="22">
        <v>1</v>
      </c>
      <c r="AW34" s="15">
        <v>1</v>
      </c>
      <c r="AY34" s="15"/>
      <c r="AZ34" s="15"/>
      <c r="BD34" s="1">
        <v>1</v>
      </c>
      <c r="BK34" s="22">
        <v>1</v>
      </c>
      <c r="BL34" s="22"/>
      <c r="BM34" s="15"/>
      <c r="BR34" s="15"/>
      <c r="BT34" s="15"/>
      <c r="BU34" s="15"/>
      <c r="BY34" s="15"/>
      <c r="CI34" s="1">
        <v>1</v>
      </c>
      <c r="CS34" s="15">
        <v>1</v>
      </c>
      <c r="CT34" s="15"/>
      <c r="CY34" s="15"/>
      <c r="CZ34" s="15"/>
      <c r="DD34" s="15"/>
      <c r="DI34" s="1">
        <f t="shared" si="0"/>
        <v>7</v>
      </c>
      <c r="DJ34" s="1">
        <f t="shared" si="1"/>
        <v>7</v>
      </c>
    </row>
    <row r="35" spans="1:114" ht="15.75" customHeight="1" x14ac:dyDescent="0.35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18"/>
      <c r="N35" s="15">
        <v>93.33</v>
      </c>
      <c r="O35" s="17">
        <v>3</v>
      </c>
      <c r="AD35" s="15">
        <v>1</v>
      </c>
      <c r="AJ35" s="4">
        <v>1</v>
      </c>
      <c r="AM35" s="15"/>
      <c r="AO35" s="22">
        <v>1</v>
      </c>
      <c r="AS35" s="15"/>
      <c r="AT35" s="15"/>
      <c r="AW35" s="15"/>
      <c r="AY35" s="15"/>
      <c r="AZ35" s="15">
        <v>1</v>
      </c>
      <c r="BM35" s="15">
        <v>1</v>
      </c>
      <c r="BR35" s="15">
        <v>2</v>
      </c>
      <c r="BT35" s="15"/>
      <c r="BU35" s="15">
        <v>3</v>
      </c>
      <c r="BY35" s="15">
        <v>1</v>
      </c>
      <c r="CB35" s="1">
        <v>1</v>
      </c>
      <c r="CN35" s="4">
        <v>1</v>
      </c>
      <c r="CS35" s="15"/>
      <c r="CT35" s="15"/>
      <c r="CU35" s="22">
        <v>1</v>
      </c>
      <c r="CY35" s="15"/>
      <c r="CZ35" s="15"/>
      <c r="DB35" s="22">
        <v>1</v>
      </c>
      <c r="DC35" s="22">
        <v>1</v>
      </c>
      <c r="DD35" s="15"/>
      <c r="DE35" s="22">
        <v>1</v>
      </c>
      <c r="DI35" s="1">
        <f t="shared" si="0"/>
        <v>14</v>
      </c>
      <c r="DJ35" s="1">
        <f t="shared" si="1"/>
        <v>17</v>
      </c>
    </row>
    <row r="36" spans="1:114" ht="15.75" customHeight="1" x14ac:dyDescent="0.35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18"/>
      <c r="N36" s="15">
        <v>88.87</v>
      </c>
      <c r="O36" s="17">
        <v>3</v>
      </c>
      <c r="AD36" s="22">
        <v>1</v>
      </c>
      <c r="AM36" s="15"/>
      <c r="AR36" s="22">
        <v>1</v>
      </c>
      <c r="AS36" s="15"/>
      <c r="AT36" s="15"/>
      <c r="AW36" s="15"/>
      <c r="AY36" s="15">
        <v>1</v>
      </c>
      <c r="AZ36" s="15"/>
      <c r="BT36" s="15"/>
      <c r="BU36" s="15"/>
      <c r="BY36" s="15"/>
      <c r="CS36" s="15"/>
      <c r="CT36" s="15"/>
      <c r="CU36" s="22">
        <v>1</v>
      </c>
      <c r="CY36" s="15">
        <v>1</v>
      </c>
      <c r="CZ36" s="15"/>
      <c r="DD36" s="15"/>
      <c r="DI36" s="1">
        <f t="shared" si="0"/>
        <v>5</v>
      </c>
      <c r="DJ36" s="1">
        <f t="shared" si="1"/>
        <v>5</v>
      </c>
    </row>
    <row r="37" spans="1:114" ht="15.75" customHeight="1" x14ac:dyDescent="0.35">
      <c r="A37" s="15" t="s">
        <v>134</v>
      </c>
      <c r="B37" s="23" t="s">
        <v>179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5">
        <v>88.87</v>
      </c>
      <c r="O37" s="17">
        <v>5</v>
      </c>
      <c r="AD37" s="22"/>
      <c r="AM37" s="15"/>
      <c r="AQ37" s="1">
        <v>1</v>
      </c>
      <c r="AR37" s="22"/>
      <c r="AS37" s="15"/>
      <c r="AT37" s="15"/>
      <c r="AW37" s="15"/>
      <c r="AY37" s="15"/>
      <c r="AZ37" s="15"/>
      <c r="BT37" s="15"/>
      <c r="BU37" s="15"/>
      <c r="BY37" s="15"/>
      <c r="CJ37" s="1">
        <v>1</v>
      </c>
      <c r="CS37" s="15"/>
      <c r="CT37" s="15"/>
      <c r="CU37" s="22"/>
      <c r="CY37" s="15"/>
      <c r="CZ37" s="15"/>
      <c r="DD37" s="15"/>
      <c r="DI37" s="1">
        <f t="shared" si="0"/>
        <v>2</v>
      </c>
      <c r="DJ37" s="1">
        <f t="shared" si="1"/>
        <v>2</v>
      </c>
    </row>
    <row r="38" spans="1:114" ht="15.75" customHeight="1" x14ac:dyDescent="0.35">
      <c r="A38" s="15" t="s">
        <v>134</v>
      </c>
      <c r="B38" s="23" t="s">
        <v>179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18"/>
      <c r="N38" s="15">
        <v>98.33</v>
      </c>
      <c r="O38" s="17">
        <v>5</v>
      </c>
      <c r="Y38" s="22">
        <v>1</v>
      </c>
      <c r="AD38" s="15"/>
      <c r="AM38" s="15"/>
      <c r="AS38" s="15"/>
      <c r="AT38" s="15"/>
      <c r="AW38" s="15"/>
      <c r="AY38" s="22">
        <v>1</v>
      </c>
      <c r="AZ38" s="15">
        <v>1</v>
      </c>
      <c r="BG38" s="22">
        <v>1</v>
      </c>
      <c r="BH38" s="22">
        <v>1</v>
      </c>
      <c r="BM38" s="15"/>
      <c r="BR38" s="15">
        <v>1</v>
      </c>
      <c r="BT38" s="15">
        <v>1</v>
      </c>
      <c r="BU38" s="22">
        <v>1</v>
      </c>
      <c r="BY38" s="15">
        <v>1</v>
      </c>
      <c r="CO38" s="22">
        <v>1</v>
      </c>
      <c r="CS38" s="15"/>
      <c r="CT38" s="15"/>
      <c r="CY38" s="15"/>
      <c r="CZ38" s="15"/>
      <c r="DA38" s="22">
        <v>1</v>
      </c>
      <c r="DD38" s="15"/>
      <c r="DG38" s="22">
        <v>1</v>
      </c>
      <c r="DI38" s="1">
        <f t="shared" si="0"/>
        <v>12</v>
      </c>
      <c r="DJ38" s="1">
        <f t="shared" si="1"/>
        <v>12</v>
      </c>
    </row>
    <row r="39" spans="1:114" ht="15.75" customHeight="1" x14ac:dyDescent="0.35">
      <c r="A39" s="15" t="s">
        <v>134</v>
      </c>
      <c r="B39" s="23" t="s">
        <v>179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18"/>
      <c r="N39" s="15">
        <v>84.47</v>
      </c>
      <c r="O39" s="17">
        <v>5</v>
      </c>
      <c r="AD39" s="15"/>
      <c r="AE39" s="1">
        <v>1</v>
      </c>
      <c r="AM39" s="15"/>
      <c r="AS39" s="15"/>
      <c r="AT39" s="15"/>
      <c r="AW39" s="15"/>
      <c r="AY39" s="15"/>
      <c r="AZ39" s="15"/>
      <c r="BA39" s="22">
        <v>1</v>
      </c>
      <c r="BB39" s="22">
        <v>1</v>
      </c>
      <c r="BM39" s="15"/>
      <c r="BR39" s="15"/>
      <c r="BT39" s="15"/>
      <c r="BU39" s="15"/>
      <c r="BY39" s="15"/>
      <c r="CS39" s="15"/>
      <c r="CT39" s="15"/>
      <c r="CY39" s="15"/>
      <c r="CZ39" s="15"/>
      <c r="DD39" s="15"/>
      <c r="DI39" s="1">
        <f t="shared" si="0"/>
        <v>3</v>
      </c>
      <c r="DJ39" s="1">
        <f t="shared" si="1"/>
        <v>3</v>
      </c>
    </row>
    <row r="40" spans="1:114" ht="15.75" customHeight="1" x14ac:dyDescent="0.35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18"/>
      <c r="N40" s="15">
        <v>100</v>
      </c>
      <c r="O40" s="17">
        <v>5</v>
      </c>
      <c r="AD40" s="15"/>
      <c r="AM40" s="15"/>
      <c r="AS40" s="15"/>
      <c r="AT40" s="15"/>
      <c r="AW40" s="15"/>
      <c r="AY40" s="15"/>
      <c r="AZ40" s="15"/>
      <c r="BM40" s="15"/>
      <c r="BR40" s="15"/>
      <c r="BT40" s="15"/>
      <c r="BU40" s="15"/>
      <c r="BY40" s="15"/>
      <c r="CS40" s="15"/>
      <c r="CT40" s="15"/>
      <c r="CY40" s="15"/>
      <c r="CZ40" s="15"/>
      <c r="DD40" s="15"/>
      <c r="DI40" s="1">
        <f t="shared" si="0"/>
        <v>0</v>
      </c>
      <c r="DJ40" s="1">
        <f t="shared" si="1"/>
        <v>0</v>
      </c>
    </row>
    <row r="41" spans="1:114" ht="15.75" customHeight="1" x14ac:dyDescent="0.35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18"/>
      <c r="N41" s="15">
        <v>100</v>
      </c>
      <c r="O41" s="17">
        <v>5</v>
      </c>
      <c r="Y41" s="4"/>
      <c r="AD41" s="15"/>
      <c r="AE41" s="4"/>
      <c r="AJ41" s="4"/>
      <c r="AM41" s="15"/>
      <c r="AO41" s="4"/>
      <c r="AR41" s="4"/>
      <c r="AS41" s="15"/>
      <c r="AT41" s="15"/>
      <c r="AV41" s="4"/>
      <c r="AW41" s="15"/>
      <c r="AY41" s="15"/>
      <c r="AZ41" s="15">
        <v>2</v>
      </c>
      <c r="BA41" s="4"/>
      <c r="BB41" s="4"/>
      <c r="BG41" s="4"/>
      <c r="BH41" s="4"/>
      <c r="BK41" s="4"/>
      <c r="BL41" s="4"/>
      <c r="BM41" s="15"/>
      <c r="BR41" s="15"/>
      <c r="BT41" s="15"/>
      <c r="BU41" s="15"/>
      <c r="BW41" s="4"/>
      <c r="BY41" s="15">
        <v>1</v>
      </c>
      <c r="CN41" s="4"/>
      <c r="CO41" s="4"/>
      <c r="CS41" s="15"/>
      <c r="CT41" s="15"/>
      <c r="CU41" s="4"/>
      <c r="CY41" s="15"/>
      <c r="CZ41" s="15"/>
      <c r="DA41" s="4"/>
      <c r="DB41" s="4"/>
      <c r="DC41" s="4"/>
      <c r="DD41" s="15"/>
      <c r="DE41" s="4"/>
      <c r="DF41" s="4"/>
      <c r="DG41" s="4"/>
      <c r="DI41" s="1">
        <f t="shared" si="0"/>
        <v>2</v>
      </c>
      <c r="DJ41" s="1">
        <f t="shared" si="1"/>
        <v>3</v>
      </c>
    </row>
    <row r="42" spans="1:114" ht="15.75" customHeight="1" x14ac:dyDescent="0.35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5">
        <v>100</v>
      </c>
      <c r="O42" s="17">
        <v>3</v>
      </c>
      <c r="Y42" s="4"/>
      <c r="AD42" s="15"/>
      <c r="AE42" s="4"/>
      <c r="AJ42" s="4"/>
      <c r="AM42" s="15"/>
      <c r="AO42" s="4"/>
      <c r="AR42" s="4"/>
      <c r="AS42" s="15"/>
      <c r="AT42" s="15"/>
      <c r="AV42" s="4"/>
      <c r="AW42" s="15"/>
      <c r="AY42" s="15"/>
      <c r="AZ42" s="15"/>
      <c r="BA42" s="4"/>
      <c r="BB42" s="4"/>
      <c r="BG42" s="4"/>
      <c r="BH42" s="4"/>
      <c r="BK42" s="4"/>
      <c r="BL42" s="4"/>
      <c r="BM42" s="15"/>
      <c r="BR42" s="15"/>
      <c r="BT42" s="15"/>
      <c r="BU42" s="15">
        <v>1</v>
      </c>
      <c r="BW42" s="4"/>
      <c r="BY42" s="15"/>
      <c r="CN42" s="4"/>
      <c r="CO42" s="4"/>
      <c r="CS42" s="15"/>
      <c r="CT42" s="15"/>
      <c r="CU42" s="4"/>
      <c r="CY42" s="15"/>
      <c r="CZ42" s="15"/>
      <c r="DA42" s="4"/>
      <c r="DB42" s="4"/>
      <c r="DC42" s="4"/>
      <c r="DD42" s="15"/>
      <c r="DE42" s="4"/>
      <c r="DF42" s="4"/>
      <c r="DG42" s="4"/>
      <c r="DI42" s="1">
        <f t="shared" si="0"/>
        <v>1</v>
      </c>
      <c r="DJ42" s="1">
        <f t="shared" si="1"/>
        <v>1</v>
      </c>
    </row>
    <row r="43" spans="1:114" ht="15.75" customHeight="1" x14ac:dyDescent="0.35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18"/>
      <c r="N43" s="15">
        <v>100</v>
      </c>
      <c r="O43" s="17">
        <v>3</v>
      </c>
      <c r="AD43" s="15"/>
      <c r="AM43" s="15"/>
      <c r="AS43" s="15"/>
      <c r="AT43" s="15"/>
      <c r="AW43" s="15"/>
      <c r="AY43" s="15">
        <v>1</v>
      </c>
      <c r="AZ43" s="15">
        <v>1</v>
      </c>
      <c r="BA43" s="1">
        <v>1</v>
      </c>
      <c r="BM43" s="15"/>
      <c r="BR43" s="15"/>
      <c r="BT43" s="15"/>
      <c r="BU43" s="15"/>
      <c r="BY43" s="15">
        <v>1</v>
      </c>
      <c r="CS43" s="15"/>
      <c r="CT43" s="15"/>
      <c r="CY43" s="15"/>
      <c r="CZ43" s="15"/>
      <c r="DD43" s="15"/>
      <c r="DI43" s="1">
        <f t="shared" si="0"/>
        <v>4</v>
      </c>
      <c r="DJ43" s="1">
        <f t="shared" si="1"/>
        <v>4</v>
      </c>
    </row>
    <row r="44" spans="1:114" ht="15.75" customHeight="1" x14ac:dyDescent="0.35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18"/>
      <c r="N44" s="15">
        <v>100</v>
      </c>
      <c r="O44" s="17">
        <v>3</v>
      </c>
      <c r="AA44" s="1">
        <v>1</v>
      </c>
      <c r="AD44" s="15"/>
      <c r="AM44" s="15"/>
      <c r="AS44" s="15"/>
      <c r="AT44" s="15"/>
      <c r="AW44" s="15"/>
      <c r="AY44" s="15"/>
      <c r="AZ44" s="15">
        <v>1</v>
      </c>
      <c r="BB44" s="1">
        <v>1</v>
      </c>
      <c r="BM44" s="15"/>
      <c r="BP44" s="1">
        <v>1</v>
      </c>
      <c r="BR44" s="15"/>
      <c r="BT44" s="15"/>
      <c r="BU44" s="15"/>
      <c r="BY44" s="15"/>
      <c r="CS44" s="15"/>
      <c r="CT44" s="15"/>
      <c r="CY44" s="15"/>
      <c r="CZ44" s="15"/>
      <c r="DD44" s="15"/>
      <c r="DI44" s="1">
        <f t="shared" si="0"/>
        <v>4</v>
      </c>
      <c r="DJ44" s="1">
        <f t="shared" si="1"/>
        <v>4</v>
      </c>
    </row>
    <row r="45" spans="1:114" ht="15.75" customHeight="1" x14ac:dyDescent="0.35">
      <c r="A45" s="15" t="s">
        <v>134</v>
      </c>
      <c r="B45" s="23" t="s">
        <v>182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18"/>
      <c r="N45" s="15">
        <v>100</v>
      </c>
      <c r="O45" s="17">
        <v>3</v>
      </c>
      <c r="AD45" s="15"/>
      <c r="AM45" s="15"/>
      <c r="AS45" s="15"/>
      <c r="AT45" s="15"/>
      <c r="AW45" s="15"/>
      <c r="AY45" s="15"/>
      <c r="AZ45" s="15"/>
      <c r="BM45" s="15"/>
      <c r="BP45" s="1">
        <v>1</v>
      </c>
      <c r="BR45" s="15"/>
      <c r="BT45" s="15"/>
      <c r="BU45" s="15"/>
      <c r="BY45" s="15"/>
      <c r="CS45" s="15"/>
      <c r="CT45" s="15"/>
      <c r="CY45" s="15"/>
      <c r="CZ45" s="15"/>
      <c r="DD45" s="15"/>
      <c r="DI45" s="1">
        <f t="shared" si="0"/>
        <v>1</v>
      </c>
      <c r="DJ45" s="1">
        <f t="shared" si="1"/>
        <v>1</v>
      </c>
    </row>
    <row r="46" spans="1:114" ht="15.75" customHeight="1" x14ac:dyDescent="0.35">
      <c r="A46" s="15" t="s">
        <v>134</v>
      </c>
      <c r="B46" s="15" t="s">
        <v>182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18"/>
      <c r="N46" s="15">
        <v>100</v>
      </c>
      <c r="O46" s="17">
        <v>3</v>
      </c>
      <c r="W46" s="1">
        <v>1</v>
      </c>
      <c r="AD46" s="15"/>
      <c r="AM46" s="15"/>
      <c r="AS46" s="15"/>
      <c r="AT46" s="15"/>
      <c r="AW46" s="15"/>
      <c r="AY46" s="15"/>
      <c r="AZ46" s="15"/>
      <c r="BM46" s="15"/>
      <c r="BR46" s="15"/>
      <c r="BT46" s="15"/>
      <c r="BU46" s="15"/>
      <c r="BY46" s="15">
        <v>1</v>
      </c>
      <c r="CS46" s="15"/>
      <c r="CT46" s="15"/>
      <c r="CY46" s="15"/>
      <c r="CZ46" s="15"/>
      <c r="DD46" s="15"/>
      <c r="DI46" s="1">
        <f t="shared" si="0"/>
        <v>2</v>
      </c>
      <c r="DJ46" s="1">
        <f t="shared" si="1"/>
        <v>2</v>
      </c>
    </row>
    <row r="47" spans="1:114" ht="15.75" customHeight="1" x14ac:dyDescent="0.35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5"/>
      <c r="O47" s="17"/>
      <c r="AD47" s="15"/>
      <c r="AM47" s="15"/>
      <c r="AS47" s="15"/>
      <c r="AT47" s="15"/>
      <c r="AW47" s="15"/>
      <c r="AY47" s="15"/>
      <c r="AZ47" s="15"/>
      <c r="BM47" s="15"/>
      <c r="BR47" s="15"/>
      <c r="BT47" s="15"/>
      <c r="BU47" s="15"/>
      <c r="BY47" s="15"/>
      <c r="CS47" s="15"/>
      <c r="CT47" s="15"/>
      <c r="CY47" s="15"/>
      <c r="CZ47" s="15"/>
      <c r="DD47" s="15"/>
      <c r="DI47" s="1">
        <f t="shared" si="0"/>
        <v>0</v>
      </c>
      <c r="DJ47" s="1">
        <f t="shared" si="1"/>
        <v>0</v>
      </c>
    </row>
    <row r="48" spans="1:114" ht="15.75" customHeight="1" x14ac:dyDescent="0.35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400</v>
      </c>
      <c r="N48" s="15">
        <v>70</v>
      </c>
      <c r="O48" s="21">
        <v>4</v>
      </c>
      <c r="AD48" s="15">
        <v>1</v>
      </c>
      <c r="AE48" s="1">
        <v>1</v>
      </c>
      <c r="AM48" s="15"/>
      <c r="AS48" s="15">
        <v>5</v>
      </c>
      <c r="AT48" s="15"/>
      <c r="AW48" s="15"/>
      <c r="AY48" s="15">
        <v>1</v>
      </c>
      <c r="AZ48" s="15"/>
      <c r="BM48" s="15">
        <v>1</v>
      </c>
      <c r="BR48" s="15"/>
      <c r="BT48" s="15"/>
      <c r="BU48" s="15">
        <v>2</v>
      </c>
      <c r="BW48" s="1">
        <v>2</v>
      </c>
      <c r="BY48" s="15"/>
      <c r="CP48" s="1">
        <v>4</v>
      </c>
      <c r="CS48" s="15"/>
      <c r="CT48" s="15"/>
      <c r="CY48" s="15"/>
      <c r="CZ48" s="15"/>
      <c r="DA48" s="1">
        <v>1</v>
      </c>
      <c r="DD48" s="15"/>
      <c r="DI48" s="1">
        <f t="shared" si="0"/>
        <v>9</v>
      </c>
      <c r="DJ48" s="1">
        <f t="shared" si="1"/>
        <v>18</v>
      </c>
    </row>
    <row r="49" spans="1:114" ht="15.75" customHeight="1" x14ac:dyDescent="0.35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15">
        <v>93.33</v>
      </c>
      <c r="O49" s="21">
        <v>3</v>
      </c>
      <c r="X49" s="1">
        <v>1</v>
      </c>
      <c r="AD49" s="15">
        <v>1</v>
      </c>
      <c r="AF49" s="1">
        <v>1</v>
      </c>
      <c r="AM49" s="15"/>
      <c r="AS49" s="15"/>
      <c r="AT49" s="15"/>
      <c r="AW49" s="15"/>
      <c r="AY49" s="15">
        <v>1</v>
      </c>
      <c r="AZ49" s="15"/>
      <c r="BC49" s="1">
        <v>1</v>
      </c>
      <c r="BM49" s="15"/>
      <c r="BR49" s="15"/>
      <c r="BT49" s="15"/>
      <c r="BU49" s="15">
        <v>1</v>
      </c>
      <c r="BY49" s="15">
        <v>1</v>
      </c>
      <c r="CC49" s="1">
        <v>1</v>
      </c>
      <c r="CD49" s="1">
        <v>1</v>
      </c>
      <c r="CS49" s="15"/>
      <c r="CT49" s="15"/>
      <c r="CY49" s="15">
        <v>1</v>
      </c>
      <c r="CZ49" s="15"/>
      <c r="DA49" s="1">
        <v>1</v>
      </c>
      <c r="DD49" s="15"/>
      <c r="DI49" s="1">
        <f t="shared" si="0"/>
        <v>11</v>
      </c>
      <c r="DJ49" s="1">
        <f t="shared" si="1"/>
        <v>11</v>
      </c>
    </row>
    <row r="50" spans="1:114" ht="15.75" customHeight="1" x14ac:dyDescent="0.35">
      <c r="A50" s="15" t="s">
        <v>141</v>
      </c>
      <c r="B50" s="26" t="s">
        <v>179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15">
        <v>52.38</v>
      </c>
      <c r="O50" s="21">
        <v>5</v>
      </c>
      <c r="Q50" s="1">
        <v>1</v>
      </c>
      <c r="AD50" s="15"/>
      <c r="AM50" s="15"/>
      <c r="AS50" s="15"/>
      <c r="AT50" s="15"/>
      <c r="AW50" s="15"/>
      <c r="AY50" s="15"/>
      <c r="AZ50" s="15">
        <v>1</v>
      </c>
      <c r="BC50" s="1">
        <v>3</v>
      </c>
      <c r="BM50" s="15">
        <v>1</v>
      </c>
      <c r="BR50" s="15"/>
      <c r="BT50" s="15"/>
      <c r="BU50" s="15">
        <v>2</v>
      </c>
      <c r="BY50" s="15"/>
      <c r="CG50" s="1">
        <v>1</v>
      </c>
      <c r="CJ50" s="1">
        <v>1</v>
      </c>
      <c r="CS50" s="15"/>
      <c r="CT50" s="15"/>
      <c r="CY50" s="15"/>
      <c r="CZ50" s="15"/>
      <c r="DD50" s="15"/>
      <c r="DI50" s="1">
        <f t="shared" si="0"/>
        <v>7</v>
      </c>
      <c r="DJ50" s="1">
        <f t="shared" si="1"/>
        <v>10</v>
      </c>
    </row>
    <row r="51" spans="1:114" ht="15.75" customHeight="1" x14ac:dyDescent="0.35">
      <c r="A51" s="15" t="s">
        <v>141</v>
      </c>
      <c r="B51" s="26" t="s">
        <v>179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400</v>
      </c>
      <c r="N51" s="15">
        <v>90</v>
      </c>
      <c r="O51" s="21">
        <v>5</v>
      </c>
      <c r="X51" s="1">
        <v>1</v>
      </c>
      <c r="AD51" s="15"/>
      <c r="AE51" s="1">
        <v>1</v>
      </c>
      <c r="AF51" s="1">
        <v>1</v>
      </c>
      <c r="AM51" s="15"/>
      <c r="AS51" s="15"/>
      <c r="AT51" s="15"/>
      <c r="AW51" s="15"/>
      <c r="AY51" s="15"/>
      <c r="AZ51" s="15">
        <v>1</v>
      </c>
      <c r="BM51" s="15"/>
      <c r="BR51" s="15"/>
      <c r="BT51" s="15"/>
      <c r="BU51" s="15"/>
      <c r="BY51" s="15"/>
      <c r="CH51" s="1">
        <v>1</v>
      </c>
      <c r="CJ51" s="1">
        <v>2</v>
      </c>
      <c r="CS51" s="15"/>
      <c r="CT51" s="15"/>
      <c r="CY51" s="15">
        <v>1</v>
      </c>
      <c r="CZ51" s="15"/>
      <c r="DA51" s="1">
        <v>1</v>
      </c>
      <c r="DD51" s="15"/>
      <c r="DI51" s="1">
        <f t="shared" si="0"/>
        <v>8</v>
      </c>
      <c r="DJ51" s="1">
        <f t="shared" si="1"/>
        <v>9</v>
      </c>
    </row>
    <row r="52" spans="1:114" ht="15.75" customHeight="1" x14ac:dyDescent="0.35">
      <c r="A52" s="15" t="s">
        <v>141</v>
      </c>
      <c r="B52" s="26" t="s">
        <v>179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>
        <v>400</v>
      </c>
      <c r="N52" s="15">
        <v>73.33</v>
      </c>
      <c r="O52" s="21">
        <v>5</v>
      </c>
      <c r="AD52" s="15"/>
      <c r="AM52" s="15"/>
      <c r="AS52" s="15"/>
      <c r="AT52" s="15"/>
      <c r="AW52" s="15"/>
      <c r="AY52" s="15"/>
      <c r="AZ52" s="15">
        <v>1</v>
      </c>
      <c r="BM52" s="15"/>
      <c r="BR52" s="15"/>
      <c r="BT52" s="15"/>
      <c r="BU52" s="15"/>
      <c r="BY52" s="15"/>
      <c r="CH52" s="1">
        <v>1</v>
      </c>
      <c r="CS52" s="15"/>
      <c r="CT52" s="15"/>
      <c r="CW52" s="1">
        <v>1</v>
      </c>
      <c r="CY52" s="15"/>
      <c r="CZ52" s="15"/>
      <c r="DD52" s="15"/>
      <c r="DI52" s="1">
        <f t="shared" si="0"/>
        <v>3</v>
      </c>
      <c r="DJ52" s="1">
        <f t="shared" si="1"/>
        <v>3</v>
      </c>
    </row>
    <row r="53" spans="1:114" ht="15.75" customHeight="1" x14ac:dyDescent="0.35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400</v>
      </c>
      <c r="N53" s="15">
        <v>90</v>
      </c>
      <c r="O53" s="21">
        <v>5</v>
      </c>
      <c r="AD53" s="15"/>
      <c r="AM53" s="15"/>
      <c r="AS53" s="15">
        <v>4</v>
      </c>
      <c r="AT53" s="15"/>
      <c r="AW53" s="15"/>
      <c r="AY53" s="15"/>
      <c r="AZ53" s="15"/>
      <c r="BM53" s="15"/>
      <c r="BR53" s="15"/>
      <c r="BT53" s="15"/>
      <c r="BU53" s="15"/>
      <c r="BY53" s="15"/>
      <c r="CS53" s="15"/>
      <c r="CT53" s="15"/>
      <c r="CW53" s="1">
        <v>1</v>
      </c>
      <c r="CY53" s="15">
        <v>1</v>
      </c>
      <c r="CZ53" s="15"/>
      <c r="DA53" s="1">
        <v>1</v>
      </c>
      <c r="DC53" s="1">
        <v>2</v>
      </c>
      <c r="DD53" s="15"/>
      <c r="DI53" s="1">
        <f t="shared" si="0"/>
        <v>5</v>
      </c>
      <c r="DJ53" s="1">
        <f t="shared" si="1"/>
        <v>9</v>
      </c>
    </row>
    <row r="54" spans="1:114" ht="15.75" customHeight="1" x14ac:dyDescent="0.35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>
        <v>400</v>
      </c>
      <c r="N54" s="15">
        <v>80</v>
      </c>
      <c r="O54" s="21">
        <v>5</v>
      </c>
      <c r="AD54" s="15"/>
      <c r="AM54" s="15"/>
      <c r="AS54" s="15"/>
      <c r="AT54" s="15"/>
      <c r="AW54" s="15"/>
      <c r="AY54" s="15"/>
      <c r="AZ54" s="15"/>
      <c r="BM54" s="15"/>
      <c r="BR54" s="15"/>
      <c r="BT54" s="15"/>
      <c r="BU54" s="15"/>
      <c r="BY54" s="15"/>
      <c r="CS54" s="15"/>
      <c r="CT54" s="15"/>
      <c r="CW54" s="1">
        <v>1</v>
      </c>
      <c r="CY54" s="15"/>
      <c r="CZ54" s="15"/>
      <c r="DD54" s="15"/>
      <c r="DI54" s="1">
        <f t="shared" si="0"/>
        <v>1</v>
      </c>
      <c r="DJ54" s="1">
        <f t="shared" si="1"/>
        <v>1</v>
      </c>
    </row>
    <row r="55" spans="1:114" ht="15.75" customHeight="1" x14ac:dyDescent="0.35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400</v>
      </c>
      <c r="N55" s="15">
        <v>93.33</v>
      </c>
      <c r="O55" s="21">
        <v>3</v>
      </c>
      <c r="X55" s="1">
        <v>1</v>
      </c>
      <c r="AD55" s="15"/>
      <c r="AM55" s="15"/>
      <c r="AS55" s="15"/>
      <c r="AT55" s="15"/>
      <c r="AW55" s="15"/>
      <c r="AY55" s="15"/>
      <c r="AZ55" s="15">
        <v>1</v>
      </c>
      <c r="BM55" s="15"/>
      <c r="BR55" s="15"/>
      <c r="BT55" s="15"/>
      <c r="BU55" s="15"/>
      <c r="BW55" s="1">
        <v>2</v>
      </c>
      <c r="BY55" s="15">
        <v>3</v>
      </c>
      <c r="CS55" s="15"/>
      <c r="CT55" s="15"/>
      <c r="CY55" s="15"/>
      <c r="CZ55" s="15"/>
      <c r="DD55" s="15"/>
      <c r="DI55" s="1">
        <f t="shared" si="0"/>
        <v>4</v>
      </c>
      <c r="DJ55" s="1">
        <f t="shared" si="1"/>
        <v>7</v>
      </c>
    </row>
    <row r="56" spans="1:114" ht="15.75" customHeight="1" x14ac:dyDescent="0.35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>
        <v>400</v>
      </c>
      <c r="N56" s="15">
        <v>93.33</v>
      </c>
      <c r="O56" s="21">
        <v>3</v>
      </c>
      <c r="AD56" s="15"/>
      <c r="AM56" s="15"/>
      <c r="AS56" s="15"/>
      <c r="AT56" s="15"/>
      <c r="AW56" s="15"/>
      <c r="AY56" s="15"/>
      <c r="AZ56" s="15">
        <v>2</v>
      </c>
      <c r="BM56" s="15"/>
      <c r="BR56" s="15"/>
      <c r="BT56" s="15"/>
      <c r="BU56" s="15"/>
      <c r="BY56" s="15">
        <v>2</v>
      </c>
      <c r="CS56" s="15"/>
      <c r="CT56" s="15"/>
      <c r="CY56" s="15"/>
      <c r="CZ56" s="15"/>
      <c r="DD56" s="15"/>
      <c r="DI56" s="1">
        <f t="shared" si="0"/>
        <v>2</v>
      </c>
      <c r="DJ56" s="1">
        <f t="shared" si="1"/>
        <v>4</v>
      </c>
    </row>
    <row r="57" spans="1:114" ht="15.75" customHeight="1" x14ac:dyDescent="0.35">
      <c r="A57" s="15" t="s">
        <v>141</v>
      </c>
      <c r="B57" s="26" t="s">
        <v>182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400</v>
      </c>
      <c r="N57" s="15">
        <v>93.33</v>
      </c>
      <c r="O57" s="21">
        <v>3</v>
      </c>
      <c r="U57" s="1">
        <v>2</v>
      </c>
      <c r="AD57" s="15"/>
      <c r="AM57" s="15"/>
      <c r="AS57" s="15"/>
      <c r="AT57" s="15"/>
      <c r="AW57" s="15"/>
      <c r="AY57" s="15"/>
      <c r="AZ57" s="15"/>
      <c r="BM57" s="15"/>
      <c r="BR57" s="15"/>
      <c r="BT57" s="15"/>
      <c r="BU57" s="15">
        <v>3</v>
      </c>
      <c r="BY57" s="15">
        <v>1</v>
      </c>
      <c r="CH57" s="1">
        <v>1</v>
      </c>
      <c r="CS57" s="15"/>
      <c r="CT57" s="15"/>
      <c r="CY57" s="15"/>
      <c r="CZ57" s="15"/>
      <c r="DD57" s="15"/>
      <c r="DE57" s="1">
        <v>4</v>
      </c>
      <c r="DG57" s="1">
        <v>1</v>
      </c>
      <c r="DI57" s="1">
        <f t="shared" si="0"/>
        <v>6</v>
      </c>
      <c r="DJ57" s="1">
        <f t="shared" si="1"/>
        <v>12</v>
      </c>
    </row>
    <row r="58" spans="1:114" ht="15.75" customHeight="1" x14ac:dyDescent="0.35">
      <c r="A58" s="15" t="s">
        <v>141</v>
      </c>
      <c r="B58" s="26" t="s">
        <v>182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>
        <v>400</v>
      </c>
      <c r="N58" s="15">
        <v>93.33</v>
      </c>
      <c r="O58" s="21">
        <v>3</v>
      </c>
      <c r="AD58" s="15"/>
      <c r="AM58" s="15"/>
      <c r="AS58" s="15"/>
      <c r="AT58" s="15"/>
      <c r="AW58" s="15"/>
      <c r="AY58" s="15"/>
      <c r="AZ58" s="15">
        <v>3</v>
      </c>
      <c r="BM58" s="15"/>
      <c r="BR58" s="15"/>
      <c r="BT58" s="15"/>
      <c r="BU58" s="15">
        <v>2</v>
      </c>
      <c r="BY58" s="15">
        <v>2</v>
      </c>
      <c r="CS58" s="15"/>
      <c r="CT58" s="15"/>
      <c r="CY58" s="15"/>
      <c r="CZ58" s="15"/>
      <c r="DD58" s="15"/>
      <c r="DF58" s="1">
        <v>8</v>
      </c>
      <c r="DI58" s="1">
        <f t="shared" si="0"/>
        <v>4</v>
      </c>
      <c r="DJ58" s="1">
        <f t="shared" si="1"/>
        <v>15</v>
      </c>
    </row>
    <row r="59" spans="1:114" ht="15.75" customHeight="1" x14ac:dyDescent="0.35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15">
        <v>80</v>
      </c>
      <c r="O59" s="21">
        <v>3</v>
      </c>
      <c r="AD59" s="15"/>
      <c r="AM59" s="15"/>
      <c r="AS59" s="15"/>
      <c r="AT59" s="15"/>
      <c r="AW59" s="15"/>
      <c r="AY59" s="15"/>
      <c r="AZ59" s="15"/>
      <c r="BM59" s="15"/>
      <c r="BR59" s="15"/>
      <c r="BT59" s="15"/>
      <c r="BU59" s="15"/>
      <c r="BY59" s="15"/>
      <c r="CS59" s="15"/>
      <c r="CT59" s="15"/>
      <c r="CY59" s="15"/>
      <c r="CZ59" s="15"/>
      <c r="DD59" s="15"/>
      <c r="DI59" s="1">
        <f t="shared" si="0"/>
        <v>0</v>
      </c>
      <c r="DJ59" s="1">
        <f t="shared" si="1"/>
        <v>0</v>
      </c>
    </row>
    <row r="60" spans="1:114" ht="15.75" customHeight="1" x14ac:dyDescent="0.35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15">
        <v>80</v>
      </c>
      <c r="O60" s="21"/>
      <c r="AD60" s="15"/>
      <c r="AM60" s="15"/>
      <c r="AS60" s="15"/>
      <c r="AT60" s="15"/>
      <c r="AW60" s="15"/>
      <c r="AY60" s="15"/>
      <c r="AZ60" s="15"/>
      <c r="BM60" s="15"/>
      <c r="BR60" s="15"/>
      <c r="BT60" s="15"/>
      <c r="BU60" s="15"/>
      <c r="BY60" s="15"/>
      <c r="CJ60" s="1">
        <v>1</v>
      </c>
      <c r="CK60" s="1">
        <v>1</v>
      </c>
      <c r="CS60" s="15"/>
      <c r="CT60" s="15"/>
      <c r="CY60" s="15"/>
      <c r="CZ60" s="15"/>
      <c r="DD60" s="15"/>
      <c r="DI60" s="1">
        <f t="shared" si="0"/>
        <v>2</v>
      </c>
      <c r="DJ60" s="1">
        <f t="shared" si="1"/>
        <v>2</v>
      </c>
    </row>
    <row r="61" spans="1:114" ht="15.75" customHeight="1" x14ac:dyDescent="0.35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15">
        <v>80</v>
      </c>
      <c r="O61" s="21">
        <v>1</v>
      </c>
      <c r="U61" s="1">
        <v>2</v>
      </c>
      <c r="AD61" s="15"/>
      <c r="AM61" s="15"/>
      <c r="AS61" s="15"/>
      <c r="AT61" s="15"/>
      <c r="AW61" s="15"/>
      <c r="AY61" s="15"/>
      <c r="AZ61" s="15"/>
      <c r="BM61" s="15"/>
      <c r="BO61" s="1">
        <v>2</v>
      </c>
      <c r="BP61" s="1">
        <v>3</v>
      </c>
      <c r="BR61" s="15"/>
      <c r="BT61" s="15"/>
      <c r="BU61" s="15"/>
      <c r="BY61" s="15"/>
      <c r="CS61" s="15"/>
      <c r="CT61" s="15"/>
      <c r="CY61" s="15"/>
      <c r="CZ61" s="15"/>
      <c r="DD61" s="15"/>
      <c r="DI61" s="1">
        <f t="shared" si="0"/>
        <v>3</v>
      </c>
      <c r="DJ61" s="1">
        <f t="shared" si="1"/>
        <v>7</v>
      </c>
    </row>
    <row r="62" spans="1:114" ht="15.75" customHeight="1" x14ac:dyDescent="0.35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15">
        <v>80</v>
      </c>
      <c r="O62" s="21">
        <v>6</v>
      </c>
      <c r="AD62" s="15"/>
      <c r="AM62" s="15"/>
      <c r="AS62" s="15"/>
      <c r="AT62" s="15"/>
      <c r="AW62" s="15"/>
      <c r="AY62" s="15"/>
      <c r="AZ62" s="15"/>
      <c r="BM62" s="15"/>
      <c r="BR62" s="15"/>
      <c r="BT62" s="15"/>
      <c r="BU62" s="15"/>
      <c r="BY62" s="15"/>
      <c r="CS62" s="15"/>
      <c r="CT62" s="15"/>
      <c r="CY62" s="15"/>
      <c r="CZ62" s="15"/>
      <c r="DD62" s="15"/>
      <c r="DI62" s="1">
        <f t="shared" si="0"/>
        <v>0</v>
      </c>
      <c r="DJ62" s="1">
        <f t="shared" si="1"/>
        <v>0</v>
      </c>
    </row>
    <row r="63" spans="1:114" ht="15.75" customHeight="1" x14ac:dyDescent="0.35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5"/>
      <c r="O63" s="17"/>
      <c r="AD63" s="15"/>
      <c r="AM63" s="15"/>
      <c r="AS63" s="15"/>
      <c r="AT63" s="15"/>
      <c r="AW63" s="15"/>
      <c r="AY63" s="15"/>
      <c r="AZ63" s="15"/>
      <c r="BM63" s="15"/>
      <c r="BR63" s="15"/>
      <c r="BT63" s="15"/>
      <c r="BU63" s="15"/>
      <c r="BY63" s="15"/>
      <c r="CS63" s="15"/>
      <c r="CT63" s="15"/>
      <c r="CY63" s="15"/>
      <c r="CZ63" s="15"/>
      <c r="DD63" s="15"/>
      <c r="DI63" s="1">
        <f t="shared" si="0"/>
        <v>0</v>
      </c>
      <c r="DJ63" s="1">
        <f t="shared" si="1"/>
        <v>0</v>
      </c>
    </row>
    <row r="64" spans="1:114" ht="15.75" customHeight="1" x14ac:dyDescent="0.35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5">
        <v>23.81</v>
      </c>
      <c r="O64" s="17">
        <v>4</v>
      </c>
      <c r="AD64" s="15">
        <v>2</v>
      </c>
      <c r="AL64" s="1">
        <v>1</v>
      </c>
      <c r="AM64" s="15"/>
      <c r="AS64" s="15"/>
      <c r="AT64" s="15"/>
      <c r="AW64" s="15"/>
      <c r="AY64" s="15"/>
      <c r="AZ64" s="15"/>
      <c r="BM64" s="15">
        <v>1</v>
      </c>
      <c r="BR64" s="15"/>
      <c r="BT64" s="15"/>
      <c r="BU64" s="15">
        <v>3</v>
      </c>
      <c r="BY64" s="15"/>
      <c r="CN64" s="1">
        <v>4</v>
      </c>
      <c r="CP64" s="1">
        <v>11</v>
      </c>
      <c r="CS64" s="15"/>
      <c r="CT64" s="15"/>
      <c r="CY64" s="15"/>
      <c r="CZ64" s="15"/>
      <c r="DD64" s="15"/>
      <c r="DI64" s="1">
        <f t="shared" si="0"/>
        <v>6</v>
      </c>
      <c r="DJ64" s="1">
        <f t="shared" si="1"/>
        <v>22</v>
      </c>
    </row>
    <row r="65" spans="1:114" ht="15.75" customHeight="1" x14ac:dyDescent="0.35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5">
        <v>100</v>
      </c>
      <c r="O65" s="17">
        <v>3</v>
      </c>
      <c r="Q65" s="1">
        <v>1</v>
      </c>
      <c r="AD65" s="15">
        <v>3</v>
      </c>
      <c r="AM65" s="15">
        <v>1</v>
      </c>
      <c r="AS65" s="15"/>
      <c r="AT65" s="15"/>
      <c r="AW65" s="15"/>
      <c r="AY65" s="15"/>
      <c r="AZ65" s="15"/>
      <c r="BI65" s="1">
        <v>1</v>
      </c>
      <c r="BM65" s="15"/>
      <c r="BR65" s="15"/>
      <c r="BT65" s="15"/>
      <c r="BU65" s="15">
        <v>4</v>
      </c>
      <c r="BY65" s="15"/>
      <c r="BZ65" s="1">
        <v>1</v>
      </c>
      <c r="CG65" s="1">
        <v>1</v>
      </c>
      <c r="CJ65" s="1">
        <v>1</v>
      </c>
      <c r="CQ65" s="1">
        <v>1</v>
      </c>
      <c r="CS65" s="15"/>
      <c r="CT65" s="15"/>
      <c r="CY65" s="15"/>
      <c r="CZ65" s="15"/>
      <c r="DD65" s="15"/>
      <c r="DI65" s="1">
        <f t="shared" si="0"/>
        <v>9</v>
      </c>
      <c r="DJ65" s="1">
        <f t="shared" si="1"/>
        <v>14</v>
      </c>
    </row>
    <row r="66" spans="1:114" ht="15.75" customHeight="1" x14ac:dyDescent="0.35">
      <c r="A66" s="15" t="s">
        <v>146</v>
      </c>
      <c r="B66" s="23" t="s">
        <v>179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5">
        <v>100</v>
      </c>
      <c r="O66" s="17">
        <v>5</v>
      </c>
      <c r="AD66" s="15"/>
      <c r="AF66" s="1">
        <v>1</v>
      </c>
      <c r="AM66" s="15"/>
      <c r="AS66" s="15"/>
      <c r="AT66" s="15"/>
      <c r="AW66" s="15"/>
      <c r="AY66" s="15"/>
      <c r="AZ66" s="15"/>
      <c r="BA66" s="1">
        <v>1</v>
      </c>
      <c r="BD66" s="1">
        <v>1</v>
      </c>
      <c r="BE66" s="1">
        <v>1</v>
      </c>
      <c r="BM66" s="15">
        <v>1</v>
      </c>
      <c r="BR66" s="15"/>
      <c r="BT66" s="15"/>
      <c r="BU66" s="15"/>
      <c r="BY66" s="15"/>
      <c r="CD66" s="1">
        <v>1</v>
      </c>
      <c r="CF66" s="1">
        <v>1</v>
      </c>
      <c r="CG66" s="1">
        <v>1</v>
      </c>
      <c r="CS66" s="15"/>
      <c r="CT66" s="15"/>
      <c r="CY66" s="15"/>
      <c r="CZ66" s="15"/>
      <c r="DD66" s="15"/>
      <c r="DI66" s="1">
        <f t="shared" si="0"/>
        <v>8</v>
      </c>
      <c r="DJ66" s="1">
        <f t="shared" si="1"/>
        <v>8</v>
      </c>
    </row>
    <row r="67" spans="1:114" ht="15.75" customHeight="1" x14ac:dyDescent="0.35">
      <c r="A67" s="15" t="s">
        <v>146</v>
      </c>
      <c r="B67" s="23" t="s">
        <v>179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/>
      <c r="N67" s="15">
        <v>66.67</v>
      </c>
      <c r="O67" s="17">
        <v>5</v>
      </c>
      <c r="AD67" s="15"/>
      <c r="AM67" s="15"/>
      <c r="AS67" s="15"/>
      <c r="AT67" s="15"/>
      <c r="AW67" s="15"/>
      <c r="AY67" s="15"/>
      <c r="AZ67" s="15"/>
      <c r="BM67" s="15"/>
      <c r="BR67" s="15"/>
      <c r="BT67" s="15"/>
      <c r="BU67" s="15"/>
      <c r="BY67" s="15"/>
      <c r="CL67" s="1">
        <v>5</v>
      </c>
      <c r="CS67" s="15"/>
      <c r="CT67" s="15"/>
      <c r="CY67" s="15">
        <v>1</v>
      </c>
      <c r="CZ67" s="15"/>
      <c r="DD67" s="15"/>
      <c r="DI67" s="1">
        <f t="shared" si="0"/>
        <v>2</v>
      </c>
      <c r="DJ67" s="1">
        <f t="shared" si="1"/>
        <v>6</v>
      </c>
    </row>
    <row r="68" spans="1:114" ht="15.75" customHeight="1" x14ac:dyDescent="0.35">
      <c r="A68" s="15" t="s">
        <v>146</v>
      </c>
      <c r="B68" s="23" t="s">
        <v>179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5">
        <v>66.67</v>
      </c>
      <c r="O68" s="17">
        <v>5</v>
      </c>
      <c r="AD68" s="15"/>
      <c r="AF68" s="1">
        <v>1</v>
      </c>
      <c r="AM68" s="15"/>
      <c r="AN68" s="1">
        <v>1</v>
      </c>
      <c r="AS68" s="15"/>
      <c r="AT68" s="15"/>
      <c r="AW68" s="15"/>
      <c r="AY68" s="15">
        <v>1</v>
      </c>
      <c r="AZ68" s="15"/>
      <c r="BM68" s="15"/>
      <c r="BR68" s="15"/>
      <c r="BT68" s="15"/>
      <c r="BU68" s="15"/>
      <c r="BY68" s="15"/>
      <c r="CD68" s="1">
        <v>1</v>
      </c>
      <c r="CG68" s="1">
        <v>1</v>
      </c>
      <c r="CS68" s="15"/>
      <c r="CT68" s="15"/>
      <c r="CY68" s="15"/>
      <c r="CZ68" s="15"/>
      <c r="DD68" s="15"/>
      <c r="DI68" s="1">
        <f t="shared" si="0"/>
        <v>5</v>
      </c>
      <c r="DJ68" s="1">
        <f t="shared" si="1"/>
        <v>5</v>
      </c>
    </row>
    <row r="69" spans="1:114" ht="15.75" customHeight="1" x14ac:dyDescent="0.35">
      <c r="A69" s="15" t="s">
        <v>146</v>
      </c>
      <c r="B69" s="23" t="s">
        <v>179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5">
        <v>66.67</v>
      </c>
      <c r="O69" s="17">
        <v>5</v>
      </c>
      <c r="AD69" s="15"/>
      <c r="AM69" s="15">
        <v>1</v>
      </c>
      <c r="AS69" s="15"/>
      <c r="AT69" s="15"/>
      <c r="AW69" s="15"/>
      <c r="AY69" s="15"/>
      <c r="AZ69" s="15"/>
      <c r="BM69" s="15"/>
      <c r="BR69" s="15"/>
      <c r="BT69" s="15"/>
      <c r="BU69" s="15"/>
      <c r="BY69" s="15"/>
      <c r="CS69" s="15"/>
      <c r="CT69" s="15"/>
      <c r="CY69" s="15"/>
      <c r="CZ69" s="15"/>
      <c r="DD69" s="15"/>
      <c r="DI69" s="1">
        <f t="shared" si="0"/>
        <v>1</v>
      </c>
      <c r="DJ69" s="1">
        <f t="shared" si="1"/>
        <v>1</v>
      </c>
    </row>
    <row r="70" spans="1:114" ht="15.75" customHeight="1" x14ac:dyDescent="0.35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500</v>
      </c>
      <c r="N70" s="15">
        <v>66.67</v>
      </c>
      <c r="O70" s="17">
        <v>3</v>
      </c>
      <c r="AD70" s="15"/>
      <c r="AM70" s="15"/>
      <c r="AS70" s="15"/>
      <c r="AT70" s="15"/>
      <c r="AW70" s="15"/>
      <c r="AY70" s="15"/>
      <c r="AZ70" s="15"/>
      <c r="BM70" s="15"/>
      <c r="BR70" s="15"/>
      <c r="BT70" s="15"/>
      <c r="BU70" s="15"/>
      <c r="BY70" s="15"/>
      <c r="CG70" s="1">
        <v>1</v>
      </c>
      <c r="CI70" s="1">
        <v>1</v>
      </c>
      <c r="CJ70" s="1">
        <v>1</v>
      </c>
      <c r="CS70" s="15"/>
      <c r="CT70" s="15"/>
      <c r="CW70" s="1">
        <v>2</v>
      </c>
      <c r="CY70" s="15"/>
      <c r="CZ70" s="15"/>
      <c r="DA70" s="1">
        <v>1</v>
      </c>
      <c r="DD70" s="15"/>
      <c r="DI70" s="1">
        <f t="shared" ref="DI70:DI133" si="2">COUNT(P70:DH70)</f>
        <v>5</v>
      </c>
      <c r="DJ70" s="1">
        <f t="shared" ref="DJ70:DJ133" si="3">SUM(P70:DH70)</f>
        <v>6</v>
      </c>
    </row>
    <row r="71" spans="1:114" ht="15.75" customHeight="1" x14ac:dyDescent="0.35">
      <c r="A71" s="15" t="s">
        <v>146</v>
      </c>
      <c r="B71" s="23" t="s">
        <v>182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500</v>
      </c>
      <c r="N71" s="15">
        <v>100</v>
      </c>
      <c r="O71" s="17">
        <v>3</v>
      </c>
      <c r="AD71" s="15"/>
      <c r="AM71" s="15"/>
      <c r="AS71" s="15"/>
      <c r="AT71" s="15"/>
      <c r="AW71" s="15"/>
      <c r="AY71" s="15"/>
      <c r="AZ71" s="15"/>
      <c r="BM71" s="15"/>
      <c r="BR71" s="15"/>
      <c r="BT71" s="15"/>
      <c r="BU71" s="15"/>
      <c r="BY71" s="15">
        <v>1</v>
      </c>
      <c r="CJ71" s="1">
        <v>1</v>
      </c>
      <c r="CK71" s="1">
        <v>1</v>
      </c>
      <c r="CS71" s="15"/>
      <c r="CT71" s="15"/>
      <c r="CW71" s="1">
        <v>1</v>
      </c>
      <c r="CY71" s="15"/>
      <c r="CZ71" s="15"/>
      <c r="DD71" s="15"/>
      <c r="DI71" s="1">
        <f t="shared" si="2"/>
        <v>4</v>
      </c>
      <c r="DJ71" s="1">
        <f t="shared" si="3"/>
        <v>4</v>
      </c>
    </row>
    <row r="72" spans="1:114" ht="15.75" customHeight="1" x14ac:dyDescent="0.35">
      <c r="A72" s="15" t="s">
        <v>146</v>
      </c>
      <c r="B72" s="23" t="s">
        <v>184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500</v>
      </c>
      <c r="N72" s="15">
        <v>100</v>
      </c>
      <c r="O72" s="17">
        <v>2</v>
      </c>
      <c r="Y72" s="1">
        <v>1</v>
      </c>
      <c r="AD72" s="15"/>
      <c r="AM72" s="15"/>
      <c r="AS72" s="15"/>
      <c r="AT72" s="15"/>
      <c r="AV72" s="1">
        <v>2</v>
      </c>
      <c r="AW72" s="15"/>
      <c r="AY72" s="15"/>
      <c r="AZ72" s="15"/>
      <c r="BG72" s="1">
        <v>3</v>
      </c>
      <c r="BI72" s="1">
        <v>2</v>
      </c>
      <c r="BM72" s="15"/>
      <c r="BN72" s="1">
        <v>3</v>
      </c>
      <c r="BR72" s="15"/>
      <c r="BT72" s="15"/>
      <c r="BU72" s="15"/>
      <c r="BY72" s="15"/>
      <c r="CA72" s="1">
        <v>1</v>
      </c>
      <c r="CB72" s="1">
        <v>1</v>
      </c>
      <c r="CS72" s="15"/>
      <c r="CT72" s="15"/>
      <c r="CY72" s="15"/>
      <c r="CZ72" s="15"/>
      <c r="DD72" s="15"/>
      <c r="DI72" s="1">
        <f t="shared" si="2"/>
        <v>7</v>
      </c>
      <c r="DJ72" s="1">
        <f t="shared" si="3"/>
        <v>13</v>
      </c>
    </row>
    <row r="73" spans="1:114" ht="15.75" customHeight="1" x14ac:dyDescent="0.35">
      <c r="A73" s="15" t="s">
        <v>146</v>
      </c>
      <c r="B73" s="23" t="s">
        <v>184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5">
        <v>100</v>
      </c>
      <c r="O73" s="17">
        <v>2</v>
      </c>
      <c r="AD73" s="15"/>
      <c r="AM73" s="15"/>
      <c r="AS73" s="15">
        <v>3</v>
      </c>
      <c r="AT73" s="15"/>
      <c r="AU73" s="1">
        <v>3</v>
      </c>
      <c r="AV73" s="1">
        <v>1</v>
      </c>
      <c r="AW73" s="15"/>
      <c r="AY73" s="15"/>
      <c r="AZ73" s="15"/>
      <c r="BM73" s="15"/>
      <c r="BN73" s="1">
        <v>2</v>
      </c>
      <c r="BR73" s="15"/>
      <c r="BT73" s="15"/>
      <c r="BU73" s="15"/>
      <c r="BY73" s="15"/>
      <c r="CS73" s="15"/>
      <c r="CT73" s="15"/>
      <c r="CY73" s="15"/>
      <c r="CZ73" s="15"/>
      <c r="DD73" s="15"/>
      <c r="DI73" s="1">
        <f t="shared" si="2"/>
        <v>4</v>
      </c>
      <c r="DJ73" s="1">
        <f t="shared" si="3"/>
        <v>9</v>
      </c>
    </row>
    <row r="74" spans="1:114" ht="15.75" customHeight="1" x14ac:dyDescent="0.35">
      <c r="A74" s="15" t="s">
        <v>146</v>
      </c>
      <c r="B74" s="23" t="s">
        <v>184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5">
        <v>95.24</v>
      </c>
      <c r="O74" s="17">
        <v>2</v>
      </c>
      <c r="AD74" s="15"/>
      <c r="AM74" s="15"/>
      <c r="AS74" s="15"/>
      <c r="AT74" s="15"/>
      <c r="AW74" s="15"/>
      <c r="AY74" s="15"/>
      <c r="AZ74" s="15"/>
      <c r="BM74" s="15"/>
      <c r="BR74" s="15"/>
      <c r="BT74" s="15"/>
      <c r="BU74" s="15"/>
      <c r="BY74" s="15"/>
      <c r="CS74" s="15"/>
      <c r="CT74" s="15"/>
      <c r="CY74" s="15"/>
      <c r="CZ74" s="15"/>
      <c r="DD74" s="15"/>
      <c r="DI74" s="1">
        <f t="shared" si="2"/>
        <v>0</v>
      </c>
      <c r="DJ74" s="1">
        <f t="shared" si="3"/>
        <v>0</v>
      </c>
    </row>
    <row r="75" spans="1:114" ht="15.75" customHeight="1" x14ac:dyDescent="0.35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/>
      <c r="N75" s="15">
        <v>100</v>
      </c>
      <c r="O75" s="17">
        <v>3</v>
      </c>
      <c r="W75" s="1">
        <v>1</v>
      </c>
      <c r="Y75" s="1">
        <v>1</v>
      </c>
      <c r="AD75" s="15"/>
      <c r="AM75" s="15"/>
      <c r="AS75" s="15"/>
      <c r="AT75" s="15"/>
      <c r="AW75" s="15"/>
      <c r="AY75" s="15"/>
      <c r="AZ75" s="15"/>
      <c r="BM75" s="15"/>
      <c r="BR75" s="15"/>
      <c r="BT75" s="15"/>
      <c r="BU75" s="15"/>
      <c r="BY75" s="15"/>
      <c r="CS75" s="15"/>
      <c r="CT75" s="15"/>
      <c r="CY75" s="15"/>
      <c r="CZ75" s="15"/>
      <c r="DA75" s="1">
        <v>1</v>
      </c>
      <c r="DD75" s="15"/>
      <c r="DI75" s="1">
        <f t="shared" si="2"/>
        <v>3</v>
      </c>
      <c r="DJ75" s="1">
        <f t="shared" si="3"/>
        <v>3</v>
      </c>
    </row>
    <row r="76" spans="1:114" ht="15.75" customHeight="1" x14ac:dyDescent="0.35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5">
        <v>71.430000000000007</v>
      </c>
      <c r="O76" s="17">
        <v>3</v>
      </c>
      <c r="AD76" s="15"/>
      <c r="AM76" s="15"/>
      <c r="AS76" s="15"/>
      <c r="AT76" s="15"/>
      <c r="AW76" s="15"/>
      <c r="AY76" s="15"/>
      <c r="AZ76" s="15"/>
      <c r="BM76" s="15"/>
      <c r="BR76" s="15"/>
      <c r="BT76" s="15"/>
      <c r="BU76" s="15"/>
      <c r="BY76" s="15"/>
      <c r="CS76" s="15"/>
      <c r="CT76" s="15"/>
      <c r="CY76" s="15"/>
      <c r="CZ76" s="15"/>
      <c r="DD76" s="15"/>
      <c r="DI76" s="1">
        <f t="shared" si="2"/>
        <v>0</v>
      </c>
      <c r="DJ76" s="1">
        <f t="shared" si="3"/>
        <v>0</v>
      </c>
    </row>
    <row r="77" spans="1:114" ht="15.75" customHeight="1" x14ac:dyDescent="0.35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/>
      <c r="N77" s="15">
        <v>71.430000000000007</v>
      </c>
      <c r="O77" s="17">
        <v>1</v>
      </c>
      <c r="Y77" s="1">
        <v>2</v>
      </c>
      <c r="AD77" s="15"/>
      <c r="AM77" s="15"/>
      <c r="AS77" s="15">
        <v>2</v>
      </c>
      <c r="AT77" s="15"/>
      <c r="AW77" s="15"/>
      <c r="AY77" s="15"/>
      <c r="AZ77" s="15"/>
      <c r="BM77" s="15"/>
      <c r="BR77" s="15"/>
      <c r="BT77" s="15"/>
      <c r="BU77" s="15"/>
      <c r="BY77" s="15"/>
      <c r="CS77" s="15"/>
      <c r="CT77" s="15"/>
      <c r="CY77" s="15"/>
      <c r="CZ77" s="15"/>
      <c r="DA77" s="1">
        <v>1</v>
      </c>
      <c r="DD77" s="15"/>
      <c r="DI77" s="1">
        <f t="shared" si="2"/>
        <v>3</v>
      </c>
      <c r="DJ77" s="1">
        <f t="shared" si="3"/>
        <v>5</v>
      </c>
    </row>
    <row r="78" spans="1:114" ht="15.75" customHeight="1" x14ac:dyDescent="0.35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/>
      <c r="N78" s="15">
        <v>100</v>
      </c>
      <c r="O78" s="17">
        <v>6</v>
      </c>
      <c r="W78" s="1">
        <v>1</v>
      </c>
      <c r="Y78" s="1">
        <v>1</v>
      </c>
      <c r="AD78" s="15"/>
      <c r="AM78" s="15"/>
      <c r="AS78" s="15">
        <v>2</v>
      </c>
      <c r="AT78" s="15"/>
      <c r="AW78" s="15"/>
      <c r="AY78" s="15"/>
      <c r="AZ78" s="15"/>
      <c r="BM78" s="15"/>
      <c r="BR78" s="15"/>
      <c r="BT78" s="15"/>
      <c r="BU78" s="15"/>
      <c r="BY78" s="15"/>
      <c r="CS78" s="15"/>
      <c r="CT78" s="15"/>
      <c r="CY78" s="15"/>
      <c r="CZ78" s="15"/>
      <c r="DD78" s="15"/>
      <c r="DI78" s="1">
        <f t="shared" si="2"/>
        <v>3</v>
      </c>
      <c r="DJ78" s="1">
        <f t="shared" si="3"/>
        <v>4</v>
      </c>
    </row>
    <row r="79" spans="1:114" ht="15.75" customHeight="1" x14ac:dyDescent="0.35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>
        <v>500</v>
      </c>
      <c r="N79" s="15">
        <v>66.67</v>
      </c>
      <c r="O79" s="17">
        <v>6</v>
      </c>
      <c r="AD79" s="15"/>
      <c r="AM79" s="15"/>
      <c r="AS79" s="15"/>
      <c r="AT79" s="15"/>
      <c r="AW79" s="15"/>
      <c r="AY79" s="15"/>
      <c r="AZ79" s="15"/>
      <c r="BD79" s="1">
        <v>1</v>
      </c>
      <c r="BM79" s="15"/>
      <c r="BR79" s="15"/>
      <c r="BT79" s="15"/>
      <c r="BU79" s="15"/>
      <c r="BY79" s="15"/>
      <c r="CM79" s="1">
        <v>5</v>
      </c>
      <c r="CS79" s="15"/>
      <c r="CT79" s="15"/>
      <c r="CY79" s="15"/>
      <c r="CZ79" s="15"/>
      <c r="DD79" s="15"/>
      <c r="DI79" s="1">
        <f t="shared" si="2"/>
        <v>2</v>
      </c>
      <c r="DJ79" s="1">
        <f t="shared" si="3"/>
        <v>6</v>
      </c>
    </row>
    <row r="80" spans="1:114" ht="15.75" customHeight="1" x14ac:dyDescent="0.35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5">
        <v>71.430000000000007</v>
      </c>
      <c r="O80" s="17">
        <v>6</v>
      </c>
      <c r="AD80" s="15"/>
      <c r="AM80" s="15"/>
      <c r="AS80" s="15"/>
      <c r="AT80" s="15"/>
      <c r="AW80" s="15"/>
      <c r="AY80" s="15"/>
      <c r="AZ80" s="15"/>
      <c r="BM80" s="15"/>
      <c r="BP80" s="1">
        <v>1</v>
      </c>
      <c r="BQ80" s="1">
        <v>2</v>
      </c>
      <c r="BR80" s="15"/>
      <c r="BT80" s="15"/>
      <c r="BU80" s="15"/>
      <c r="BY80" s="15"/>
      <c r="CS80" s="15"/>
      <c r="CT80" s="15"/>
      <c r="CY80" s="15"/>
      <c r="CZ80" s="15"/>
      <c r="DD80" s="15"/>
      <c r="DI80" s="1">
        <f t="shared" si="2"/>
        <v>2</v>
      </c>
      <c r="DJ80" s="1">
        <f t="shared" si="3"/>
        <v>3</v>
      </c>
    </row>
    <row r="81" spans="1:114" ht="15.75" customHeight="1" x14ac:dyDescent="0.35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5"/>
      <c r="O81" s="17"/>
      <c r="AD81" s="15"/>
      <c r="AM81" s="15"/>
      <c r="AS81" s="15"/>
      <c r="AT81" s="15"/>
      <c r="AW81" s="15"/>
      <c r="AY81" s="15"/>
      <c r="AZ81" s="15"/>
      <c r="BM81" s="15"/>
      <c r="BR81" s="15"/>
      <c r="BT81" s="15"/>
      <c r="BU81" s="15"/>
      <c r="BY81" s="15"/>
      <c r="CS81" s="15"/>
      <c r="CT81" s="15"/>
      <c r="CY81" s="15"/>
      <c r="CZ81" s="15"/>
      <c r="DD81" s="15"/>
      <c r="DI81" s="1">
        <f t="shared" si="2"/>
        <v>0</v>
      </c>
      <c r="DJ81" s="1">
        <f t="shared" si="3"/>
        <v>0</v>
      </c>
    </row>
    <row r="82" spans="1:114" ht="15.75" customHeight="1" x14ac:dyDescent="0.35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5">
        <v>55.4</v>
      </c>
      <c r="O82" s="17">
        <v>4</v>
      </c>
      <c r="S82" s="1">
        <v>1</v>
      </c>
      <c r="X82" s="1">
        <v>1</v>
      </c>
      <c r="AD82" s="15"/>
      <c r="AM82" s="15"/>
      <c r="AS82" s="15"/>
      <c r="AT82" s="15"/>
      <c r="AW82" s="15"/>
      <c r="AY82" s="15">
        <v>1</v>
      </c>
      <c r="AZ82" s="15"/>
      <c r="BM82" s="15"/>
      <c r="BR82" s="15"/>
      <c r="BT82" s="15"/>
      <c r="BU82" s="15">
        <v>2</v>
      </c>
      <c r="BY82" s="15"/>
      <c r="CS82" s="15"/>
      <c r="CT82" s="15"/>
      <c r="CW82" s="1">
        <v>2</v>
      </c>
      <c r="CY82" s="15"/>
      <c r="CZ82" s="15"/>
      <c r="DD82" s="15"/>
      <c r="DI82" s="1">
        <f t="shared" si="2"/>
        <v>5</v>
      </c>
      <c r="DJ82" s="1">
        <f t="shared" si="3"/>
        <v>7</v>
      </c>
    </row>
    <row r="83" spans="1:114" ht="15.75" customHeight="1" x14ac:dyDescent="0.35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/>
      <c r="N83" s="15">
        <v>95.24</v>
      </c>
      <c r="O83" s="17">
        <v>4</v>
      </c>
      <c r="R83" s="1">
        <v>1</v>
      </c>
      <c r="AD83" s="15"/>
      <c r="AM83" s="15"/>
      <c r="AS83" s="15"/>
      <c r="AT83" s="15"/>
      <c r="AW83" s="15"/>
      <c r="AY83" s="15"/>
      <c r="AZ83" s="15"/>
      <c r="BM83" s="15">
        <v>1</v>
      </c>
      <c r="BR83" s="15"/>
      <c r="BT83" s="15"/>
      <c r="BU83" s="15"/>
      <c r="BY83" s="15">
        <v>1</v>
      </c>
      <c r="CD83" s="1">
        <v>1</v>
      </c>
      <c r="CK83" s="1">
        <v>1</v>
      </c>
      <c r="CS83" s="15">
        <v>1</v>
      </c>
      <c r="CT83" s="15"/>
      <c r="CY83" s="15">
        <v>1</v>
      </c>
      <c r="CZ83" s="15"/>
      <c r="DA83" s="1">
        <v>1</v>
      </c>
      <c r="DD83" s="15">
        <v>1</v>
      </c>
      <c r="DI83" s="1">
        <f t="shared" si="2"/>
        <v>9</v>
      </c>
      <c r="DJ83" s="1">
        <f t="shared" si="3"/>
        <v>9</v>
      </c>
    </row>
    <row r="84" spans="1:114" ht="15.75" customHeight="1" x14ac:dyDescent="0.35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/>
      <c r="N84" s="15">
        <v>71.430000000000007</v>
      </c>
      <c r="O84" s="17">
        <v>3</v>
      </c>
      <c r="AD84" s="15">
        <v>3</v>
      </c>
      <c r="AI84" s="1">
        <v>1</v>
      </c>
      <c r="AM84" s="15"/>
      <c r="AS84" s="15"/>
      <c r="AT84" s="15"/>
      <c r="AW84" s="15"/>
      <c r="AY84" s="15"/>
      <c r="AZ84" s="15">
        <v>1</v>
      </c>
      <c r="BM84" s="15"/>
      <c r="BR84" s="15"/>
      <c r="BT84" s="15"/>
      <c r="BU84" s="15">
        <v>1</v>
      </c>
      <c r="BY84" s="15">
        <v>1</v>
      </c>
      <c r="CG84" s="1">
        <v>1</v>
      </c>
      <c r="CN84" s="1">
        <v>5</v>
      </c>
      <c r="CS84" s="15"/>
      <c r="CT84" s="15"/>
      <c r="CY84" s="15">
        <v>1</v>
      </c>
      <c r="CZ84" s="15"/>
      <c r="DD84" s="15"/>
      <c r="DI84" s="1">
        <f t="shared" si="2"/>
        <v>8</v>
      </c>
      <c r="DJ84" s="1">
        <f t="shared" si="3"/>
        <v>14</v>
      </c>
    </row>
    <row r="85" spans="1:114" ht="15.75" customHeight="1" x14ac:dyDescent="0.35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5">
        <v>47.62</v>
      </c>
      <c r="O85" s="17">
        <v>3</v>
      </c>
      <c r="AD85" s="15">
        <v>1</v>
      </c>
      <c r="AF85" s="1">
        <v>1</v>
      </c>
      <c r="AM85" s="15"/>
      <c r="AS85" s="15"/>
      <c r="AT85" s="15"/>
      <c r="AW85" s="15"/>
      <c r="AY85" s="15"/>
      <c r="AZ85" s="15">
        <v>1</v>
      </c>
      <c r="BI85" s="1">
        <v>1</v>
      </c>
      <c r="BM85" s="15">
        <v>1</v>
      </c>
      <c r="BR85" s="15"/>
      <c r="BT85" s="15"/>
      <c r="BU85" s="15"/>
      <c r="BY85" s="15"/>
      <c r="CN85" s="1">
        <v>3</v>
      </c>
      <c r="CO85" s="1">
        <v>1</v>
      </c>
      <c r="CS85" s="15"/>
      <c r="CT85" s="15">
        <v>1</v>
      </c>
      <c r="CW85" s="1">
        <v>2</v>
      </c>
      <c r="CY85" s="15"/>
      <c r="CZ85" s="15"/>
      <c r="DD85" s="15"/>
      <c r="DI85" s="1">
        <f t="shared" si="2"/>
        <v>9</v>
      </c>
      <c r="DJ85" s="1">
        <f t="shared" si="3"/>
        <v>12</v>
      </c>
    </row>
    <row r="86" spans="1:114" ht="15.75" customHeight="1" x14ac:dyDescent="0.35">
      <c r="A86" s="15" t="s">
        <v>153</v>
      </c>
      <c r="B86" s="23" t="s">
        <v>179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/>
      <c r="N86" s="15">
        <v>100</v>
      </c>
      <c r="O86" s="17">
        <v>5</v>
      </c>
      <c r="AD86" s="15"/>
      <c r="AM86" s="15"/>
      <c r="AS86" s="15"/>
      <c r="AT86" s="15"/>
      <c r="AW86" s="15"/>
      <c r="AY86" s="15"/>
      <c r="AZ86" s="15">
        <v>1</v>
      </c>
      <c r="BM86" s="15"/>
      <c r="BR86" s="15"/>
      <c r="BT86" s="15"/>
      <c r="BU86" s="15"/>
      <c r="BY86" s="15"/>
      <c r="CG86" s="1">
        <v>1</v>
      </c>
      <c r="CL86" s="1">
        <v>5</v>
      </c>
      <c r="CS86" s="15"/>
      <c r="CT86" s="15"/>
      <c r="CY86" s="15"/>
      <c r="CZ86" s="15"/>
      <c r="DD86" s="15"/>
      <c r="DI86" s="1">
        <f t="shared" si="2"/>
        <v>3</v>
      </c>
      <c r="DJ86" s="1">
        <f t="shared" si="3"/>
        <v>7</v>
      </c>
    </row>
    <row r="87" spans="1:114" ht="15.75" customHeight="1" x14ac:dyDescent="0.35">
      <c r="A87" s="15" t="s">
        <v>153</v>
      </c>
      <c r="B87" s="23" t="s">
        <v>179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/>
      <c r="N87" s="15">
        <v>100</v>
      </c>
      <c r="O87" s="17">
        <v>5</v>
      </c>
      <c r="AD87" s="15"/>
      <c r="AM87" s="15">
        <v>1</v>
      </c>
      <c r="AN87" s="1">
        <v>1</v>
      </c>
      <c r="AS87" s="15"/>
      <c r="AT87" s="15"/>
      <c r="AW87" s="15"/>
      <c r="AY87" s="15"/>
      <c r="AZ87" s="15"/>
      <c r="BI87" s="1">
        <v>1</v>
      </c>
      <c r="BL87" s="1">
        <v>1</v>
      </c>
      <c r="BM87" s="15"/>
      <c r="BR87" s="15"/>
      <c r="BT87" s="15">
        <v>1</v>
      </c>
      <c r="BU87" s="15"/>
      <c r="BY87" s="15"/>
      <c r="BZ87" s="1">
        <v>1</v>
      </c>
      <c r="CD87" s="1">
        <v>1</v>
      </c>
      <c r="CG87" s="1">
        <v>1</v>
      </c>
      <c r="CI87" s="1">
        <v>2</v>
      </c>
      <c r="CJ87" s="1">
        <v>1</v>
      </c>
      <c r="CS87" s="15"/>
      <c r="CT87" s="15"/>
      <c r="CU87" s="1">
        <v>1</v>
      </c>
      <c r="CY87" s="15">
        <v>1</v>
      </c>
      <c r="CZ87" s="15"/>
      <c r="DA87" s="1">
        <v>1</v>
      </c>
      <c r="DD87" s="15"/>
      <c r="DI87" s="1">
        <f t="shared" si="2"/>
        <v>13</v>
      </c>
      <c r="DJ87" s="1">
        <f t="shared" si="3"/>
        <v>14</v>
      </c>
    </row>
    <row r="88" spans="1:114" ht="15.75" customHeight="1" x14ac:dyDescent="0.35">
      <c r="A88" s="15" t="s">
        <v>153</v>
      </c>
      <c r="B88" s="23" t="s">
        <v>179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5">
        <v>100</v>
      </c>
      <c r="O88" s="17">
        <v>5</v>
      </c>
      <c r="AD88" s="15"/>
      <c r="AM88" s="15"/>
      <c r="AN88" s="1">
        <v>1</v>
      </c>
      <c r="AS88" s="15"/>
      <c r="AT88" s="15"/>
      <c r="AW88" s="15"/>
      <c r="AY88" s="15"/>
      <c r="AZ88" s="15"/>
      <c r="BM88" s="15"/>
      <c r="BR88" s="15"/>
      <c r="BT88" s="15"/>
      <c r="BU88" s="15"/>
      <c r="BY88" s="15"/>
      <c r="CS88" s="15"/>
      <c r="CT88" s="15"/>
      <c r="CY88" s="15"/>
      <c r="CZ88" s="15"/>
      <c r="DD88" s="15"/>
      <c r="DI88" s="1">
        <f t="shared" si="2"/>
        <v>1</v>
      </c>
      <c r="DJ88" s="1">
        <f t="shared" si="3"/>
        <v>1</v>
      </c>
    </row>
    <row r="89" spans="1:114" ht="15.75" customHeight="1" x14ac:dyDescent="0.35">
      <c r="A89" s="15" t="s">
        <v>153</v>
      </c>
      <c r="B89" s="23" t="s">
        <v>179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5">
        <v>71.430000000000007</v>
      </c>
      <c r="O89" s="17">
        <v>5</v>
      </c>
      <c r="AD89" s="15"/>
      <c r="AF89" s="1">
        <v>1</v>
      </c>
      <c r="AK89" s="1">
        <v>1</v>
      </c>
      <c r="AM89" s="15"/>
      <c r="AS89" s="15"/>
      <c r="AT89" s="15"/>
      <c r="AW89" s="15"/>
      <c r="AY89" s="15"/>
      <c r="AZ89" s="15">
        <v>2</v>
      </c>
      <c r="BD89" s="1">
        <v>2</v>
      </c>
      <c r="BM89" s="15"/>
      <c r="BR89" s="15"/>
      <c r="BT89" s="15"/>
      <c r="BU89" s="15"/>
      <c r="BY89" s="15"/>
      <c r="CD89" s="1">
        <v>1</v>
      </c>
      <c r="CK89" s="1">
        <v>1</v>
      </c>
      <c r="CS89" s="15"/>
      <c r="CT89" s="15"/>
      <c r="CY89" s="15"/>
      <c r="CZ89" s="15"/>
      <c r="DD89" s="15"/>
      <c r="DI89" s="1">
        <f t="shared" si="2"/>
        <v>6</v>
      </c>
      <c r="DJ89" s="1">
        <f t="shared" si="3"/>
        <v>8</v>
      </c>
    </row>
    <row r="90" spans="1:114" ht="15.75" customHeight="1" x14ac:dyDescent="0.35">
      <c r="A90" s="15" t="s">
        <v>153</v>
      </c>
      <c r="B90" s="23" t="s">
        <v>179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>
        <v>560</v>
      </c>
      <c r="N90" s="15">
        <v>100</v>
      </c>
      <c r="O90" s="17">
        <v>5</v>
      </c>
      <c r="AD90" s="15"/>
      <c r="AM90" s="15"/>
      <c r="AS90" s="15"/>
      <c r="AT90" s="15"/>
      <c r="AW90" s="15"/>
      <c r="AY90" s="15"/>
      <c r="AZ90" s="15">
        <v>1</v>
      </c>
      <c r="BM90" s="15"/>
      <c r="BR90" s="15"/>
      <c r="BT90" s="15"/>
      <c r="BU90" s="15"/>
      <c r="BY90" s="15"/>
      <c r="CG90" s="1">
        <v>1</v>
      </c>
      <c r="CJ90" s="1">
        <v>1</v>
      </c>
      <c r="CS90" s="15"/>
      <c r="CT90" s="15"/>
      <c r="CY90" s="15"/>
      <c r="CZ90" s="15"/>
      <c r="DD90" s="15"/>
      <c r="DI90" s="1">
        <f t="shared" si="2"/>
        <v>3</v>
      </c>
      <c r="DJ90" s="1">
        <f t="shared" si="3"/>
        <v>3</v>
      </c>
    </row>
    <row r="91" spans="1:114" ht="15.75" customHeight="1" x14ac:dyDescent="0.35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/>
      <c r="N91" s="15">
        <v>100</v>
      </c>
      <c r="O91" s="17">
        <v>5</v>
      </c>
      <c r="X91" s="1">
        <v>1</v>
      </c>
      <c r="AD91" s="15"/>
      <c r="AM91" s="15"/>
      <c r="AS91" s="15"/>
      <c r="AT91" s="15"/>
      <c r="AW91" s="15"/>
      <c r="AY91" s="15"/>
      <c r="AZ91" s="15"/>
      <c r="BM91" s="15"/>
      <c r="BR91" s="15"/>
      <c r="BT91" s="15"/>
      <c r="BU91" s="15"/>
      <c r="BY91" s="15"/>
      <c r="CG91" s="1">
        <v>1</v>
      </c>
      <c r="CS91" s="15"/>
      <c r="CT91" s="15"/>
      <c r="CY91" s="15"/>
      <c r="CZ91" s="15"/>
      <c r="DA91" s="1">
        <v>1</v>
      </c>
      <c r="DD91" s="15"/>
      <c r="DI91" s="1">
        <f t="shared" si="2"/>
        <v>3</v>
      </c>
      <c r="DJ91" s="1">
        <f t="shared" si="3"/>
        <v>3</v>
      </c>
    </row>
    <row r="92" spans="1:114" ht="15.75" customHeight="1" x14ac:dyDescent="0.35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5">
        <v>66.67</v>
      </c>
      <c r="O92" s="17">
        <v>5</v>
      </c>
      <c r="AD92" s="15"/>
      <c r="AM92" s="15"/>
      <c r="AS92" s="15"/>
      <c r="AT92" s="15"/>
      <c r="AW92" s="15"/>
      <c r="AY92" s="15"/>
      <c r="AZ92" s="15"/>
      <c r="BM92" s="15"/>
      <c r="BR92" s="15"/>
      <c r="BT92" s="15"/>
      <c r="BU92" s="15"/>
      <c r="BY92" s="15"/>
      <c r="CS92" s="15"/>
      <c r="CT92" s="15"/>
      <c r="CY92" s="15"/>
      <c r="CZ92" s="15"/>
      <c r="DD92" s="15"/>
      <c r="DI92" s="1">
        <f t="shared" si="2"/>
        <v>0</v>
      </c>
      <c r="DJ92" s="1">
        <f t="shared" si="3"/>
        <v>0</v>
      </c>
    </row>
    <row r="93" spans="1:114" ht="15.75" customHeight="1" x14ac:dyDescent="0.35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5">
        <v>95.24</v>
      </c>
      <c r="O93" s="17">
        <v>5</v>
      </c>
      <c r="AD93" s="15"/>
      <c r="AM93" s="15"/>
      <c r="AS93" s="15"/>
      <c r="AT93" s="15"/>
      <c r="AW93" s="15"/>
      <c r="AY93" s="15"/>
      <c r="AZ93" s="15">
        <v>1</v>
      </c>
      <c r="BB93" s="1">
        <v>1</v>
      </c>
      <c r="BM93" s="15"/>
      <c r="BR93" s="15"/>
      <c r="BT93" s="15"/>
      <c r="BU93" s="15"/>
      <c r="BY93" s="15"/>
      <c r="CS93" s="15"/>
      <c r="CT93" s="15"/>
      <c r="CY93" s="15"/>
      <c r="CZ93" s="15"/>
      <c r="DD93" s="15"/>
      <c r="DI93" s="1">
        <f t="shared" si="2"/>
        <v>2</v>
      </c>
      <c r="DJ93" s="1">
        <f t="shared" si="3"/>
        <v>2</v>
      </c>
    </row>
    <row r="94" spans="1:114" ht="15.75" customHeight="1" x14ac:dyDescent="0.35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>
        <v>560</v>
      </c>
      <c r="N94" s="15">
        <v>47.62</v>
      </c>
      <c r="O94" s="17">
        <v>5</v>
      </c>
      <c r="AD94" s="15"/>
      <c r="AF94" s="1">
        <v>4</v>
      </c>
      <c r="AM94" s="15"/>
      <c r="AS94" s="15"/>
      <c r="AT94" s="15"/>
      <c r="AW94" s="15"/>
      <c r="AY94" s="15"/>
      <c r="AZ94" s="15">
        <v>1</v>
      </c>
      <c r="BM94" s="15"/>
      <c r="BR94" s="15"/>
      <c r="BT94" s="15"/>
      <c r="BU94" s="15"/>
      <c r="BY94" s="15"/>
      <c r="CS94" s="15"/>
      <c r="CT94" s="15"/>
      <c r="CY94" s="15"/>
      <c r="CZ94" s="15"/>
      <c r="DD94" s="15"/>
      <c r="DI94" s="1">
        <f t="shared" si="2"/>
        <v>2</v>
      </c>
      <c r="DJ94" s="1">
        <f t="shared" si="3"/>
        <v>5</v>
      </c>
    </row>
    <row r="95" spans="1:114" ht="15.75" customHeight="1" x14ac:dyDescent="0.35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/>
      <c r="N95" s="15">
        <v>95.24</v>
      </c>
      <c r="O95" s="17">
        <v>3</v>
      </c>
      <c r="AD95" s="15"/>
      <c r="AM95" s="15"/>
      <c r="AS95" s="15"/>
      <c r="AT95" s="15"/>
      <c r="AU95" s="1">
        <v>2</v>
      </c>
      <c r="AW95" s="15"/>
      <c r="AY95" s="15"/>
      <c r="AZ95" s="15"/>
      <c r="BM95" s="15"/>
      <c r="BR95" s="15"/>
      <c r="BT95" s="15"/>
      <c r="BU95" s="15"/>
      <c r="BY95" s="15"/>
      <c r="CG95" s="1">
        <v>1</v>
      </c>
      <c r="CI95" s="1">
        <v>2</v>
      </c>
      <c r="CS95" s="15"/>
      <c r="CT95" s="15"/>
      <c r="CY95" s="15"/>
      <c r="CZ95" s="15"/>
      <c r="DA95" s="1">
        <v>1</v>
      </c>
      <c r="DD95" s="15"/>
      <c r="DI95" s="1">
        <f t="shared" si="2"/>
        <v>4</v>
      </c>
      <c r="DJ95" s="1">
        <f t="shared" si="3"/>
        <v>6</v>
      </c>
    </row>
    <row r="96" spans="1:114" ht="15.75" customHeight="1" x14ac:dyDescent="0.35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5">
        <v>95.24</v>
      </c>
      <c r="O96" s="17">
        <v>3</v>
      </c>
      <c r="AD96" s="15"/>
      <c r="AM96" s="15"/>
      <c r="AS96" s="15"/>
      <c r="AT96" s="15"/>
      <c r="AW96" s="15"/>
      <c r="AY96" s="15"/>
      <c r="AZ96" s="15"/>
      <c r="BM96" s="15"/>
      <c r="BR96" s="15"/>
      <c r="BT96" s="15"/>
      <c r="BU96" s="15"/>
      <c r="BY96" s="15"/>
      <c r="CS96" s="15"/>
      <c r="CT96" s="15"/>
      <c r="CY96" s="15"/>
      <c r="CZ96" s="15"/>
      <c r="DD96" s="15"/>
      <c r="DI96" s="1">
        <f t="shared" si="2"/>
        <v>0</v>
      </c>
      <c r="DJ96" s="1">
        <f t="shared" si="3"/>
        <v>0</v>
      </c>
    </row>
    <row r="97" spans="1:114" ht="15.75" customHeight="1" x14ac:dyDescent="0.35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5">
        <v>100</v>
      </c>
      <c r="O97" s="17">
        <v>3</v>
      </c>
      <c r="AD97" s="15"/>
      <c r="AL97" s="1">
        <v>1</v>
      </c>
      <c r="AM97" s="15"/>
      <c r="AS97" s="15"/>
      <c r="AT97" s="15"/>
      <c r="AW97" s="15"/>
      <c r="AY97" s="15"/>
      <c r="AZ97" s="15">
        <v>1</v>
      </c>
      <c r="BM97" s="15"/>
      <c r="BR97" s="15"/>
      <c r="BT97" s="15"/>
      <c r="BU97" s="15"/>
      <c r="BY97" s="15"/>
      <c r="CS97" s="15"/>
      <c r="CT97" s="15"/>
      <c r="CY97" s="15"/>
      <c r="CZ97" s="15"/>
      <c r="DD97" s="15"/>
      <c r="DI97" s="1">
        <f t="shared" si="2"/>
        <v>2</v>
      </c>
      <c r="DJ97" s="1">
        <f t="shared" si="3"/>
        <v>2</v>
      </c>
    </row>
    <row r="98" spans="1:114" ht="15.75" customHeight="1" x14ac:dyDescent="0.35">
      <c r="A98" s="15" t="s">
        <v>153</v>
      </c>
      <c r="B98" s="23" t="s">
        <v>182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/>
      <c r="N98" s="15">
        <v>100</v>
      </c>
      <c r="O98" s="17">
        <v>3</v>
      </c>
      <c r="W98" s="1">
        <v>1</v>
      </c>
      <c r="Y98" s="1">
        <v>1</v>
      </c>
      <c r="AD98" s="15"/>
      <c r="AM98" s="15"/>
      <c r="AS98" s="15"/>
      <c r="AT98" s="15">
        <v>3</v>
      </c>
      <c r="AU98" s="1">
        <v>2</v>
      </c>
      <c r="AV98" s="1">
        <v>2</v>
      </c>
      <c r="AW98" s="15"/>
      <c r="AY98" s="15"/>
      <c r="AZ98" s="15"/>
      <c r="BA98" s="1">
        <v>1</v>
      </c>
      <c r="BJ98" s="1">
        <v>1</v>
      </c>
      <c r="BM98" s="15"/>
      <c r="BN98" s="1">
        <v>2</v>
      </c>
      <c r="BR98" s="15"/>
      <c r="BT98" s="15">
        <v>1</v>
      </c>
      <c r="BU98" s="15"/>
      <c r="BY98" s="15">
        <v>1</v>
      </c>
      <c r="CI98" s="1">
        <v>1</v>
      </c>
      <c r="CS98" s="15"/>
      <c r="CT98" s="15"/>
      <c r="CY98" s="15"/>
      <c r="CZ98" s="15"/>
      <c r="DA98" s="1">
        <v>1</v>
      </c>
      <c r="DD98" s="15"/>
      <c r="DI98" s="1">
        <f t="shared" si="2"/>
        <v>12</v>
      </c>
      <c r="DJ98" s="1">
        <f t="shared" si="3"/>
        <v>17</v>
      </c>
    </row>
    <row r="99" spans="1:114" ht="15.75" customHeight="1" x14ac:dyDescent="0.35">
      <c r="A99" s="15" t="s">
        <v>153</v>
      </c>
      <c r="B99" s="16" t="s">
        <v>182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5">
        <v>100</v>
      </c>
      <c r="O99" s="17">
        <v>3</v>
      </c>
      <c r="AD99" s="15"/>
      <c r="AM99" s="15"/>
      <c r="AS99" s="15"/>
      <c r="AT99" s="15"/>
      <c r="AV99" s="1">
        <v>1</v>
      </c>
      <c r="AW99" s="15"/>
      <c r="AY99" s="15"/>
      <c r="AZ99" s="15"/>
      <c r="BM99" s="15"/>
      <c r="BR99" s="15"/>
      <c r="BT99" s="15">
        <v>1</v>
      </c>
      <c r="BU99" s="15"/>
      <c r="BY99" s="15"/>
      <c r="CS99" s="15"/>
      <c r="CT99" s="15"/>
      <c r="CY99" s="15"/>
      <c r="CZ99" s="15"/>
      <c r="DD99" s="15"/>
      <c r="DI99" s="1">
        <f t="shared" si="2"/>
        <v>2</v>
      </c>
      <c r="DJ99" s="1">
        <f t="shared" si="3"/>
        <v>2</v>
      </c>
    </row>
    <row r="100" spans="1:114" ht="15.75" customHeight="1" x14ac:dyDescent="0.35">
      <c r="A100" s="15" t="s">
        <v>153</v>
      </c>
      <c r="B100" s="23" t="s">
        <v>184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850</v>
      </c>
      <c r="N100" s="15">
        <v>76.19</v>
      </c>
      <c r="O100" s="17">
        <v>2</v>
      </c>
      <c r="Y100" s="1">
        <v>1</v>
      </c>
      <c r="AD100" s="15"/>
      <c r="AM100" s="15"/>
      <c r="AS100" s="15"/>
      <c r="AT100" s="15"/>
      <c r="AV100" s="1">
        <v>1</v>
      </c>
      <c r="AW100" s="15"/>
      <c r="AY100" s="15"/>
      <c r="AZ100" s="15"/>
      <c r="BM100" s="15"/>
      <c r="BR100" s="15"/>
      <c r="BT100" s="15"/>
      <c r="BU100" s="15"/>
      <c r="BY100" s="15"/>
      <c r="CB100" s="1">
        <v>1</v>
      </c>
      <c r="CS100" s="15"/>
      <c r="CT100" s="15"/>
      <c r="CY100" s="15"/>
      <c r="CZ100" s="15"/>
      <c r="DD100" s="15"/>
      <c r="DI100" s="1">
        <f t="shared" si="2"/>
        <v>3</v>
      </c>
      <c r="DJ100" s="1">
        <f t="shared" si="3"/>
        <v>3</v>
      </c>
    </row>
    <row r="101" spans="1:114" ht="15.75" customHeight="1" x14ac:dyDescent="0.35">
      <c r="A101" s="15" t="s">
        <v>153</v>
      </c>
      <c r="B101" s="23" t="s">
        <v>184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560</v>
      </c>
      <c r="N101" s="15">
        <v>100</v>
      </c>
      <c r="O101" s="17">
        <v>2</v>
      </c>
      <c r="Y101" s="1">
        <v>1</v>
      </c>
      <c r="AD101" s="15"/>
      <c r="AM101" s="15"/>
      <c r="AS101" s="15">
        <v>5</v>
      </c>
      <c r="AT101" s="15"/>
      <c r="AU101" s="1">
        <v>3</v>
      </c>
      <c r="AV101" s="1">
        <v>1</v>
      </c>
      <c r="AW101" s="15"/>
      <c r="AY101" s="15"/>
      <c r="AZ101" s="15"/>
      <c r="BM101" s="15"/>
      <c r="BN101" s="1">
        <v>3</v>
      </c>
      <c r="BR101" s="15"/>
      <c r="BT101" s="15"/>
      <c r="BU101" s="15"/>
      <c r="BY101" s="15"/>
      <c r="CS101" s="15"/>
      <c r="CT101" s="15"/>
      <c r="CY101" s="15"/>
      <c r="CZ101" s="15"/>
      <c r="DA101" s="1">
        <v>1</v>
      </c>
      <c r="DD101" s="15"/>
      <c r="DI101" s="1">
        <f t="shared" si="2"/>
        <v>6</v>
      </c>
      <c r="DJ101" s="1">
        <f t="shared" si="3"/>
        <v>14</v>
      </c>
    </row>
    <row r="102" spans="1:114" ht="15.75" customHeight="1" x14ac:dyDescent="0.35">
      <c r="A102" s="15" t="s">
        <v>153</v>
      </c>
      <c r="B102" s="23" t="s">
        <v>184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>
        <v>850</v>
      </c>
      <c r="N102" s="15">
        <v>100</v>
      </c>
      <c r="O102" s="17">
        <v>2</v>
      </c>
      <c r="AD102" s="15"/>
      <c r="AM102" s="15"/>
      <c r="AS102" s="15"/>
      <c r="AT102" s="15"/>
      <c r="AW102" s="15"/>
      <c r="AY102" s="15"/>
      <c r="AZ102" s="15"/>
      <c r="BM102" s="15"/>
      <c r="BR102" s="15"/>
      <c r="BT102" s="15"/>
      <c r="BU102" s="15"/>
      <c r="BY102" s="15"/>
      <c r="CS102" s="15"/>
      <c r="CT102" s="15"/>
      <c r="CY102" s="15"/>
      <c r="CZ102" s="15"/>
      <c r="DA102" s="1">
        <v>1</v>
      </c>
      <c r="DD102" s="15"/>
      <c r="DI102" s="1">
        <f t="shared" si="2"/>
        <v>1</v>
      </c>
      <c r="DJ102" s="1">
        <f t="shared" si="3"/>
        <v>1</v>
      </c>
    </row>
    <row r="103" spans="1:114" ht="15.75" customHeight="1" x14ac:dyDescent="0.35">
      <c r="A103" s="15" t="s">
        <v>153</v>
      </c>
      <c r="B103" s="23" t="s">
        <v>184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>
        <v>560</v>
      </c>
      <c r="N103" s="15">
        <v>100</v>
      </c>
      <c r="O103" s="17">
        <v>2</v>
      </c>
      <c r="Y103" s="1">
        <v>5</v>
      </c>
      <c r="AD103" s="15"/>
      <c r="AM103" s="15"/>
      <c r="AS103" s="15"/>
      <c r="AT103" s="15"/>
      <c r="AW103" s="15"/>
      <c r="AY103" s="15"/>
      <c r="AZ103" s="15"/>
      <c r="BM103" s="15"/>
      <c r="BR103" s="15"/>
      <c r="BT103" s="15"/>
      <c r="BU103" s="15"/>
      <c r="BY103" s="15"/>
      <c r="CS103" s="15"/>
      <c r="CT103" s="15"/>
      <c r="CY103" s="15"/>
      <c r="CZ103" s="15"/>
      <c r="DD103" s="15"/>
      <c r="DI103" s="1">
        <f t="shared" si="2"/>
        <v>1</v>
      </c>
      <c r="DJ103" s="1">
        <f t="shared" si="3"/>
        <v>5</v>
      </c>
    </row>
    <row r="104" spans="1:114" ht="15.75" customHeight="1" x14ac:dyDescent="0.35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850</v>
      </c>
      <c r="N104" s="15">
        <v>100</v>
      </c>
      <c r="O104" s="17">
        <v>3</v>
      </c>
      <c r="AD104" s="15"/>
      <c r="AM104" s="15"/>
      <c r="AS104" s="15"/>
      <c r="AT104" s="15"/>
      <c r="AU104" s="1">
        <v>1</v>
      </c>
      <c r="AV104" s="1">
        <v>4</v>
      </c>
      <c r="AW104" s="15"/>
      <c r="AY104" s="15"/>
      <c r="AZ104" s="15"/>
      <c r="BM104" s="15"/>
      <c r="BN104" s="1">
        <v>1</v>
      </c>
      <c r="BR104" s="15"/>
      <c r="BT104" s="15"/>
      <c r="BU104" s="15"/>
      <c r="BY104" s="15"/>
      <c r="CS104" s="15"/>
      <c r="CT104" s="15"/>
      <c r="CY104" s="15"/>
      <c r="CZ104" s="15"/>
      <c r="DA104" s="1">
        <v>1</v>
      </c>
      <c r="DD104" s="15"/>
      <c r="DI104" s="1">
        <f t="shared" si="2"/>
        <v>4</v>
      </c>
      <c r="DJ104" s="1">
        <f t="shared" si="3"/>
        <v>7</v>
      </c>
    </row>
    <row r="105" spans="1:114" ht="15.75" customHeight="1" x14ac:dyDescent="0.35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560</v>
      </c>
      <c r="N105" s="15">
        <v>100</v>
      </c>
      <c r="O105" s="17">
        <v>3</v>
      </c>
      <c r="X105" s="1">
        <v>3</v>
      </c>
      <c r="AD105" s="15"/>
      <c r="AM105" s="15"/>
      <c r="AS105" s="15"/>
      <c r="AT105" s="15"/>
      <c r="AW105" s="15"/>
      <c r="AY105" s="15"/>
      <c r="AZ105" s="15"/>
      <c r="BJ105" s="1">
        <v>1</v>
      </c>
      <c r="BM105" s="15"/>
      <c r="BR105" s="15"/>
      <c r="BT105" s="15">
        <v>1</v>
      </c>
      <c r="BU105" s="15"/>
      <c r="BY105" s="15"/>
      <c r="CG105" s="1">
        <v>1</v>
      </c>
      <c r="CK105" s="1">
        <v>1</v>
      </c>
      <c r="CS105" s="15"/>
      <c r="CT105" s="15"/>
      <c r="CY105" s="15"/>
      <c r="CZ105" s="15"/>
      <c r="DD105" s="15"/>
      <c r="DI105" s="1">
        <f t="shared" si="2"/>
        <v>5</v>
      </c>
      <c r="DJ105" s="1">
        <f t="shared" si="3"/>
        <v>7</v>
      </c>
    </row>
    <row r="106" spans="1:114" ht="15.75" customHeight="1" x14ac:dyDescent="0.35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>
        <v>850</v>
      </c>
      <c r="N106" s="15">
        <v>76.19</v>
      </c>
      <c r="O106" s="17">
        <v>3</v>
      </c>
      <c r="AD106" s="15"/>
      <c r="AM106" s="15"/>
      <c r="AS106" s="15"/>
      <c r="AT106" s="15"/>
      <c r="AW106" s="15"/>
      <c r="AY106" s="15"/>
      <c r="AZ106" s="15"/>
      <c r="BM106" s="15"/>
      <c r="BR106" s="15"/>
      <c r="BT106" s="15"/>
      <c r="BU106" s="15"/>
      <c r="BY106" s="15"/>
      <c r="CS106" s="15"/>
      <c r="CT106" s="15"/>
      <c r="CY106" s="15"/>
      <c r="CZ106" s="15"/>
      <c r="DD106" s="15"/>
      <c r="DI106" s="1">
        <f t="shared" si="2"/>
        <v>0</v>
      </c>
      <c r="DJ106" s="1">
        <f t="shared" si="3"/>
        <v>0</v>
      </c>
    </row>
    <row r="107" spans="1:114" ht="15.75" customHeight="1" x14ac:dyDescent="0.35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>
        <v>560</v>
      </c>
      <c r="N107" s="15">
        <v>100</v>
      </c>
      <c r="O107" s="17">
        <v>3</v>
      </c>
      <c r="X107" s="1">
        <v>1</v>
      </c>
      <c r="AD107" s="15"/>
      <c r="AM107" s="15"/>
      <c r="AS107" s="15"/>
      <c r="AT107" s="15"/>
      <c r="AW107" s="15"/>
      <c r="AY107" s="15"/>
      <c r="AZ107" s="15"/>
      <c r="BM107" s="15"/>
      <c r="BR107" s="15"/>
      <c r="BT107" s="15"/>
      <c r="BU107" s="15"/>
      <c r="BY107" s="15"/>
      <c r="CG107" s="1">
        <v>1</v>
      </c>
      <c r="CS107" s="15"/>
      <c r="CT107" s="15"/>
      <c r="CY107" s="15"/>
      <c r="CZ107" s="15"/>
      <c r="DD107" s="15"/>
      <c r="DI107" s="1">
        <f t="shared" si="2"/>
        <v>2</v>
      </c>
      <c r="DJ107" s="1">
        <f t="shared" si="3"/>
        <v>2</v>
      </c>
    </row>
    <row r="108" spans="1:114" ht="15.75" customHeight="1" x14ac:dyDescent="0.35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850</v>
      </c>
      <c r="N108" s="15">
        <v>100</v>
      </c>
      <c r="O108" s="17">
        <v>1</v>
      </c>
      <c r="AD108" s="15"/>
      <c r="AM108" s="15"/>
      <c r="AS108" s="15"/>
      <c r="AT108" s="15"/>
      <c r="AU108" s="1">
        <v>1</v>
      </c>
      <c r="AV108" s="1">
        <v>5</v>
      </c>
      <c r="AW108" s="15"/>
      <c r="AY108" s="15"/>
      <c r="AZ108" s="15"/>
      <c r="BM108" s="15"/>
      <c r="BR108" s="15"/>
      <c r="BT108" s="15"/>
      <c r="BU108" s="15"/>
      <c r="BY108" s="15"/>
      <c r="CE108" s="1">
        <v>5</v>
      </c>
      <c r="CS108" s="15"/>
      <c r="CT108" s="15"/>
      <c r="CY108" s="15"/>
      <c r="CZ108" s="15"/>
      <c r="DD108" s="15"/>
      <c r="DI108" s="1">
        <f t="shared" si="2"/>
        <v>3</v>
      </c>
      <c r="DJ108" s="1">
        <f t="shared" si="3"/>
        <v>11</v>
      </c>
    </row>
    <row r="109" spans="1:114" ht="15.75" customHeight="1" x14ac:dyDescent="0.35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560</v>
      </c>
      <c r="N109" s="15">
        <v>95.24</v>
      </c>
      <c r="O109" s="17">
        <v>1</v>
      </c>
      <c r="AD109" s="15"/>
      <c r="AM109" s="15"/>
      <c r="AS109" s="15"/>
      <c r="AT109" s="15"/>
      <c r="AU109" s="1">
        <v>1</v>
      </c>
      <c r="AW109" s="15"/>
      <c r="AY109" s="15"/>
      <c r="AZ109" s="15"/>
      <c r="BM109" s="15"/>
      <c r="BN109" s="1">
        <v>1</v>
      </c>
      <c r="BO109" s="1">
        <v>1</v>
      </c>
      <c r="BP109" s="1">
        <v>2</v>
      </c>
      <c r="BR109" s="15"/>
      <c r="BT109" s="15"/>
      <c r="BU109" s="15"/>
      <c r="BY109" s="15"/>
      <c r="CS109" s="15"/>
      <c r="CT109" s="15"/>
      <c r="CY109" s="15"/>
      <c r="CZ109" s="15"/>
      <c r="DD109" s="15"/>
      <c r="DI109" s="1">
        <f t="shared" si="2"/>
        <v>4</v>
      </c>
      <c r="DJ109" s="1">
        <f t="shared" si="3"/>
        <v>5</v>
      </c>
    </row>
    <row r="110" spans="1:114" ht="15.75" customHeight="1" x14ac:dyDescent="0.35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>
        <v>850</v>
      </c>
      <c r="N110" s="15">
        <v>76.19</v>
      </c>
      <c r="O110" s="17">
        <v>1</v>
      </c>
      <c r="AD110" s="15"/>
      <c r="AM110" s="15"/>
      <c r="AS110" s="15"/>
      <c r="AT110" s="15"/>
      <c r="AW110" s="15"/>
      <c r="AY110" s="15"/>
      <c r="AZ110" s="15"/>
      <c r="BM110" s="15"/>
      <c r="BR110" s="15"/>
      <c r="BT110" s="15"/>
      <c r="BU110" s="15"/>
      <c r="BY110" s="15"/>
      <c r="CS110" s="15"/>
      <c r="CT110" s="15"/>
      <c r="CY110" s="15"/>
      <c r="CZ110" s="15"/>
      <c r="DD110" s="15"/>
      <c r="DI110" s="1">
        <f t="shared" si="2"/>
        <v>0</v>
      </c>
      <c r="DJ110" s="1">
        <f t="shared" si="3"/>
        <v>0</v>
      </c>
    </row>
    <row r="111" spans="1:114" ht="15.75" customHeight="1" x14ac:dyDescent="0.35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>
        <v>560</v>
      </c>
      <c r="N111" s="15">
        <v>76.19</v>
      </c>
      <c r="O111" s="17">
        <v>1</v>
      </c>
      <c r="AD111" s="15"/>
      <c r="AM111" s="15"/>
      <c r="AS111" s="15"/>
      <c r="AT111" s="15"/>
      <c r="AW111" s="15"/>
      <c r="AY111" s="15"/>
      <c r="AZ111" s="15"/>
      <c r="BM111" s="15"/>
      <c r="BR111" s="15"/>
      <c r="BT111" s="15"/>
      <c r="BU111" s="15"/>
      <c r="BY111" s="15"/>
      <c r="CS111" s="15"/>
      <c r="CT111" s="15"/>
      <c r="CY111" s="15"/>
      <c r="CZ111" s="15"/>
      <c r="DD111" s="15"/>
      <c r="DI111" s="1">
        <f t="shared" si="2"/>
        <v>0</v>
      </c>
      <c r="DJ111" s="1">
        <f t="shared" si="3"/>
        <v>0</v>
      </c>
    </row>
    <row r="112" spans="1:114" ht="15.75" customHeight="1" x14ac:dyDescent="0.35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850</v>
      </c>
      <c r="N112" s="15">
        <v>76.19</v>
      </c>
      <c r="O112" s="17">
        <v>6</v>
      </c>
      <c r="AD112" s="15"/>
      <c r="AM112" s="15"/>
      <c r="AS112" s="15">
        <v>4</v>
      </c>
      <c r="AT112" s="15"/>
      <c r="AU112" s="1">
        <v>3</v>
      </c>
      <c r="AW112" s="15"/>
      <c r="AY112" s="15"/>
      <c r="AZ112" s="15"/>
      <c r="BM112" s="15"/>
      <c r="BR112" s="15"/>
      <c r="BT112" s="15"/>
      <c r="BU112" s="15"/>
      <c r="BY112" s="15"/>
      <c r="CS112" s="15"/>
      <c r="CT112" s="15"/>
      <c r="CY112" s="15"/>
      <c r="CZ112" s="15"/>
      <c r="DD112" s="15"/>
      <c r="DI112" s="1">
        <f t="shared" si="2"/>
        <v>2</v>
      </c>
      <c r="DJ112" s="1">
        <f t="shared" si="3"/>
        <v>7</v>
      </c>
    </row>
    <row r="113" spans="1:114" ht="15.75" customHeight="1" x14ac:dyDescent="0.35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560</v>
      </c>
      <c r="N113" s="15">
        <v>76.19</v>
      </c>
      <c r="O113" s="17">
        <v>6</v>
      </c>
      <c r="AD113" s="15"/>
      <c r="AM113" s="15"/>
      <c r="AP113" s="1">
        <v>1</v>
      </c>
      <c r="AS113" s="15"/>
      <c r="AT113" s="15"/>
      <c r="AW113" s="15"/>
      <c r="AY113" s="15"/>
      <c r="AZ113" s="15"/>
      <c r="BM113" s="15"/>
      <c r="BR113" s="15"/>
      <c r="BT113" s="15"/>
      <c r="BU113" s="15"/>
      <c r="BX113" s="1">
        <v>1</v>
      </c>
      <c r="BY113" s="15"/>
      <c r="CS113" s="15"/>
      <c r="CT113" s="15"/>
      <c r="CY113" s="15"/>
      <c r="CZ113" s="15"/>
      <c r="DA113" s="1">
        <v>1</v>
      </c>
      <c r="DD113" s="15"/>
      <c r="DI113" s="1">
        <f t="shared" si="2"/>
        <v>3</v>
      </c>
      <c r="DJ113" s="1">
        <f t="shared" si="3"/>
        <v>3</v>
      </c>
    </row>
    <row r="114" spans="1:114" ht="15.75" customHeight="1" x14ac:dyDescent="0.35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>
        <v>850</v>
      </c>
      <c r="N114" s="15">
        <v>95.24</v>
      </c>
      <c r="O114" s="17">
        <v>6</v>
      </c>
      <c r="Y114" s="1">
        <v>1</v>
      </c>
      <c r="AD114" s="15"/>
      <c r="AM114" s="15"/>
      <c r="AS114" s="15">
        <v>4</v>
      </c>
      <c r="AT114" s="15"/>
      <c r="AU114" s="1">
        <v>3</v>
      </c>
      <c r="AW114" s="15"/>
      <c r="AY114" s="15"/>
      <c r="AZ114" s="15"/>
      <c r="BM114" s="15"/>
      <c r="BR114" s="15"/>
      <c r="BT114" s="15"/>
      <c r="BU114" s="15"/>
      <c r="BY114" s="15"/>
      <c r="CS114" s="15"/>
      <c r="CT114" s="15"/>
      <c r="CY114" s="15"/>
      <c r="CZ114" s="15"/>
      <c r="DD114" s="15"/>
      <c r="DI114" s="1">
        <f t="shared" si="2"/>
        <v>3</v>
      </c>
      <c r="DJ114" s="1">
        <f t="shared" si="3"/>
        <v>8</v>
      </c>
    </row>
    <row r="115" spans="1:114" ht="15.75" customHeight="1" x14ac:dyDescent="0.35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>
        <v>560</v>
      </c>
      <c r="N115" s="15">
        <v>14.29</v>
      </c>
      <c r="O115" s="17">
        <v>6</v>
      </c>
      <c r="AD115" s="15"/>
      <c r="AM115" s="15"/>
      <c r="AS115" s="15"/>
      <c r="AT115" s="15"/>
      <c r="AW115" s="15"/>
      <c r="AY115" s="15"/>
      <c r="AZ115" s="15"/>
      <c r="BM115" s="15"/>
      <c r="BR115" s="15"/>
      <c r="BT115" s="15"/>
      <c r="BU115" s="15"/>
      <c r="BY115" s="15"/>
      <c r="CF115" s="1">
        <v>1</v>
      </c>
      <c r="CK115" s="1">
        <v>1</v>
      </c>
      <c r="CS115" s="15"/>
      <c r="CT115" s="15"/>
      <c r="CY115" s="15"/>
      <c r="CZ115" s="15"/>
      <c r="DD115" s="15"/>
      <c r="DH115" s="1">
        <v>2</v>
      </c>
      <c r="DI115" s="1">
        <f t="shared" si="2"/>
        <v>3</v>
      </c>
      <c r="DJ115" s="1">
        <f t="shared" si="3"/>
        <v>4</v>
      </c>
    </row>
    <row r="116" spans="1:114" ht="15.75" customHeight="1" x14ac:dyDescent="0.35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5"/>
      <c r="O116" s="17"/>
      <c r="AD116" s="15"/>
      <c r="AM116" s="15"/>
      <c r="AS116" s="15"/>
      <c r="AT116" s="15"/>
      <c r="AW116" s="15"/>
      <c r="AY116" s="15"/>
      <c r="AZ116" s="15"/>
      <c r="BM116" s="15"/>
      <c r="BR116" s="15"/>
      <c r="BT116" s="15"/>
      <c r="BU116" s="15"/>
      <c r="BY116" s="15"/>
      <c r="CS116" s="15"/>
      <c r="CT116" s="15"/>
      <c r="CY116" s="15"/>
      <c r="CZ116" s="15"/>
      <c r="DD116" s="15"/>
      <c r="DI116" s="1">
        <f t="shared" si="2"/>
        <v>0</v>
      </c>
      <c r="DJ116" s="1">
        <f t="shared" si="3"/>
        <v>0</v>
      </c>
    </row>
    <row r="117" spans="1:114" ht="15.75" customHeight="1" x14ac:dyDescent="0.35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450</v>
      </c>
      <c r="N117" s="15">
        <v>71.42</v>
      </c>
      <c r="O117" s="17">
        <v>4</v>
      </c>
      <c r="S117" s="1">
        <v>1</v>
      </c>
      <c r="AD117" s="15"/>
      <c r="AM117" s="15"/>
      <c r="AS117" s="15">
        <v>4</v>
      </c>
      <c r="AT117" s="15"/>
      <c r="AW117" s="15"/>
      <c r="AY117" s="15"/>
      <c r="AZ117" s="15"/>
      <c r="BM117" s="15"/>
      <c r="BR117" s="15"/>
      <c r="BT117" s="15"/>
      <c r="BU117" s="15"/>
      <c r="BY117" s="15"/>
      <c r="CD117" s="1">
        <v>1</v>
      </c>
      <c r="CJ117" s="1">
        <v>1</v>
      </c>
      <c r="CS117" s="15"/>
      <c r="CT117" s="15"/>
      <c r="CY117" s="15"/>
      <c r="CZ117" s="15"/>
      <c r="DD117" s="15"/>
      <c r="DI117" s="1">
        <f t="shared" si="2"/>
        <v>4</v>
      </c>
      <c r="DJ117" s="1">
        <f t="shared" si="3"/>
        <v>7</v>
      </c>
    </row>
    <row r="118" spans="1:114" ht="15.75" customHeight="1" x14ac:dyDescent="0.35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5">
        <v>95.24</v>
      </c>
      <c r="O118" s="17">
        <v>4</v>
      </c>
      <c r="AD118" s="15"/>
      <c r="AM118" s="15">
        <v>1</v>
      </c>
      <c r="AS118" s="15"/>
      <c r="AT118" s="15"/>
      <c r="AW118" s="15"/>
      <c r="AY118" s="15">
        <v>1</v>
      </c>
      <c r="AZ118" s="15"/>
      <c r="BM118" s="15"/>
      <c r="BR118" s="15"/>
      <c r="BT118" s="15"/>
      <c r="BU118" s="15"/>
      <c r="BY118" s="15"/>
      <c r="CD118" s="1">
        <v>1</v>
      </c>
      <c r="CJ118" s="1">
        <v>1</v>
      </c>
      <c r="CL118" s="1">
        <v>1</v>
      </c>
      <c r="CS118" s="15"/>
      <c r="CT118" s="15"/>
      <c r="CV118" s="1">
        <v>1</v>
      </c>
      <c r="CY118" s="15"/>
      <c r="CZ118" s="15"/>
      <c r="DA118" s="1">
        <v>1</v>
      </c>
      <c r="DB118" s="1">
        <v>1</v>
      </c>
      <c r="DD118" s="15"/>
      <c r="DG118" s="1">
        <v>1</v>
      </c>
      <c r="DI118" s="1">
        <f t="shared" si="2"/>
        <v>9</v>
      </c>
      <c r="DJ118" s="1">
        <f t="shared" si="3"/>
        <v>9</v>
      </c>
    </row>
    <row r="119" spans="1:114" ht="15.75" customHeight="1" x14ac:dyDescent="0.35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5">
        <v>95.24</v>
      </c>
      <c r="O119" s="17">
        <v>4</v>
      </c>
      <c r="AD119" s="15"/>
      <c r="AM119" s="15"/>
      <c r="AS119" s="15"/>
      <c r="AT119" s="15"/>
      <c r="AW119" s="15"/>
      <c r="AY119" s="15"/>
      <c r="AZ119" s="15"/>
      <c r="BD119" s="1">
        <v>1</v>
      </c>
      <c r="BJ119" s="1">
        <v>1</v>
      </c>
      <c r="BM119" s="15"/>
      <c r="BR119" s="15"/>
      <c r="BT119" s="15"/>
      <c r="BU119" s="15"/>
      <c r="BW119" s="1">
        <v>1</v>
      </c>
      <c r="BY119" s="15"/>
      <c r="CJ119" s="1">
        <v>1</v>
      </c>
      <c r="CK119" s="1">
        <v>2</v>
      </c>
      <c r="CS119" s="15"/>
      <c r="CT119" s="15"/>
      <c r="CY119" s="15"/>
      <c r="CZ119" s="15"/>
      <c r="DD119" s="15"/>
      <c r="DI119" s="1">
        <f t="shared" si="2"/>
        <v>5</v>
      </c>
      <c r="DJ119" s="1">
        <f t="shared" si="3"/>
        <v>6</v>
      </c>
    </row>
    <row r="120" spans="1:114" ht="15.75" customHeight="1" x14ac:dyDescent="0.35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5">
        <v>95.24</v>
      </c>
      <c r="O120" s="17">
        <v>3</v>
      </c>
      <c r="X120" s="1">
        <v>1</v>
      </c>
      <c r="AD120" s="15">
        <v>1</v>
      </c>
      <c r="AF120" s="1">
        <v>1</v>
      </c>
      <c r="AM120" s="15"/>
      <c r="AS120" s="15"/>
      <c r="AT120" s="15"/>
      <c r="AW120" s="15"/>
      <c r="AY120" s="15">
        <v>1</v>
      </c>
      <c r="AZ120" s="15"/>
      <c r="BC120" s="1">
        <v>1</v>
      </c>
      <c r="BJ120" s="1">
        <v>1</v>
      </c>
      <c r="BM120" s="15"/>
      <c r="BR120" s="15"/>
      <c r="BT120" s="15"/>
      <c r="BU120" s="15"/>
      <c r="BY120" s="15"/>
      <c r="CJ120" s="1">
        <v>1</v>
      </c>
      <c r="CS120" s="15"/>
      <c r="CT120" s="15"/>
      <c r="CY120" s="15"/>
      <c r="CZ120" s="15"/>
      <c r="DD120" s="15"/>
      <c r="DI120" s="1">
        <f t="shared" si="2"/>
        <v>7</v>
      </c>
      <c r="DJ120" s="1">
        <f t="shared" si="3"/>
        <v>7</v>
      </c>
    </row>
    <row r="121" spans="1:114" ht="15.75" customHeight="1" x14ac:dyDescent="0.35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5">
        <v>95.24</v>
      </c>
      <c r="O121" s="17">
        <v>3</v>
      </c>
      <c r="AD121" s="15"/>
      <c r="AM121" s="15"/>
      <c r="AS121" s="15"/>
      <c r="AT121" s="15"/>
      <c r="AW121" s="15"/>
      <c r="AY121" s="15"/>
      <c r="AZ121" s="15"/>
      <c r="BM121" s="15"/>
      <c r="BR121" s="15"/>
      <c r="BT121" s="15">
        <v>1</v>
      </c>
      <c r="BU121" s="15"/>
      <c r="BY121" s="15"/>
      <c r="CS121" s="15"/>
      <c r="CT121" s="15"/>
      <c r="CY121" s="15"/>
      <c r="CZ121" s="15"/>
      <c r="DD121" s="15"/>
      <c r="DI121" s="1">
        <f t="shared" si="2"/>
        <v>1</v>
      </c>
      <c r="DJ121" s="1">
        <f t="shared" si="3"/>
        <v>1</v>
      </c>
    </row>
    <row r="122" spans="1:114" ht="15.75" customHeight="1" x14ac:dyDescent="0.35">
      <c r="A122" s="15" t="s">
        <v>158</v>
      </c>
      <c r="B122" s="23" t="s">
        <v>179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600</v>
      </c>
      <c r="N122" s="15">
        <v>95.24</v>
      </c>
      <c r="O122" s="17">
        <v>5</v>
      </c>
      <c r="AD122" s="15"/>
      <c r="AF122" s="1">
        <v>1</v>
      </c>
      <c r="AM122" s="15"/>
      <c r="AN122" s="1">
        <v>1</v>
      </c>
      <c r="AS122" s="15"/>
      <c r="AT122" s="15"/>
      <c r="AW122" s="15"/>
      <c r="AX122" s="1">
        <v>2</v>
      </c>
      <c r="AY122" s="15">
        <v>1</v>
      </c>
      <c r="AZ122" s="15">
        <v>2</v>
      </c>
      <c r="BM122" s="15"/>
      <c r="BR122" s="15">
        <v>1</v>
      </c>
      <c r="BT122" s="15">
        <v>1</v>
      </c>
      <c r="BU122" s="15"/>
      <c r="BY122" s="15">
        <v>1</v>
      </c>
      <c r="CI122" s="1">
        <v>1</v>
      </c>
      <c r="CS122" s="15"/>
      <c r="CT122" s="15"/>
      <c r="CW122" s="1">
        <v>1</v>
      </c>
      <c r="CY122" s="15"/>
      <c r="CZ122" s="15"/>
      <c r="DA122" s="1">
        <v>1</v>
      </c>
      <c r="DB122" s="1">
        <v>1</v>
      </c>
      <c r="DD122" s="15"/>
      <c r="DG122" s="1">
        <v>2</v>
      </c>
      <c r="DI122" s="1">
        <f t="shared" si="2"/>
        <v>13</v>
      </c>
      <c r="DJ122" s="1">
        <f t="shared" si="3"/>
        <v>16</v>
      </c>
    </row>
    <row r="123" spans="1:114" ht="15.75" customHeight="1" x14ac:dyDescent="0.35">
      <c r="A123" s="15" t="s">
        <v>158</v>
      </c>
      <c r="B123" s="23" t="s">
        <v>179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">
        <v>100</v>
      </c>
      <c r="O123" s="17">
        <v>5</v>
      </c>
      <c r="AD123" s="15"/>
      <c r="AM123" s="15"/>
      <c r="AS123" s="15"/>
      <c r="AT123" s="15"/>
      <c r="AW123" s="15"/>
      <c r="AY123" s="15"/>
      <c r="AZ123" s="15">
        <v>1</v>
      </c>
      <c r="BM123" s="15"/>
      <c r="BR123" s="15"/>
      <c r="BT123" s="15"/>
      <c r="BU123" s="15"/>
      <c r="BY123" s="15"/>
      <c r="CS123" s="15"/>
      <c r="CT123" s="15"/>
      <c r="CV123" s="1">
        <v>1</v>
      </c>
      <c r="CY123" s="15">
        <v>1</v>
      </c>
      <c r="CZ123" s="15"/>
      <c r="DD123" s="15"/>
      <c r="DI123" s="1">
        <f t="shared" si="2"/>
        <v>3</v>
      </c>
      <c r="DJ123" s="1">
        <f t="shared" si="3"/>
        <v>3</v>
      </c>
    </row>
    <row r="124" spans="1:114" ht="15.75" customHeight="1" x14ac:dyDescent="0.35">
      <c r="A124" s="15" t="s">
        <v>158</v>
      </c>
      <c r="B124" s="23" t="s">
        <v>179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>
        <v>450</v>
      </c>
      <c r="N124" s="15">
        <v>71.42</v>
      </c>
      <c r="O124" s="17">
        <v>5</v>
      </c>
      <c r="AD124" s="15"/>
      <c r="AM124" s="15">
        <v>1</v>
      </c>
      <c r="AS124" s="15"/>
      <c r="AT124" s="15"/>
      <c r="AW124" s="15"/>
      <c r="AY124" s="15"/>
      <c r="AZ124" s="15">
        <v>1</v>
      </c>
      <c r="BM124" s="15"/>
      <c r="BR124" s="15"/>
      <c r="BT124" s="15">
        <v>1</v>
      </c>
      <c r="BU124" s="15"/>
      <c r="BY124" s="15"/>
      <c r="CS124" s="15"/>
      <c r="CT124" s="15"/>
      <c r="CY124" s="15"/>
      <c r="CZ124" s="15"/>
      <c r="DD124" s="15"/>
      <c r="DI124" s="1">
        <f t="shared" si="2"/>
        <v>3</v>
      </c>
      <c r="DJ124" s="1">
        <f t="shared" si="3"/>
        <v>3</v>
      </c>
    </row>
    <row r="125" spans="1:114" ht="15.75" customHeight="1" x14ac:dyDescent="0.35">
      <c r="A125" s="15" t="s">
        <v>158</v>
      </c>
      <c r="B125" s="23" t="s">
        <v>179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>
        <v>600</v>
      </c>
      <c r="N125" s="15">
        <v>100</v>
      </c>
      <c r="O125" s="17">
        <v>5</v>
      </c>
      <c r="AD125" s="15"/>
      <c r="AM125" s="15"/>
      <c r="AS125" s="15"/>
      <c r="AT125" s="15"/>
      <c r="AW125" s="15"/>
      <c r="AY125" s="15"/>
      <c r="AZ125" s="15"/>
      <c r="BM125" s="15"/>
      <c r="BR125" s="15"/>
      <c r="BT125" s="15"/>
      <c r="BU125" s="15"/>
      <c r="BY125" s="15"/>
      <c r="CI125" s="1">
        <v>1</v>
      </c>
      <c r="CS125" s="15"/>
      <c r="CT125" s="15"/>
      <c r="CY125" s="15"/>
      <c r="CZ125" s="15"/>
      <c r="DD125" s="15"/>
      <c r="DI125" s="1">
        <f t="shared" si="2"/>
        <v>1</v>
      </c>
      <c r="DJ125" s="1">
        <f t="shared" si="3"/>
        <v>1</v>
      </c>
    </row>
    <row r="126" spans="1:114" ht="15.75" customHeight="1" x14ac:dyDescent="0.35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600</v>
      </c>
      <c r="N126" s="15">
        <v>100</v>
      </c>
      <c r="O126" s="17">
        <v>5</v>
      </c>
      <c r="AC126" s="1">
        <v>2</v>
      </c>
      <c r="AD126" s="15"/>
      <c r="AM126" s="15"/>
      <c r="AS126" s="15"/>
      <c r="AT126" s="15"/>
      <c r="AW126" s="15"/>
      <c r="AX126" s="1">
        <v>1</v>
      </c>
      <c r="AY126" s="15"/>
      <c r="AZ126" s="15">
        <v>1</v>
      </c>
      <c r="BC126" s="1">
        <v>1</v>
      </c>
      <c r="BM126" s="15"/>
      <c r="BR126" s="15"/>
      <c r="BT126" s="15"/>
      <c r="BU126" s="15"/>
      <c r="BY126" s="15"/>
      <c r="CA126" s="1">
        <v>1</v>
      </c>
      <c r="CG126" s="1">
        <v>1</v>
      </c>
      <c r="CK126" s="1">
        <v>1</v>
      </c>
      <c r="CL126" s="1">
        <v>1</v>
      </c>
      <c r="CS126" s="15"/>
      <c r="CT126" s="15"/>
      <c r="CY126" s="15"/>
      <c r="CZ126" s="15"/>
      <c r="DD126" s="15"/>
      <c r="DI126" s="1">
        <f t="shared" si="2"/>
        <v>8</v>
      </c>
      <c r="DJ126" s="1">
        <f t="shared" si="3"/>
        <v>9</v>
      </c>
    </row>
    <row r="127" spans="1:114" ht="15.75" customHeight="1" x14ac:dyDescent="0.35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>
        <v>600</v>
      </c>
      <c r="N127" s="15">
        <v>100</v>
      </c>
      <c r="O127" s="17">
        <v>5</v>
      </c>
      <c r="AD127" s="15"/>
      <c r="AM127" s="15"/>
      <c r="AS127" s="15"/>
      <c r="AT127" s="15"/>
      <c r="AW127" s="15"/>
      <c r="AY127" s="15"/>
      <c r="AZ127" s="15"/>
      <c r="BI127" s="1">
        <v>1</v>
      </c>
      <c r="BM127" s="15"/>
      <c r="BR127" s="15"/>
      <c r="BT127" s="15">
        <v>1</v>
      </c>
      <c r="BU127" s="15"/>
      <c r="BY127" s="15"/>
      <c r="CI127" s="1">
        <v>1</v>
      </c>
      <c r="CS127" s="15"/>
      <c r="CT127" s="15"/>
      <c r="CW127" s="1">
        <v>1</v>
      </c>
      <c r="CY127" s="15"/>
      <c r="CZ127" s="15"/>
      <c r="DD127" s="15"/>
      <c r="DI127" s="1">
        <f t="shared" si="2"/>
        <v>4</v>
      </c>
      <c r="DJ127" s="1">
        <f t="shared" si="3"/>
        <v>4</v>
      </c>
    </row>
    <row r="128" spans="1:114" ht="15.75" customHeight="1" x14ac:dyDescent="0.35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600</v>
      </c>
      <c r="N128" s="15">
        <v>100</v>
      </c>
      <c r="O128" s="17">
        <v>3</v>
      </c>
      <c r="AB128" s="1">
        <v>1</v>
      </c>
      <c r="AD128" s="15"/>
      <c r="AM128" s="15"/>
      <c r="AS128" s="15"/>
      <c r="AT128" s="15"/>
      <c r="AW128" s="15"/>
      <c r="AY128" s="15"/>
      <c r="AZ128" s="15">
        <v>1</v>
      </c>
      <c r="BM128" s="15"/>
      <c r="BR128" s="15"/>
      <c r="BT128" s="15"/>
      <c r="BU128" s="15"/>
      <c r="BY128" s="15">
        <v>1</v>
      </c>
      <c r="CG128" s="1">
        <v>1</v>
      </c>
      <c r="CS128" s="15"/>
      <c r="CT128" s="15"/>
      <c r="CY128" s="15"/>
      <c r="CZ128" s="15"/>
      <c r="DA128" s="1">
        <v>1</v>
      </c>
      <c r="DD128" s="15"/>
      <c r="DI128" s="1">
        <f t="shared" si="2"/>
        <v>5</v>
      </c>
      <c r="DJ128" s="1">
        <f t="shared" si="3"/>
        <v>5</v>
      </c>
    </row>
    <row r="129" spans="1:114" ht="15.75" customHeight="1" x14ac:dyDescent="0.35">
      <c r="A129" s="15" t="s">
        <v>158</v>
      </c>
      <c r="B129" s="23" t="s">
        <v>182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600</v>
      </c>
      <c r="N129" s="15">
        <v>100</v>
      </c>
      <c r="O129" s="17">
        <v>3</v>
      </c>
      <c r="X129" s="1">
        <v>1</v>
      </c>
      <c r="AD129" s="15"/>
      <c r="AM129" s="15"/>
      <c r="AS129" s="15">
        <v>3</v>
      </c>
      <c r="AT129" s="15"/>
      <c r="AV129" s="1">
        <v>1</v>
      </c>
      <c r="AW129" s="15"/>
      <c r="AY129" s="15"/>
      <c r="AZ129" s="15">
        <v>1</v>
      </c>
      <c r="BM129" s="15"/>
      <c r="BN129" s="1">
        <v>1</v>
      </c>
      <c r="BR129" s="15"/>
      <c r="BT129" s="15"/>
      <c r="BU129" s="15"/>
      <c r="BY129" s="15"/>
      <c r="CB129" s="1">
        <v>1</v>
      </c>
      <c r="CS129" s="15"/>
      <c r="CT129" s="15"/>
      <c r="CX129" s="1">
        <v>1</v>
      </c>
      <c r="CY129" s="15"/>
      <c r="CZ129" s="15"/>
      <c r="DA129" s="1">
        <v>1</v>
      </c>
      <c r="DD129" s="15">
        <v>1</v>
      </c>
      <c r="DI129" s="1">
        <f t="shared" si="2"/>
        <v>9</v>
      </c>
      <c r="DJ129" s="1">
        <f t="shared" si="3"/>
        <v>11</v>
      </c>
    </row>
    <row r="130" spans="1:114" ht="15.75" customHeight="1" x14ac:dyDescent="0.35">
      <c r="A130" s="15" t="s">
        <v>158</v>
      </c>
      <c r="B130" s="23" t="s">
        <v>182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5">
        <v>100</v>
      </c>
      <c r="O130" s="17">
        <v>3</v>
      </c>
      <c r="AD130" s="15"/>
      <c r="AM130" s="15"/>
      <c r="AS130" s="15"/>
      <c r="AT130" s="15"/>
      <c r="AW130" s="15"/>
      <c r="AY130" s="15"/>
      <c r="AZ130" s="15"/>
      <c r="BM130" s="15"/>
      <c r="BQ130" s="1">
        <v>1</v>
      </c>
      <c r="BR130" s="15"/>
      <c r="BT130" s="15"/>
      <c r="BU130" s="15"/>
      <c r="BY130" s="15"/>
      <c r="CS130" s="15"/>
      <c r="CT130" s="15"/>
      <c r="CY130" s="15"/>
      <c r="CZ130" s="15"/>
      <c r="DD130" s="15"/>
      <c r="DI130" s="1">
        <f t="shared" si="2"/>
        <v>1</v>
      </c>
      <c r="DJ130" s="1">
        <f t="shared" si="3"/>
        <v>1</v>
      </c>
    </row>
    <row r="131" spans="1:114" ht="15.75" customHeight="1" x14ac:dyDescent="0.35">
      <c r="A131" s="15" t="s">
        <v>158</v>
      </c>
      <c r="B131" s="23" t="s">
        <v>182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>
        <v>600</v>
      </c>
      <c r="N131" s="15">
        <v>100</v>
      </c>
      <c r="O131" s="17">
        <v>3</v>
      </c>
      <c r="AD131" s="15"/>
      <c r="AM131" s="15"/>
      <c r="AS131" s="15"/>
      <c r="AT131" s="15"/>
      <c r="AW131" s="15"/>
      <c r="AY131" s="15"/>
      <c r="AZ131" s="15">
        <v>1</v>
      </c>
      <c r="BM131" s="15"/>
      <c r="BR131" s="15"/>
      <c r="BT131" s="15">
        <v>1</v>
      </c>
      <c r="BU131" s="15"/>
      <c r="BX131" s="1">
        <v>1</v>
      </c>
      <c r="BY131" s="15">
        <v>1</v>
      </c>
      <c r="CS131" s="15"/>
      <c r="CT131" s="15"/>
      <c r="CY131" s="15"/>
      <c r="CZ131" s="15"/>
      <c r="DD131" s="15"/>
      <c r="DI131" s="1">
        <f t="shared" si="2"/>
        <v>4</v>
      </c>
      <c r="DJ131" s="1">
        <f t="shared" si="3"/>
        <v>4</v>
      </c>
    </row>
    <row r="132" spans="1:114" ht="15.75" customHeight="1" x14ac:dyDescent="0.35">
      <c r="A132" s="15" t="s">
        <v>158</v>
      </c>
      <c r="B132" s="23" t="s">
        <v>184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">
        <v>600</v>
      </c>
      <c r="N132" s="1">
        <v>100</v>
      </c>
      <c r="O132" s="17">
        <v>2</v>
      </c>
      <c r="X132" s="1">
        <v>2</v>
      </c>
      <c r="CB132" s="1">
        <v>1</v>
      </c>
      <c r="DI132" s="1">
        <f t="shared" si="2"/>
        <v>2</v>
      </c>
      <c r="DJ132" s="1">
        <f t="shared" si="3"/>
        <v>3</v>
      </c>
    </row>
    <row r="133" spans="1:114" ht="15.75" customHeight="1" x14ac:dyDescent="0.35">
      <c r="A133" s="15" t="s">
        <v>158</v>
      </c>
      <c r="B133" s="23" t="s">
        <v>184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>
        <v>600</v>
      </c>
      <c r="N133" s="15">
        <v>71.42</v>
      </c>
      <c r="O133" s="17">
        <v>2</v>
      </c>
      <c r="AD133" s="15"/>
      <c r="AF133" s="1">
        <v>1</v>
      </c>
      <c r="AM133" s="15"/>
      <c r="AS133" s="15"/>
      <c r="AT133" s="15"/>
      <c r="AW133" s="15"/>
      <c r="AY133" s="15"/>
      <c r="AZ133" s="15"/>
      <c r="BM133" s="15"/>
      <c r="BR133" s="15"/>
      <c r="BT133" s="15"/>
      <c r="BU133" s="15"/>
      <c r="BY133" s="15"/>
      <c r="CS133" s="15"/>
      <c r="CT133" s="15"/>
      <c r="CY133" s="15"/>
      <c r="CZ133" s="15"/>
      <c r="DD133" s="15"/>
      <c r="DI133" s="1">
        <f t="shared" si="2"/>
        <v>1</v>
      </c>
      <c r="DJ133" s="1">
        <f t="shared" si="3"/>
        <v>1</v>
      </c>
    </row>
    <row r="134" spans="1:114" ht="15.75" customHeight="1" x14ac:dyDescent="0.35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5">
        <v>76.19</v>
      </c>
      <c r="O134" s="17">
        <v>3</v>
      </c>
      <c r="U134" s="1">
        <v>1</v>
      </c>
      <c r="Y134" s="1">
        <v>1</v>
      </c>
      <c r="AD134" s="15"/>
      <c r="AM134" s="15"/>
      <c r="AS134" s="15">
        <v>6</v>
      </c>
      <c r="AT134" s="15"/>
      <c r="AV134" s="1">
        <v>5</v>
      </c>
      <c r="AW134" s="15"/>
      <c r="AY134" s="15"/>
      <c r="AZ134" s="15"/>
      <c r="BM134" s="15"/>
      <c r="BR134" s="15"/>
      <c r="BT134" s="15"/>
      <c r="BU134" s="15"/>
      <c r="BY134" s="15"/>
      <c r="CS134" s="15"/>
      <c r="CT134" s="15"/>
      <c r="CY134" s="15"/>
      <c r="CZ134" s="15"/>
      <c r="DD134" s="15"/>
      <c r="DI134" s="1">
        <f t="shared" ref="DI134:DI197" si="4">COUNT(P134:DH134)</f>
        <v>4</v>
      </c>
      <c r="DJ134" s="1">
        <f t="shared" ref="DJ134:DJ197" si="5">SUM(P134:DH134)</f>
        <v>13</v>
      </c>
    </row>
    <row r="135" spans="1:114" ht="15.75" customHeight="1" x14ac:dyDescent="0.35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600</v>
      </c>
      <c r="N135" s="15">
        <v>95.24</v>
      </c>
      <c r="O135" s="17">
        <v>3</v>
      </c>
      <c r="Y135" s="1">
        <v>1</v>
      </c>
      <c r="AD135" s="15"/>
      <c r="AM135" s="15"/>
      <c r="AS135" s="15">
        <v>2</v>
      </c>
      <c r="AT135" s="15"/>
      <c r="AW135" s="15"/>
      <c r="AY135" s="15"/>
      <c r="AZ135" s="15"/>
      <c r="BM135" s="15"/>
      <c r="BN135" s="1">
        <v>2</v>
      </c>
      <c r="BP135" s="1">
        <v>2</v>
      </c>
      <c r="BR135" s="15"/>
      <c r="BT135" s="15"/>
      <c r="BU135" s="15"/>
      <c r="BY135" s="15"/>
      <c r="CS135" s="15"/>
      <c r="CT135" s="15"/>
      <c r="CY135" s="15"/>
      <c r="CZ135" s="15"/>
      <c r="DD135" s="15"/>
      <c r="DI135" s="1">
        <f t="shared" si="4"/>
        <v>4</v>
      </c>
      <c r="DJ135" s="1">
        <f t="shared" si="5"/>
        <v>7</v>
      </c>
    </row>
    <row r="136" spans="1:114" ht="15.75" customHeight="1" x14ac:dyDescent="0.35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>
        <v>600</v>
      </c>
      <c r="N136" s="15">
        <v>95.24</v>
      </c>
      <c r="O136" s="17">
        <v>3</v>
      </c>
      <c r="AD136" s="15"/>
      <c r="AM136" s="15"/>
      <c r="AS136" s="15"/>
      <c r="AT136" s="15"/>
      <c r="AW136" s="15"/>
      <c r="AY136" s="15"/>
      <c r="AZ136" s="15"/>
      <c r="BI136" s="1">
        <v>1</v>
      </c>
      <c r="BM136" s="15"/>
      <c r="BP136" s="1">
        <v>1</v>
      </c>
      <c r="BR136" s="15"/>
      <c r="BT136" s="15"/>
      <c r="BU136" s="15"/>
      <c r="BY136" s="15"/>
      <c r="CS136" s="15"/>
      <c r="CT136" s="15"/>
      <c r="CY136" s="15"/>
      <c r="CZ136" s="15"/>
      <c r="DD136" s="15"/>
      <c r="DI136" s="1">
        <f t="shared" si="4"/>
        <v>2</v>
      </c>
      <c r="DJ136" s="1">
        <f t="shared" si="5"/>
        <v>2</v>
      </c>
    </row>
    <row r="137" spans="1:114" ht="15.75" customHeight="1" x14ac:dyDescent="0.35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600</v>
      </c>
      <c r="N137" s="15">
        <v>95.24</v>
      </c>
      <c r="O137" s="17">
        <v>1</v>
      </c>
      <c r="Y137" s="1">
        <v>1</v>
      </c>
      <c r="AD137" s="15"/>
      <c r="AM137" s="15"/>
      <c r="AS137" s="15">
        <v>6</v>
      </c>
      <c r="AT137" s="15"/>
      <c r="AU137" s="1">
        <v>2</v>
      </c>
      <c r="AV137" s="1">
        <v>1</v>
      </c>
      <c r="AW137" s="15"/>
      <c r="AY137" s="15"/>
      <c r="AZ137" s="15"/>
      <c r="BM137" s="15"/>
      <c r="BN137" s="1">
        <v>5</v>
      </c>
      <c r="BR137" s="15"/>
      <c r="BT137" s="15"/>
      <c r="BU137" s="15"/>
      <c r="BY137" s="15"/>
      <c r="CS137" s="15"/>
      <c r="CT137" s="15"/>
      <c r="CY137" s="15"/>
      <c r="CZ137" s="15"/>
      <c r="DD137" s="15"/>
      <c r="DI137" s="1">
        <f t="shared" si="4"/>
        <v>5</v>
      </c>
      <c r="DJ137" s="1">
        <f t="shared" si="5"/>
        <v>15</v>
      </c>
    </row>
    <row r="138" spans="1:114" ht="15.75" customHeight="1" x14ac:dyDescent="0.35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>
        <v>600</v>
      </c>
      <c r="N138" s="15">
        <v>100</v>
      </c>
      <c r="O138" s="17">
        <v>1</v>
      </c>
      <c r="AD138" s="15"/>
      <c r="AM138" s="15"/>
      <c r="AS138" s="15"/>
      <c r="AT138" s="15"/>
      <c r="AW138" s="15"/>
      <c r="AY138" s="15"/>
      <c r="AZ138" s="15"/>
      <c r="BM138" s="15"/>
      <c r="BO138" s="1">
        <v>2</v>
      </c>
      <c r="BP138" s="1">
        <v>2</v>
      </c>
      <c r="BR138" s="15"/>
      <c r="BT138" s="15"/>
      <c r="BU138" s="15"/>
      <c r="BY138" s="15"/>
      <c r="CS138" s="15"/>
      <c r="CT138" s="15"/>
      <c r="CY138" s="15"/>
      <c r="CZ138" s="15"/>
      <c r="DD138" s="15"/>
      <c r="DI138" s="1">
        <f t="shared" si="4"/>
        <v>2</v>
      </c>
      <c r="DJ138" s="1">
        <f t="shared" si="5"/>
        <v>4</v>
      </c>
    </row>
    <row r="139" spans="1:114" ht="15.75" customHeight="1" x14ac:dyDescent="0.35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600</v>
      </c>
      <c r="N139" s="15">
        <v>100</v>
      </c>
      <c r="O139" s="17">
        <v>6</v>
      </c>
      <c r="R139" s="1">
        <v>1</v>
      </c>
      <c r="AD139" s="15"/>
      <c r="AM139" s="15"/>
      <c r="AQ139" s="1">
        <v>1</v>
      </c>
      <c r="AS139" s="15">
        <v>15</v>
      </c>
      <c r="AT139" s="15"/>
      <c r="AW139" s="15"/>
      <c r="AY139" s="15"/>
      <c r="AZ139" s="15">
        <v>1</v>
      </c>
      <c r="BM139" s="15"/>
      <c r="BR139" s="15"/>
      <c r="BT139" s="15"/>
      <c r="BU139" s="15"/>
      <c r="BV139" s="1">
        <v>1</v>
      </c>
      <c r="BY139" s="15"/>
      <c r="CR139" s="1">
        <v>1</v>
      </c>
      <c r="CS139" s="15"/>
      <c r="CT139" s="15"/>
      <c r="CU139" s="1">
        <v>1</v>
      </c>
      <c r="CW139" s="1">
        <v>1</v>
      </c>
      <c r="CY139" s="15">
        <v>1</v>
      </c>
      <c r="CZ139" s="15"/>
      <c r="DD139" s="15"/>
      <c r="DF139" s="1">
        <v>10</v>
      </c>
      <c r="DI139" s="1">
        <f t="shared" si="4"/>
        <v>10</v>
      </c>
      <c r="DJ139" s="1">
        <f t="shared" si="5"/>
        <v>33</v>
      </c>
    </row>
    <row r="140" spans="1:114" ht="15.75" customHeight="1" x14ac:dyDescent="0.35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5">
        <v>100</v>
      </c>
      <c r="O140" s="17">
        <v>6</v>
      </c>
      <c r="AD140" s="15"/>
      <c r="AM140" s="15"/>
      <c r="AS140" s="15"/>
      <c r="AT140" s="15"/>
      <c r="AW140" s="15"/>
      <c r="AY140" s="15"/>
      <c r="AZ140" s="15"/>
      <c r="BM140" s="15"/>
      <c r="BR140" s="15"/>
      <c r="BT140" s="15"/>
      <c r="BU140" s="15"/>
      <c r="BY140" s="15"/>
      <c r="CK140" s="1">
        <v>1</v>
      </c>
      <c r="CS140" s="15"/>
      <c r="CT140" s="15"/>
      <c r="CY140" s="15"/>
      <c r="CZ140" s="15"/>
      <c r="DD140" s="15"/>
      <c r="DI140" s="1">
        <f t="shared" si="4"/>
        <v>1</v>
      </c>
      <c r="DJ140" s="1">
        <f t="shared" si="5"/>
        <v>1</v>
      </c>
    </row>
    <row r="141" spans="1:114" ht="15.75" customHeight="1" x14ac:dyDescent="0.35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600</v>
      </c>
      <c r="N141" s="15">
        <v>95.24</v>
      </c>
      <c r="O141" s="17">
        <v>6</v>
      </c>
      <c r="P141" s="1">
        <v>1</v>
      </c>
      <c r="Y141" s="1">
        <v>1</v>
      </c>
      <c r="AD141" s="15"/>
      <c r="AM141" s="15"/>
      <c r="AS141" s="15"/>
      <c r="AT141" s="15"/>
      <c r="AW141" s="15"/>
      <c r="AY141" s="15">
        <v>1</v>
      </c>
      <c r="AZ141" s="15"/>
      <c r="BM141" s="15"/>
      <c r="BR141" s="15"/>
      <c r="BS141" s="1">
        <v>1</v>
      </c>
      <c r="BT141" s="15"/>
      <c r="BU141" s="15"/>
      <c r="BY141" s="15"/>
      <c r="CE141" s="1">
        <v>1</v>
      </c>
      <c r="CJ141" s="1">
        <v>1</v>
      </c>
      <c r="CS141" s="15"/>
      <c r="CT141" s="15"/>
      <c r="CY141" s="15"/>
      <c r="CZ141" s="15"/>
      <c r="DD141" s="15"/>
      <c r="DF141" s="1">
        <v>3</v>
      </c>
      <c r="DH141" s="1">
        <v>2</v>
      </c>
      <c r="DI141" s="1">
        <f t="shared" si="4"/>
        <v>8</v>
      </c>
      <c r="DJ141" s="1">
        <f t="shared" si="5"/>
        <v>11</v>
      </c>
    </row>
    <row r="142" spans="1:114" ht="15.75" customHeight="1" x14ac:dyDescent="0.35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>
        <v>600</v>
      </c>
      <c r="N142" s="15">
        <v>100</v>
      </c>
      <c r="O142" s="17">
        <v>6</v>
      </c>
      <c r="Q142" s="1">
        <v>1</v>
      </c>
      <c r="R142" s="1">
        <v>1</v>
      </c>
      <c r="V142" s="1">
        <v>1</v>
      </c>
      <c r="AD142" s="15"/>
      <c r="AH142" s="1">
        <v>1</v>
      </c>
      <c r="AM142" s="15"/>
      <c r="AS142" s="15"/>
      <c r="AT142" s="15"/>
      <c r="AW142" s="15"/>
      <c r="AY142" s="15"/>
      <c r="AZ142" s="15"/>
      <c r="BG142" s="1">
        <v>1</v>
      </c>
      <c r="BM142" s="15"/>
      <c r="BR142" s="15"/>
      <c r="BT142" s="15"/>
      <c r="BU142" s="15"/>
      <c r="BY142" s="15"/>
      <c r="CG142" s="1">
        <v>1</v>
      </c>
      <c r="CS142" s="15"/>
      <c r="CT142" s="15"/>
      <c r="CY142" s="15"/>
      <c r="CZ142" s="15"/>
      <c r="DD142" s="15"/>
      <c r="DI142" s="1">
        <f t="shared" si="4"/>
        <v>6</v>
      </c>
      <c r="DJ142" s="1">
        <f t="shared" si="5"/>
        <v>6</v>
      </c>
    </row>
    <row r="143" spans="1:114" ht="15.75" customHeight="1" x14ac:dyDescent="0.35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5"/>
      <c r="O143" s="17"/>
      <c r="AD143" s="15"/>
      <c r="AM143" s="15"/>
      <c r="AS143" s="15"/>
      <c r="AT143" s="15"/>
      <c r="AW143" s="15"/>
      <c r="AY143" s="15"/>
      <c r="AZ143" s="15"/>
      <c r="BM143" s="15"/>
      <c r="BR143" s="15"/>
      <c r="BT143" s="15"/>
      <c r="BU143" s="15"/>
      <c r="BY143" s="15"/>
      <c r="CS143" s="15"/>
      <c r="CT143" s="15"/>
      <c r="CY143" s="15"/>
      <c r="CZ143" s="15"/>
      <c r="DD143" s="15"/>
      <c r="DI143" s="1">
        <f t="shared" si="4"/>
        <v>0</v>
      </c>
      <c r="DJ143" s="1">
        <f t="shared" si="5"/>
        <v>0</v>
      </c>
    </row>
    <row r="144" spans="1:114" ht="15.75" customHeight="1" x14ac:dyDescent="0.35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5"/>
      <c r="O144" s="17"/>
      <c r="AD144" s="15"/>
      <c r="AM144" s="15"/>
      <c r="AS144" s="15"/>
      <c r="AT144" s="15"/>
      <c r="AW144" s="15"/>
      <c r="AY144" s="15"/>
      <c r="AZ144" s="15"/>
      <c r="BM144" s="15"/>
      <c r="BR144" s="15"/>
      <c r="BT144" s="15"/>
      <c r="BU144" s="15"/>
      <c r="BY144" s="15"/>
      <c r="CS144" s="15"/>
      <c r="CT144" s="15"/>
      <c r="CY144" s="15"/>
      <c r="CZ144" s="15"/>
      <c r="DD144" s="15"/>
      <c r="DI144" s="1">
        <f t="shared" si="4"/>
        <v>0</v>
      </c>
      <c r="DJ144" s="1">
        <f t="shared" si="5"/>
        <v>0</v>
      </c>
    </row>
    <row r="145" spans="1:114" ht="15.75" customHeight="1" x14ac:dyDescent="0.35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>
        <v>800</v>
      </c>
      <c r="N145" s="15">
        <v>100</v>
      </c>
      <c r="O145" s="17">
        <v>4</v>
      </c>
      <c r="AD145" s="15"/>
      <c r="AM145" s="15"/>
      <c r="AO145" s="1">
        <v>1</v>
      </c>
      <c r="AS145" s="15"/>
      <c r="AT145" s="15"/>
      <c r="AW145" s="15"/>
      <c r="AY145" s="15"/>
      <c r="AZ145" s="15"/>
      <c r="BJ145" s="1">
        <v>1</v>
      </c>
      <c r="BM145" s="15"/>
      <c r="BR145" s="15"/>
      <c r="BT145" s="15">
        <v>2</v>
      </c>
      <c r="BU145" s="15">
        <v>2</v>
      </c>
      <c r="BY145" s="15"/>
      <c r="CS145" s="15"/>
      <c r="CT145" s="15"/>
      <c r="CY145" s="15">
        <v>1</v>
      </c>
      <c r="CZ145" s="15"/>
      <c r="DB145" s="1">
        <v>2</v>
      </c>
      <c r="DD145" s="15">
        <v>1</v>
      </c>
      <c r="DE145" s="1">
        <v>1</v>
      </c>
      <c r="DI145" s="1">
        <f t="shared" si="4"/>
        <v>8</v>
      </c>
      <c r="DJ145" s="1">
        <f t="shared" si="5"/>
        <v>11</v>
      </c>
    </row>
    <row r="146" spans="1:114" ht="15.75" customHeight="1" x14ac:dyDescent="0.35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>
        <v>800</v>
      </c>
      <c r="N146" s="15">
        <v>100</v>
      </c>
      <c r="O146" s="17">
        <v>3</v>
      </c>
      <c r="AD146" s="15"/>
      <c r="AM146" s="15"/>
      <c r="AS146" s="15"/>
      <c r="AT146" s="15"/>
      <c r="AW146" s="15"/>
      <c r="AY146" s="15"/>
      <c r="AZ146" s="15">
        <v>1</v>
      </c>
      <c r="BD146" s="1">
        <v>1</v>
      </c>
      <c r="BM146" s="15"/>
      <c r="BR146" s="15"/>
      <c r="BT146" s="15"/>
      <c r="BU146" s="15">
        <v>3</v>
      </c>
      <c r="BY146" s="15"/>
      <c r="CG146" s="1">
        <v>1</v>
      </c>
      <c r="CS146" s="15"/>
      <c r="CT146" s="15"/>
      <c r="CU146" s="1">
        <v>1</v>
      </c>
      <c r="CW146" s="1">
        <v>1</v>
      </c>
      <c r="CY146" s="15"/>
      <c r="CZ146" s="15"/>
      <c r="DD146" s="15"/>
      <c r="DI146" s="1">
        <f t="shared" si="4"/>
        <v>6</v>
      </c>
      <c r="DJ146" s="1">
        <f t="shared" si="5"/>
        <v>8</v>
      </c>
    </row>
    <row r="147" spans="1:114" ht="15.75" customHeight="1" x14ac:dyDescent="0.35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5">
        <v>100</v>
      </c>
      <c r="O147" s="17">
        <v>3</v>
      </c>
      <c r="AD147" s="15"/>
      <c r="AM147" s="15"/>
      <c r="AS147" s="15"/>
      <c r="AT147" s="15"/>
      <c r="AW147" s="15"/>
      <c r="AY147" s="15"/>
      <c r="AZ147" s="15"/>
      <c r="BM147" s="15"/>
      <c r="BR147" s="15"/>
      <c r="BT147" s="15"/>
      <c r="BU147" s="15"/>
      <c r="BY147" s="15"/>
      <c r="CK147" s="1">
        <v>1</v>
      </c>
      <c r="CS147" s="15"/>
      <c r="CT147" s="15"/>
      <c r="CY147" s="15"/>
      <c r="CZ147" s="15"/>
      <c r="DD147" s="15"/>
      <c r="DI147" s="1">
        <f t="shared" si="4"/>
        <v>1</v>
      </c>
      <c r="DJ147" s="1">
        <f t="shared" si="5"/>
        <v>1</v>
      </c>
    </row>
    <row r="148" spans="1:114" ht="15.75" customHeight="1" x14ac:dyDescent="0.35">
      <c r="A148" s="15" t="s">
        <v>164</v>
      </c>
      <c r="B148" s="23" t="s">
        <v>179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400</v>
      </c>
      <c r="N148" s="15">
        <v>95.24</v>
      </c>
      <c r="O148" s="17">
        <v>5</v>
      </c>
      <c r="AD148" s="15"/>
      <c r="AF148" s="1">
        <v>1</v>
      </c>
      <c r="AM148" s="15"/>
      <c r="AN148" s="1">
        <v>1</v>
      </c>
      <c r="AS148" s="15"/>
      <c r="AT148" s="15"/>
      <c r="AW148" s="15"/>
      <c r="AY148" s="15"/>
      <c r="AZ148" s="15">
        <v>1</v>
      </c>
      <c r="BJ148" s="1">
        <v>1</v>
      </c>
      <c r="BM148" s="15"/>
      <c r="BR148" s="15"/>
      <c r="BT148" s="15">
        <v>1</v>
      </c>
      <c r="BU148" s="15"/>
      <c r="BY148" s="15">
        <v>1</v>
      </c>
      <c r="CJ148" s="1">
        <v>1</v>
      </c>
      <c r="CS148" s="15"/>
      <c r="CT148" s="15"/>
      <c r="CY148" s="15">
        <v>1</v>
      </c>
      <c r="CZ148" s="15"/>
      <c r="DD148" s="15"/>
      <c r="DI148" s="1">
        <f t="shared" si="4"/>
        <v>8</v>
      </c>
      <c r="DJ148" s="1">
        <f t="shared" si="5"/>
        <v>8</v>
      </c>
    </row>
    <row r="149" spans="1:114" ht="15.75" customHeight="1" x14ac:dyDescent="0.35">
      <c r="A149" s="15" t="s">
        <v>164</v>
      </c>
      <c r="B149" s="23" t="s">
        <v>179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5">
        <v>100</v>
      </c>
      <c r="O149" s="17">
        <v>5</v>
      </c>
      <c r="AD149" s="15"/>
      <c r="AM149" s="15"/>
      <c r="AS149" s="15"/>
      <c r="AT149" s="15"/>
      <c r="AW149" s="15"/>
      <c r="AY149" s="15"/>
      <c r="AZ149" s="15"/>
      <c r="BM149" s="15"/>
      <c r="BR149" s="15"/>
      <c r="BT149" s="15"/>
      <c r="BU149" s="15"/>
      <c r="BY149" s="15"/>
      <c r="CJ149" s="1">
        <v>1</v>
      </c>
      <c r="CS149" s="15"/>
      <c r="CT149" s="15"/>
      <c r="CY149" s="15"/>
      <c r="CZ149" s="15"/>
      <c r="DD149" s="15"/>
      <c r="DI149" s="1">
        <f t="shared" si="4"/>
        <v>1</v>
      </c>
      <c r="DJ149" s="1">
        <f t="shared" si="5"/>
        <v>1</v>
      </c>
    </row>
    <row r="150" spans="1:114" ht="15.75" customHeight="1" x14ac:dyDescent="0.35">
      <c r="A150" s="15" t="s">
        <v>164</v>
      </c>
      <c r="B150" s="23" t="s">
        <v>179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>
        <v>800</v>
      </c>
      <c r="N150" s="15">
        <v>100</v>
      </c>
      <c r="O150" s="17">
        <v>5</v>
      </c>
      <c r="AD150" s="15"/>
      <c r="AM150" s="15">
        <v>1</v>
      </c>
      <c r="AN150" s="1">
        <v>1</v>
      </c>
      <c r="AS150" s="15"/>
      <c r="AT150" s="15"/>
      <c r="AW150" s="15"/>
      <c r="AY150" s="15"/>
      <c r="AZ150" s="15">
        <v>1</v>
      </c>
      <c r="BD150" s="1">
        <v>1</v>
      </c>
      <c r="BM150" s="15"/>
      <c r="BR150" s="15"/>
      <c r="BT150" s="15">
        <v>1</v>
      </c>
      <c r="BU150" s="15"/>
      <c r="BY150" s="15"/>
      <c r="CG150" s="1">
        <v>1</v>
      </c>
      <c r="CI150" s="1">
        <v>1</v>
      </c>
      <c r="CS150" s="15"/>
      <c r="CT150" s="15"/>
      <c r="CV150" s="1">
        <v>1</v>
      </c>
      <c r="CY150" s="15"/>
      <c r="CZ150" s="15"/>
      <c r="DD150" s="15"/>
      <c r="DI150" s="1">
        <f t="shared" si="4"/>
        <v>8</v>
      </c>
      <c r="DJ150" s="1">
        <f t="shared" si="5"/>
        <v>8</v>
      </c>
    </row>
    <row r="151" spans="1:114" ht="15.75" customHeight="1" x14ac:dyDescent="0.35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700</v>
      </c>
      <c r="N151" s="15">
        <v>76.19</v>
      </c>
      <c r="O151" s="17">
        <v>5</v>
      </c>
      <c r="Q151" s="1">
        <v>1</v>
      </c>
      <c r="R151" s="1">
        <v>1</v>
      </c>
      <c r="AD151" s="15"/>
      <c r="AF151" s="1">
        <v>1</v>
      </c>
      <c r="AM151" s="15"/>
      <c r="AQ151" s="1">
        <v>1</v>
      </c>
      <c r="AS151" s="15"/>
      <c r="AT151" s="15"/>
      <c r="AW151" s="15"/>
      <c r="AY151" s="15"/>
      <c r="AZ151" s="15"/>
      <c r="BA151" s="1">
        <v>1</v>
      </c>
      <c r="BC151" s="1">
        <v>1</v>
      </c>
      <c r="BM151" s="15"/>
      <c r="BR151" s="15"/>
      <c r="BT151" s="15">
        <v>1</v>
      </c>
      <c r="BU151" s="15"/>
      <c r="BY151" s="15"/>
      <c r="CF151" s="1">
        <v>1</v>
      </c>
      <c r="CS151" s="15"/>
      <c r="CT151" s="15"/>
      <c r="CU151" s="1">
        <v>1</v>
      </c>
      <c r="CY151" s="15">
        <v>1</v>
      </c>
      <c r="CZ151" s="15"/>
      <c r="DD151" s="15"/>
      <c r="DI151" s="1">
        <f t="shared" si="4"/>
        <v>10</v>
      </c>
      <c r="DJ151" s="1">
        <f t="shared" si="5"/>
        <v>10</v>
      </c>
    </row>
    <row r="152" spans="1:114" ht="15.75" customHeight="1" x14ac:dyDescent="0.35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400</v>
      </c>
      <c r="N152" s="15">
        <v>100</v>
      </c>
      <c r="O152" s="17">
        <v>5</v>
      </c>
      <c r="AD152" s="15"/>
      <c r="AM152" s="15"/>
      <c r="AS152" s="15"/>
      <c r="AT152" s="15"/>
      <c r="AW152" s="15"/>
      <c r="AX152" s="1">
        <v>1</v>
      </c>
      <c r="AY152" s="15"/>
      <c r="AZ152" s="15"/>
      <c r="BC152" s="1">
        <v>1</v>
      </c>
      <c r="BM152" s="15"/>
      <c r="BR152" s="15"/>
      <c r="BT152" s="15"/>
      <c r="BU152" s="15"/>
      <c r="BY152" s="15"/>
      <c r="CI152" s="1">
        <v>1</v>
      </c>
      <c r="CS152" s="15"/>
      <c r="CT152" s="15"/>
      <c r="CV152" s="1">
        <v>1</v>
      </c>
      <c r="CY152" s="15">
        <v>1</v>
      </c>
      <c r="CZ152" s="15"/>
      <c r="DD152" s="15"/>
      <c r="DI152" s="1">
        <f t="shared" si="4"/>
        <v>5</v>
      </c>
      <c r="DJ152" s="1">
        <f t="shared" si="5"/>
        <v>5</v>
      </c>
    </row>
    <row r="153" spans="1:114" ht="15.75" customHeight="1" x14ac:dyDescent="0.35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5">
        <v>100</v>
      </c>
      <c r="O153" s="17">
        <v>3</v>
      </c>
      <c r="AD153" s="15"/>
      <c r="AM153" s="15"/>
      <c r="AS153" s="15"/>
      <c r="AT153" s="15"/>
      <c r="AW153" s="15"/>
      <c r="AY153" s="15"/>
      <c r="AZ153" s="15"/>
      <c r="BM153" s="15"/>
      <c r="BR153" s="15"/>
      <c r="BT153" s="15"/>
      <c r="BU153" s="15"/>
      <c r="BY153" s="15"/>
      <c r="CK153" s="1">
        <v>2</v>
      </c>
      <c r="CS153" s="15"/>
      <c r="CT153" s="15"/>
      <c r="CY153" s="15"/>
      <c r="CZ153" s="15"/>
      <c r="DD153" s="15"/>
      <c r="DI153" s="1">
        <f t="shared" si="4"/>
        <v>1</v>
      </c>
      <c r="DJ153" s="1">
        <f t="shared" si="5"/>
        <v>2</v>
      </c>
    </row>
    <row r="154" spans="1:114" ht="15.75" customHeight="1" x14ac:dyDescent="0.35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700</v>
      </c>
      <c r="N154" s="15">
        <v>95.24</v>
      </c>
      <c r="O154" s="17">
        <v>3</v>
      </c>
      <c r="AD154" s="15"/>
      <c r="AM154" s="15"/>
      <c r="AS154" s="15"/>
      <c r="AT154" s="15"/>
      <c r="AW154" s="15"/>
      <c r="AY154" s="15"/>
      <c r="AZ154" s="15">
        <v>1</v>
      </c>
      <c r="BM154" s="15"/>
      <c r="BR154" s="15"/>
      <c r="BT154" s="15"/>
      <c r="BU154" s="15"/>
      <c r="BY154" s="15"/>
      <c r="CS154" s="15"/>
      <c r="CT154" s="15"/>
      <c r="CY154" s="15"/>
      <c r="CZ154" s="15"/>
      <c r="DD154" s="15"/>
      <c r="DI154" s="1">
        <f t="shared" si="4"/>
        <v>1</v>
      </c>
      <c r="DJ154" s="1">
        <f t="shared" si="5"/>
        <v>1</v>
      </c>
    </row>
    <row r="155" spans="1:114" ht="15.75" customHeight="1" x14ac:dyDescent="0.35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400</v>
      </c>
      <c r="N155" s="15">
        <v>95.24</v>
      </c>
      <c r="O155" s="17">
        <v>3</v>
      </c>
      <c r="Y155" s="1">
        <v>1</v>
      </c>
      <c r="AD155" s="15"/>
      <c r="AM155" s="15"/>
      <c r="AS155" s="15"/>
      <c r="AT155" s="15"/>
      <c r="AW155" s="15"/>
      <c r="AY155" s="15"/>
      <c r="AZ155" s="15"/>
      <c r="BM155" s="15"/>
      <c r="BR155" s="15"/>
      <c r="BT155" s="15"/>
      <c r="BU155" s="15"/>
      <c r="BY155" s="15"/>
      <c r="CG155" s="1">
        <v>1</v>
      </c>
      <c r="CS155" s="15"/>
      <c r="CT155" s="15"/>
      <c r="CU155" s="1">
        <v>1</v>
      </c>
      <c r="CY155" s="15"/>
      <c r="CZ155" s="15"/>
      <c r="DD155" s="15"/>
      <c r="DI155" s="1">
        <f t="shared" si="4"/>
        <v>3</v>
      </c>
      <c r="DJ155" s="1">
        <f t="shared" si="5"/>
        <v>3</v>
      </c>
    </row>
    <row r="156" spans="1:114" ht="15.75" customHeight="1" x14ac:dyDescent="0.35">
      <c r="A156" s="15" t="s">
        <v>164</v>
      </c>
      <c r="B156" s="23" t="s">
        <v>182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5">
        <v>100</v>
      </c>
      <c r="O156" s="17">
        <v>3</v>
      </c>
      <c r="AD156" s="15"/>
      <c r="AM156" s="15"/>
      <c r="AS156" s="15"/>
      <c r="AT156" s="15"/>
      <c r="AW156" s="15"/>
      <c r="AY156" s="15"/>
      <c r="AZ156" s="15"/>
      <c r="BM156" s="15"/>
      <c r="BR156" s="15"/>
      <c r="BT156" s="15"/>
      <c r="BU156" s="15"/>
      <c r="BY156" s="15"/>
      <c r="CK156" s="1">
        <v>1</v>
      </c>
      <c r="CR156" s="1">
        <v>1</v>
      </c>
      <c r="CS156" s="15"/>
      <c r="CT156" s="15"/>
      <c r="CY156" s="15"/>
      <c r="CZ156" s="15"/>
      <c r="DD156" s="15"/>
      <c r="DI156" s="1">
        <f t="shared" si="4"/>
        <v>2</v>
      </c>
      <c r="DJ156" s="1">
        <f t="shared" si="5"/>
        <v>2</v>
      </c>
    </row>
    <row r="157" spans="1:114" s="44" customFormat="1" ht="15.75" customHeight="1" x14ac:dyDescent="0.35">
      <c r="A157" s="39" t="s">
        <v>164</v>
      </c>
      <c r="B157" s="40" t="s">
        <v>182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400</v>
      </c>
      <c r="N157" s="39">
        <v>100</v>
      </c>
      <c r="O157" s="43">
        <v>3</v>
      </c>
      <c r="AD157" s="39"/>
      <c r="AM157" s="39"/>
      <c r="AS157" s="39"/>
      <c r="AT157" s="39"/>
      <c r="AW157" s="39"/>
      <c r="AY157" s="39"/>
      <c r="AZ157" s="39">
        <v>1</v>
      </c>
      <c r="BM157" s="39"/>
      <c r="BN157" s="44">
        <v>4</v>
      </c>
      <c r="BP157" s="44">
        <v>1</v>
      </c>
      <c r="BR157" s="39"/>
      <c r="BT157" s="39">
        <v>1</v>
      </c>
      <c r="BU157" s="39"/>
      <c r="BY157" s="39"/>
      <c r="CG157" s="44">
        <v>1</v>
      </c>
      <c r="CJ157" s="44">
        <v>1</v>
      </c>
      <c r="CS157" s="39"/>
      <c r="CT157" s="39"/>
      <c r="CY157" s="39"/>
      <c r="CZ157" s="39"/>
      <c r="DD157" s="39"/>
      <c r="DI157" s="1">
        <f t="shared" si="4"/>
        <v>6</v>
      </c>
      <c r="DJ157" s="1">
        <f t="shared" si="5"/>
        <v>9</v>
      </c>
    </row>
    <row r="158" spans="1:114" ht="15.75" customHeight="1" x14ac:dyDescent="0.35">
      <c r="A158" s="15" t="s">
        <v>164</v>
      </c>
      <c r="B158" s="23" t="s">
        <v>182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>
        <v>700</v>
      </c>
      <c r="N158" s="15">
        <v>100</v>
      </c>
      <c r="O158" s="17">
        <v>3</v>
      </c>
      <c r="AD158" s="15"/>
      <c r="AM158" s="15"/>
      <c r="AS158" s="15"/>
      <c r="AT158" s="15"/>
      <c r="AW158" s="15"/>
      <c r="AY158" s="15"/>
      <c r="AZ158" s="15"/>
      <c r="BM158" s="15"/>
      <c r="BN158" s="1">
        <v>1</v>
      </c>
      <c r="BP158" s="1">
        <v>1</v>
      </c>
      <c r="BR158" s="15"/>
      <c r="BT158" s="15"/>
      <c r="BU158" s="15"/>
      <c r="BY158" s="15"/>
      <c r="CS158" s="15"/>
      <c r="CT158" s="15"/>
      <c r="CY158" s="15"/>
      <c r="CZ158" s="15"/>
      <c r="DD158" s="15"/>
      <c r="DI158" s="1">
        <f t="shared" si="4"/>
        <v>2</v>
      </c>
      <c r="DJ158" s="1">
        <f t="shared" si="5"/>
        <v>2</v>
      </c>
    </row>
    <row r="159" spans="1:114" ht="15.75" customHeight="1" x14ac:dyDescent="0.35">
      <c r="A159" s="15" t="s">
        <v>164</v>
      </c>
      <c r="B159" s="23" t="s">
        <v>184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400</v>
      </c>
      <c r="N159" s="15">
        <v>100</v>
      </c>
      <c r="O159" s="17">
        <v>2</v>
      </c>
      <c r="AD159" s="15"/>
      <c r="AM159" s="15"/>
      <c r="AS159" s="15"/>
      <c r="AT159" s="15"/>
      <c r="AW159" s="15"/>
      <c r="AY159" s="15"/>
      <c r="AZ159" s="15"/>
      <c r="BM159" s="15"/>
      <c r="BR159" s="15"/>
      <c r="BT159" s="15"/>
      <c r="BU159" s="15"/>
      <c r="BY159" s="15"/>
      <c r="CS159" s="15"/>
      <c r="CT159" s="15"/>
      <c r="CY159" s="15"/>
      <c r="CZ159" s="15"/>
      <c r="DD159" s="15"/>
      <c r="DI159" s="1">
        <f t="shared" si="4"/>
        <v>0</v>
      </c>
      <c r="DJ159" s="1">
        <f t="shared" si="5"/>
        <v>0</v>
      </c>
    </row>
    <row r="160" spans="1:114" ht="15.75" customHeight="1" x14ac:dyDescent="0.35">
      <c r="A160" s="15" t="s">
        <v>164</v>
      </c>
      <c r="B160" s="23" t="s">
        <v>184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5">
        <v>100</v>
      </c>
      <c r="O160" s="17">
        <v>2</v>
      </c>
      <c r="Z160" s="1">
        <v>1</v>
      </c>
      <c r="AD160" s="15"/>
      <c r="AM160" s="15"/>
      <c r="AS160" s="15"/>
      <c r="AT160" s="15"/>
      <c r="AW160" s="15"/>
      <c r="AY160" s="15"/>
      <c r="AZ160" s="15"/>
      <c r="BM160" s="15"/>
      <c r="BN160" s="1">
        <v>3</v>
      </c>
      <c r="BP160" s="1">
        <v>2</v>
      </c>
      <c r="BR160" s="15"/>
      <c r="BT160" s="15"/>
      <c r="BU160" s="15"/>
      <c r="BY160" s="15"/>
      <c r="CS160" s="15"/>
      <c r="CT160" s="15"/>
      <c r="CY160" s="15"/>
      <c r="CZ160" s="15"/>
      <c r="DD160" s="15"/>
      <c r="DI160" s="1">
        <f t="shared" si="4"/>
        <v>3</v>
      </c>
      <c r="DJ160" s="1">
        <f t="shared" si="5"/>
        <v>6</v>
      </c>
    </row>
    <row r="161" spans="1:114" ht="15.75" customHeight="1" x14ac:dyDescent="0.35">
      <c r="A161" s="15" t="s">
        <v>164</v>
      </c>
      <c r="B161" s="23" t="s">
        <v>184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>
        <v>700</v>
      </c>
      <c r="N161" s="15">
        <v>100</v>
      </c>
      <c r="O161" s="17">
        <v>2</v>
      </c>
      <c r="AD161" s="15"/>
      <c r="AK161" s="1">
        <v>1</v>
      </c>
      <c r="AM161" s="15"/>
      <c r="AS161" s="15"/>
      <c r="AT161" s="15"/>
      <c r="AW161" s="15"/>
      <c r="AY161" s="15"/>
      <c r="AZ161" s="15"/>
      <c r="BI161" s="1">
        <v>1</v>
      </c>
      <c r="BM161" s="15"/>
      <c r="BR161" s="15"/>
      <c r="BT161" s="15"/>
      <c r="BU161" s="15">
        <v>1</v>
      </c>
      <c r="BY161" s="15"/>
      <c r="CS161" s="15"/>
      <c r="CT161" s="15"/>
      <c r="CY161" s="15"/>
      <c r="CZ161" s="15"/>
      <c r="DD161" s="15"/>
      <c r="DI161" s="1">
        <f t="shared" si="4"/>
        <v>3</v>
      </c>
      <c r="DJ161" s="1">
        <f t="shared" si="5"/>
        <v>3</v>
      </c>
    </row>
    <row r="162" spans="1:114" ht="15.75" customHeight="1" x14ac:dyDescent="0.35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5">
        <v>100</v>
      </c>
      <c r="O162" s="17">
        <v>3</v>
      </c>
      <c r="AD162" s="15"/>
      <c r="AM162" s="15"/>
      <c r="AS162" s="15"/>
      <c r="AT162" s="15"/>
      <c r="AV162" s="1">
        <v>2</v>
      </c>
      <c r="AW162" s="15"/>
      <c r="AY162" s="15"/>
      <c r="AZ162" s="15"/>
      <c r="BM162" s="15"/>
      <c r="BN162" s="1">
        <v>3</v>
      </c>
      <c r="BP162" s="1">
        <v>3</v>
      </c>
      <c r="BR162" s="15"/>
      <c r="BT162" s="15"/>
      <c r="BU162" s="15"/>
      <c r="BY162" s="15"/>
      <c r="CE162" s="1">
        <v>1</v>
      </c>
      <c r="CS162" s="15"/>
      <c r="CT162" s="15"/>
      <c r="CV162" s="1">
        <v>1</v>
      </c>
      <c r="CY162" s="15"/>
      <c r="CZ162" s="15"/>
      <c r="DD162" s="15"/>
      <c r="DI162" s="1">
        <f t="shared" si="4"/>
        <v>5</v>
      </c>
      <c r="DJ162" s="1">
        <f t="shared" si="5"/>
        <v>10</v>
      </c>
    </row>
    <row r="163" spans="1:114" ht="15.75" customHeight="1" x14ac:dyDescent="0.35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400</v>
      </c>
      <c r="N163" s="15">
        <v>100</v>
      </c>
      <c r="O163" s="17">
        <v>3</v>
      </c>
      <c r="W163" s="1">
        <v>1</v>
      </c>
      <c r="Y163" s="1">
        <v>2</v>
      </c>
      <c r="Z163" s="1">
        <v>1</v>
      </c>
      <c r="AD163" s="15"/>
      <c r="AM163" s="15"/>
      <c r="AS163" s="15"/>
      <c r="AT163" s="15"/>
      <c r="AV163" s="1">
        <v>1</v>
      </c>
      <c r="AW163" s="15"/>
      <c r="AY163" s="15"/>
      <c r="AZ163" s="15"/>
      <c r="BM163" s="15"/>
      <c r="BR163" s="15"/>
      <c r="BT163" s="15"/>
      <c r="BU163" s="15"/>
      <c r="BY163" s="15"/>
      <c r="CS163" s="15"/>
      <c r="CT163" s="15"/>
      <c r="CY163" s="15"/>
      <c r="CZ163" s="15"/>
      <c r="DD163" s="15"/>
      <c r="DI163" s="1">
        <f t="shared" si="4"/>
        <v>4</v>
      </c>
      <c r="DJ163" s="1">
        <f t="shared" si="5"/>
        <v>5</v>
      </c>
    </row>
    <row r="164" spans="1:114" ht="15.75" customHeight="1" x14ac:dyDescent="0.35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5">
        <v>100</v>
      </c>
      <c r="O164" s="17">
        <v>1</v>
      </c>
      <c r="AD164" s="15"/>
      <c r="AM164" s="15"/>
      <c r="AS164" s="15"/>
      <c r="AT164" s="15"/>
      <c r="AV164" s="1">
        <v>1</v>
      </c>
      <c r="AW164" s="15"/>
      <c r="AY164" s="15"/>
      <c r="AZ164" s="15"/>
      <c r="BM164" s="15"/>
      <c r="BR164" s="15"/>
      <c r="BT164" s="15"/>
      <c r="BU164" s="15"/>
      <c r="BY164" s="15"/>
      <c r="CS164" s="15"/>
      <c r="CT164" s="15"/>
      <c r="CY164" s="15"/>
      <c r="CZ164" s="15"/>
      <c r="DD164" s="15"/>
      <c r="DI164" s="1">
        <f t="shared" si="4"/>
        <v>1</v>
      </c>
      <c r="DJ164" s="1">
        <f t="shared" si="5"/>
        <v>1</v>
      </c>
    </row>
    <row r="165" spans="1:114" ht="15.75" customHeight="1" x14ac:dyDescent="0.35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400</v>
      </c>
      <c r="N165" s="15">
        <v>76.19</v>
      </c>
      <c r="O165" s="17">
        <v>1</v>
      </c>
      <c r="AD165" s="15"/>
      <c r="AM165" s="15"/>
      <c r="AS165" s="15"/>
      <c r="AT165" s="15"/>
      <c r="AV165" s="1">
        <v>1</v>
      </c>
      <c r="AW165" s="15"/>
      <c r="AY165" s="15"/>
      <c r="AZ165" s="15"/>
      <c r="BM165" s="15"/>
      <c r="BN165" s="1">
        <v>3</v>
      </c>
      <c r="BR165" s="15"/>
      <c r="BT165" s="15"/>
      <c r="BU165" s="15"/>
      <c r="BY165" s="15"/>
      <c r="CS165" s="15"/>
      <c r="CT165" s="15"/>
      <c r="CY165" s="15"/>
      <c r="CZ165" s="15"/>
      <c r="DD165" s="15"/>
      <c r="DI165" s="1">
        <f t="shared" si="4"/>
        <v>2</v>
      </c>
      <c r="DJ165" s="1">
        <f t="shared" si="5"/>
        <v>4</v>
      </c>
    </row>
    <row r="166" spans="1:114" ht="15.75" customHeight="1" x14ac:dyDescent="0.35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5">
        <v>100</v>
      </c>
      <c r="O166" s="17">
        <v>6</v>
      </c>
      <c r="R166" s="1">
        <v>1</v>
      </c>
      <c r="AD166" s="15"/>
      <c r="AM166" s="15"/>
      <c r="AS166" s="15"/>
      <c r="AT166" s="15"/>
      <c r="AW166" s="15"/>
      <c r="AY166" s="15"/>
      <c r="AZ166" s="15"/>
      <c r="BM166" s="15"/>
      <c r="BR166" s="15"/>
      <c r="BT166" s="15"/>
      <c r="BU166" s="15"/>
      <c r="BY166" s="15"/>
      <c r="CJ166" s="1">
        <v>1</v>
      </c>
      <c r="CK166" s="1">
        <v>1</v>
      </c>
      <c r="CR166" s="1">
        <v>1</v>
      </c>
      <c r="CS166" s="15"/>
      <c r="CT166" s="15"/>
      <c r="CU166" s="1">
        <v>1</v>
      </c>
      <c r="CY166" s="15"/>
      <c r="CZ166" s="15"/>
      <c r="DD166" s="15"/>
      <c r="DI166" s="1">
        <f t="shared" si="4"/>
        <v>5</v>
      </c>
      <c r="DJ166" s="1">
        <f t="shared" si="5"/>
        <v>5</v>
      </c>
    </row>
    <row r="167" spans="1:114" ht="15.75" customHeight="1" x14ac:dyDescent="0.35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5">
        <v>100</v>
      </c>
      <c r="O167" s="17">
        <v>6</v>
      </c>
      <c r="AD167" s="15"/>
      <c r="AM167" s="15"/>
      <c r="AS167" s="15"/>
      <c r="AT167" s="15"/>
      <c r="AW167" s="15"/>
      <c r="AY167" s="15"/>
      <c r="AZ167" s="15">
        <v>1</v>
      </c>
      <c r="BM167" s="15"/>
      <c r="BR167" s="15"/>
      <c r="BT167" s="15"/>
      <c r="BU167" s="15"/>
      <c r="BY167" s="15"/>
      <c r="CJ167" s="1">
        <v>1</v>
      </c>
      <c r="CS167" s="15"/>
      <c r="CT167" s="15"/>
      <c r="CY167" s="15"/>
      <c r="CZ167" s="15"/>
      <c r="DD167" s="15"/>
      <c r="DH167" s="1">
        <v>1</v>
      </c>
      <c r="DI167" s="1">
        <f t="shared" si="4"/>
        <v>3</v>
      </c>
      <c r="DJ167" s="1">
        <f t="shared" si="5"/>
        <v>3</v>
      </c>
    </row>
    <row r="168" spans="1:114" ht="15.75" customHeight="1" x14ac:dyDescent="0.35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400</v>
      </c>
      <c r="N168" s="15">
        <v>76.19</v>
      </c>
      <c r="O168" s="17">
        <v>6</v>
      </c>
      <c r="AD168" s="15"/>
      <c r="AM168" s="15"/>
      <c r="AS168" s="15"/>
      <c r="AT168" s="15"/>
      <c r="AW168" s="15"/>
      <c r="AY168" s="15"/>
      <c r="AZ168" s="15"/>
      <c r="BM168" s="15"/>
      <c r="BR168" s="15"/>
      <c r="BT168" s="15"/>
      <c r="BU168" s="15"/>
      <c r="BY168" s="15"/>
      <c r="CS168" s="15"/>
      <c r="CT168" s="15"/>
      <c r="CY168" s="15"/>
      <c r="CZ168" s="15"/>
      <c r="DD168" s="15"/>
      <c r="DI168" s="1">
        <f t="shared" si="4"/>
        <v>0</v>
      </c>
      <c r="DJ168" s="1">
        <f t="shared" si="5"/>
        <v>0</v>
      </c>
    </row>
    <row r="169" spans="1:114" ht="15.75" customHeight="1" x14ac:dyDescent="0.35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5"/>
      <c r="O169" s="17"/>
      <c r="AD169" s="15"/>
      <c r="AM169" s="15"/>
      <c r="AS169" s="15"/>
      <c r="AT169" s="15"/>
      <c r="AW169" s="15"/>
      <c r="AY169" s="15"/>
      <c r="AZ169" s="15"/>
      <c r="BM169" s="15"/>
      <c r="BR169" s="15"/>
      <c r="BT169" s="15"/>
      <c r="BU169" s="15"/>
      <c r="BY169" s="15"/>
      <c r="CS169" s="15"/>
      <c r="CT169" s="15"/>
      <c r="CY169" s="15"/>
      <c r="CZ169" s="15"/>
      <c r="DD169" s="15"/>
      <c r="DI169" s="1">
        <f t="shared" si="4"/>
        <v>0</v>
      </c>
      <c r="DJ169" s="1">
        <f t="shared" si="5"/>
        <v>0</v>
      </c>
    </row>
    <row r="170" spans="1:114" ht="15.75" customHeight="1" x14ac:dyDescent="0.35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400</v>
      </c>
      <c r="N170" s="15">
        <v>95.24</v>
      </c>
      <c r="O170" s="17">
        <v>4</v>
      </c>
      <c r="AD170" s="15">
        <v>1</v>
      </c>
      <c r="AF170" s="1">
        <v>1</v>
      </c>
      <c r="AM170" s="15"/>
      <c r="AS170" s="15"/>
      <c r="AT170" s="15"/>
      <c r="AW170" s="15"/>
      <c r="AY170" s="15"/>
      <c r="AZ170" s="15"/>
      <c r="BJ170" s="1">
        <v>1</v>
      </c>
      <c r="BM170" s="15">
        <v>1</v>
      </c>
      <c r="BR170" s="15"/>
      <c r="BT170" s="15"/>
      <c r="BU170" s="15">
        <v>2</v>
      </c>
      <c r="BY170" s="15"/>
      <c r="CN170" s="1">
        <v>5</v>
      </c>
      <c r="CS170" s="15"/>
      <c r="CT170" s="15"/>
      <c r="CY170" s="15"/>
      <c r="CZ170" s="15"/>
      <c r="DD170" s="15"/>
      <c r="DI170" s="1">
        <f t="shared" si="4"/>
        <v>6</v>
      </c>
      <c r="DJ170" s="1">
        <f t="shared" si="5"/>
        <v>11</v>
      </c>
    </row>
    <row r="171" spans="1:114" ht="15.75" customHeight="1" x14ac:dyDescent="0.35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5">
        <v>100</v>
      </c>
      <c r="O171" s="17">
        <v>4</v>
      </c>
      <c r="AD171" s="15"/>
      <c r="AM171" s="15"/>
      <c r="AS171" s="15"/>
      <c r="AT171" s="15"/>
      <c r="AW171" s="15"/>
      <c r="AY171" s="15"/>
      <c r="AZ171" s="15"/>
      <c r="BM171" s="15"/>
      <c r="BR171" s="15"/>
      <c r="BT171" s="15"/>
      <c r="BU171" s="15"/>
      <c r="BY171" s="15"/>
      <c r="CS171" s="15"/>
      <c r="CT171" s="15"/>
      <c r="CY171" s="15"/>
      <c r="CZ171" s="15"/>
      <c r="DD171" s="15"/>
      <c r="DE171" s="1">
        <v>2</v>
      </c>
      <c r="DI171" s="1">
        <f t="shared" si="4"/>
        <v>1</v>
      </c>
      <c r="DJ171" s="1">
        <f t="shared" si="5"/>
        <v>2</v>
      </c>
    </row>
    <row r="172" spans="1:114" ht="15.75" customHeight="1" x14ac:dyDescent="0.35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400</v>
      </c>
      <c r="N172" s="15">
        <v>95.24</v>
      </c>
      <c r="O172" s="17">
        <v>3</v>
      </c>
      <c r="AD172" s="15">
        <v>1</v>
      </c>
      <c r="AF172" s="1">
        <v>1</v>
      </c>
      <c r="AM172" s="15"/>
      <c r="AS172" s="15"/>
      <c r="AT172" s="15"/>
      <c r="AW172" s="15"/>
      <c r="AY172" s="15"/>
      <c r="AZ172" s="15">
        <v>1</v>
      </c>
      <c r="BA172" s="1">
        <v>1</v>
      </c>
      <c r="BJ172" s="1">
        <v>1</v>
      </c>
      <c r="BM172" s="15">
        <v>2</v>
      </c>
      <c r="BR172" s="15"/>
      <c r="BT172" s="15">
        <v>1</v>
      </c>
      <c r="BU172" s="15"/>
      <c r="BW172" s="1">
        <v>1</v>
      </c>
      <c r="BY172" s="15">
        <v>1</v>
      </c>
      <c r="CB172" s="1">
        <v>1</v>
      </c>
      <c r="CD172" s="1">
        <v>2</v>
      </c>
      <c r="CG172" s="1">
        <v>1</v>
      </c>
      <c r="CJ172" s="1">
        <v>1</v>
      </c>
      <c r="CN172" s="1">
        <v>3</v>
      </c>
      <c r="CS172" s="15"/>
      <c r="CT172" s="15"/>
      <c r="CU172" s="1">
        <v>1</v>
      </c>
      <c r="CY172" s="15">
        <v>1</v>
      </c>
      <c r="CZ172" s="15"/>
      <c r="DD172" s="15"/>
      <c r="DE172" s="1">
        <v>4</v>
      </c>
      <c r="DI172" s="1">
        <f t="shared" si="4"/>
        <v>17</v>
      </c>
      <c r="DJ172" s="1">
        <f t="shared" si="5"/>
        <v>24</v>
      </c>
    </row>
    <row r="173" spans="1:114" ht="15.75" customHeight="1" x14ac:dyDescent="0.35">
      <c r="A173" s="15" t="s">
        <v>168</v>
      </c>
      <c r="B173" s="15" t="s">
        <v>179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5">
        <v>100</v>
      </c>
      <c r="O173" s="17">
        <v>5</v>
      </c>
      <c r="AD173" s="15"/>
      <c r="AM173" s="15"/>
      <c r="AS173" s="15"/>
      <c r="AT173" s="15"/>
      <c r="AW173" s="15"/>
      <c r="AY173" s="15"/>
      <c r="AZ173" s="15"/>
      <c r="BM173" s="15"/>
      <c r="BR173" s="15"/>
      <c r="BT173" s="15"/>
      <c r="BU173" s="15"/>
      <c r="BY173" s="15"/>
      <c r="CK173" s="1">
        <v>1</v>
      </c>
      <c r="CS173" s="15"/>
      <c r="CT173" s="15"/>
      <c r="CY173" s="15"/>
      <c r="CZ173" s="15"/>
      <c r="DD173" s="15"/>
      <c r="DI173" s="1">
        <f t="shared" si="4"/>
        <v>1</v>
      </c>
      <c r="DJ173" s="1">
        <f t="shared" si="5"/>
        <v>1</v>
      </c>
    </row>
    <row r="174" spans="1:114" ht="15.75" customHeight="1" x14ac:dyDescent="0.35">
      <c r="A174" s="15" t="s">
        <v>168</v>
      </c>
      <c r="B174" s="15" t="s">
        <v>179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400</v>
      </c>
      <c r="N174" s="15">
        <v>100</v>
      </c>
      <c r="O174" s="17">
        <v>5</v>
      </c>
      <c r="AD174" s="15">
        <v>1</v>
      </c>
      <c r="AF174" s="1">
        <v>1</v>
      </c>
      <c r="AM174" s="15"/>
      <c r="AN174" s="1">
        <v>1</v>
      </c>
      <c r="AS174" s="15"/>
      <c r="AT174" s="15"/>
      <c r="AW174" s="15"/>
      <c r="AY174" s="15"/>
      <c r="AZ174" s="15"/>
      <c r="BA174" s="1">
        <v>1</v>
      </c>
      <c r="BB174" s="1">
        <v>1</v>
      </c>
      <c r="BJ174" s="1">
        <v>1</v>
      </c>
      <c r="BM174" s="15"/>
      <c r="BR174" s="15"/>
      <c r="BT174" s="15"/>
      <c r="BU174" s="15"/>
      <c r="BY174" s="15"/>
      <c r="CG174" s="1">
        <v>1</v>
      </c>
      <c r="CS174" s="15"/>
      <c r="CT174" s="15"/>
      <c r="CU174" s="1">
        <v>1</v>
      </c>
      <c r="CV174" s="1">
        <v>1</v>
      </c>
      <c r="CY174" s="15"/>
      <c r="CZ174" s="15"/>
      <c r="DA174" s="1">
        <v>1</v>
      </c>
      <c r="DD174" s="15"/>
      <c r="DH174" s="1">
        <v>1</v>
      </c>
      <c r="DI174" s="1">
        <f t="shared" si="4"/>
        <v>11</v>
      </c>
      <c r="DJ174" s="1">
        <f t="shared" si="5"/>
        <v>11</v>
      </c>
    </row>
    <row r="175" spans="1:114" ht="15.75" customHeight="1" x14ac:dyDescent="0.35">
      <c r="A175" s="15" t="s">
        <v>168</v>
      </c>
      <c r="B175" s="15" t="s">
        <v>179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>
        <v>400</v>
      </c>
      <c r="N175" s="15">
        <v>52.38</v>
      </c>
      <c r="O175" s="17">
        <v>5</v>
      </c>
      <c r="AD175" s="15"/>
      <c r="AF175" s="1">
        <v>1</v>
      </c>
      <c r="AM175" s="15"/>
      <c r="AS175" s="15"/>
      <c r="AT175" s="15"/>
      <c r="AW175" s="15"/>
      <c r="AY175" s="15"/>
      <c r="AZ175" s="15">
        <v>1</v>
      </c>
      <c r="BM175" s="15"/>
      <c r="BR175" s="15"/>
      <c r="BT175" s="15"/>
      <c r="BU175" s="15"/>
      <c r="BY175" s="15"/>
      <c r="CS175" s="15"/>
      <c r="CT175" s="15"/>
      <c r="CY175" s="15"/>
      <c r="CZ175" s="15"/>
      <c r="DD175" s="15"/>
      <c r="DI175" s="1">
        <f t="shared" si="4"/>
        <v>2</v>
      </c>
      <c r="DJ175" s="1">
        <f t="shared" si="5"/>
        <v>2</v>
      </c>
    </row>
    <row r="176" spans="1:114" ht="15.75" customHeight="1" x14ac:dyDescent="0.35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5">
        <v>100</v>
      </c>
      <c r="O176" s="17">
        <v>5</v>
      </c>
      <c r="AD176" s="15"/>
      <c r="AF176" s="1">
        <v>1</v>
      </c>
      <c r="AM176" s="15"/>
      <c r="AS176" s="15"/>
      <c r="AT176" s="15"/>
      <c r="AW176" s="15"/>
      <c r="AY176" s="15"/>
      <c r="AZ176" s="15">
        <v>1</v>
      </c>
      <c r="BJ176" s="1">
        <v>1</v>
      </c>
      <c r="BM176" s="15"/>
      <c r="BR176" s="15"/>
      <c r="BT176" s="15"/>
      <c r="BU176" s="15"/>
      <c r="BY176" s="15"/>
      <c r="CF176" s="1">
        <v>1</v>
      </c>
      <c r="CS176" s="15"/>
      <c r="CT176" s="15"/>
      <c r="CY176" s="15">
        <v>1</v>
      </c>
      <c r="CZ176" s="15"/>
      <c r="DD176" s="15"/>
      <c r="DE176" s="1">
        <v>3</v>
      </c>
      <c r="DI176" s="1">
        <f t="shared" si="4"/>
        <v>6</v>
      </c>
      <c r="DJ176" s="1">
        <f t="shared" si="5"/>
        <v>8</v>
      </c>
    </row>
    <row r="177" spans="1:114" ht="15.75" customHeight="1" x14ac:dyDescent="0.35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400</v>
      </c>
      <c r="N177" s="15">
        <v>100</v>
      </c>
      <c r="O177" s="17">
        <v>5</v>
      </c>
      <c r="AD177" s="15"/>
      <c r="AM177" s="15">
        <v>1</v>
      </c>
      <c r="AS177" s="15"/>
      <c r="AT177" s="15"/>
      <c r="AW177" s="15"/>
      <c r="AY177" s="15"/>
      <c r="AZ177" s="15"/>
      <c r="BA177" s="1">
        <v>1</v>
      </c>
      <c r="BJ177" s="1">
        <v>1</v>
      </c>
      <c r="BM177" s="15"/>
      <c r="BR177" s="15"/>
      <c r="BT177" s="15">
        <v>1</v>
      </c>
      <c r="BU177" s="15"/>
      <c r="BY177" s="15"/>
      <c r="CG177" s="1">
        <v>1</v>
      </c>
      <c r="CI177" s="1">
        <v>1</v>
      </c>
      <c r="CS177" s="15"/>
      <c r="CT177" s="15"/>
      <c r="CU177" s="1">
        <v>1</v>
      </c>
      <c r="CY177" s="15"/>
      <c r="CZ177" s="15"/>
      <c r="DA177" s="1">
        <v>1</v>
      </c>
      <c r="DB177" s="1">
        <v>1</v>
      </c>
      <c r="DD177" s="15"/>
      <c r="DI177" s="1">
        <f t="shared" si="4"/>
        <v>9</v>
      </c>
      <c r="DJ177" s="1">
        <f t="shared" si="5"/>
        <v>9</v>
      </c>
    </row>
    <row r="178" spans="1:114" ht="15.75" customHeight="1" x14ac:dyDescent="0.35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">
        <v>400</v>
      </c>
      <c r="N178" s="1">
        <v>52.38</v>
      </c>
      <c r="O178" s="2">
        <v>5</v>
      </c>
      <c r="DI178" s="1">
        <f t="shared" si="4"/>
        <v>0</v>
      </c>
      <c r="DJ178" s="1">
        <f t="shared" si="5"/>
        <v>0</v>
      </c>
    </row>
    <row r="179" spans="1:114" ht="15.75" customHeight="1" x14ac:dyDescent="0.35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1">
        <v>100</v>
      </c>
      <c r="O179" s="2">
        <v>3</v>
      </c>
      <c r="X179" s="1">
        <v>1</v>
      </c>
      <c r="AZ179" s="1">
        <v>1</v>
      </c>
      <c r="BF179" s="1">
        <v>1</v>
      </c>
      <c r="BJ179" s="1">
        <v>1</v>
      </c>
      <c r="DI179" s="1">
        <f t="shared" si="4"/>
        <v>4</v>
      </c>
      <c r="DJ179" s="1">
        <f t="shared" si="5"/>
        <v>4</v>
      </c>
    </row>
    <row r="180" spans="1:114" ht="15.75" customHeight="1" x14ac:dyDescent="0.35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400</v>
      </c>
      <c r="N180" s="1">
        <v>100</v>
      </c>
      <c r="O180" s="2">
        <v>3</v>
      </c>
      <c r="AZ180" s="1">
        <v>1</v>
      </c>
      <c r="CK180" s="1">
        <v>1</v>
      </c>
      <c r="CY180" s="1">
        <v>1</v>
      </c>
      <c r="DI180" s="1">
        <f t="shared" si="4"/>
        <v>3</v>
      </c>
      <c r="DJ180" s="1">
        <f t="shared" si="5"/>
        <v>3</v>
      </c>
    </row>
    <row r="181" spans="1:114" ht="15.75" customHeight="1" x14ac:dyDescent="0.35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M181" s="1">
        <v>400</v>
      </c>
      <c r="N181" s="1">
        <v>47.62</v>
      </c>
      <c r="O181" s="2">
        <v>3</v>
      </c>
      <c r="AZ181" s="1">
        <v>1</v>
      </c>
      <c r="CU181" s="1">
        <v>1</v>
      </c>
      <c r="CY181" s="1">
        <v>2</v>
      </c>
      <c r="DI181" s="1">
        <f t="shared" si="4"/>
        <v>3</v>
      </c>
      <c r="DJ181" s="1">
        <f t="shared" si="5"/>
        <v>4</v>
      </c>
    </row>
    <row r="182" spans="1:114" ht="15.75" customHeight="1" x14ac:dyDescent="0.35">
      <c r="A182" s="15" t="s">
        <v>168</v>
      </c>
      <c r="B182" s="1" t="s">
        <v>182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400</v>
      </c>
      <c r="N182" s="1">
        <v>100</v>
      </c>
      <c r="O182" s="2">
        <v>3</v>
      </c>
      <c r="AV182" s="1">
        <v>1</v>
      </c>
      <c r="AZ182" s="1">
        <v>1</v>
      </c>
      <c r="BJ182" s="1">
        <v>1</v>
      </c>
      <c r="BN182" s="1">
        <v>1</v>
      </c>
      <c r="BT182" s="1">
        <v>1</v>
      </c>
      <c r="CK182" s="1">
        <v>1</v>
      </c>
      <c r="DD182" s="1">
        <v>1</v>
      </c>
      <c r="DI182" s="1">
        <f t="shared" si="4"/>
        <v>7</v>
      </c>
      <c r="DJ182" s="1">
        <f t="shared" si="5"/>
        <v>7</v>
      </c>
    </row>
    <row r="183" spans="1:114" ht="15.75" customHeight="1" x14ac:dyDescent="0.35">
      <c r="A183" s="15" t="s">
        <v>168</v>
      </c>
      <c r="B183" s="1" t="s">
        <v>182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M183" s="1">
        <v>400</v>
      </c>
      <c r="N183" s="1">
        <v>100</v>
      </c>
      <c r="O183" s="2">
        <v>3</v>
      </c>
      <c r="CB183" s="1">
        <v>1</v>
      </c>
      <c r="DD183" s="1">
        <v>1</v>
      </c>
      <c r="DI183" s="1">
        <f t="shared" si="4"/>
        <v>2</v>
      </c>
      <c r="DJ183" s="1">
        <f t="shared" si="5"/>
        <v>2</v>
      </c>
    </row>
    <row r="184" spans="1:114" ht="15.75" customHeight="1" x14ac:dyDescent="0.35">
      <c r="A184" s="15" t="s">
        <v>168</v>
      </c>
      <c r="B184" s="1" t="s">
        <v>184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400</v>
      </c>
      <c r="N184" s="1">
        <v>100</v>
      </c>
      <c r="O184" s="2">
        <v>2</v>
      </c>
      <c r="CB184" s="1">
        <v>1</v>
      </c>
      <c r="DI184" s="1">
        <f t="shared" si="4"/>
        <v>1</v>
      </c>
      <c r="DJ184" s="1">
        <f t="shared" si="5"/>
        <v>1</v>
      </c>
    </row>
    <row r="185" spans="1:114" ht="15.75" customHeight="1" x14ac:dyDescent="0.35">
      <c r="A185" s="15" t="s">
        <v>168</v>
      </c>
      <c r="B185" s="1" t="s">
        <v>184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M185" s="1">
        <v>400</v>
      </c>
      <c r="N185" s="1">
        <v>100</v>
      </c>
      <c r="O185" s="2">
        <v>2</v>
      </c>
      <c r="BI185" s="1">
        <v>1</v>
      </c>
      <c r="BU185" s="1">
        <v>4</v>
      </c>
      <c r="DI185" s="1">
        <f t="shared" si="4"/>
        <v>2</v>
      </c>
      <c r="DJ185" s="1">
        <f t="shared" si="5"/>
        <v>5</v>
      </c>
    </row>
    <row r="186" spans="1:114" ht="15.75" customHeight="1" x14ac:dyDescent="0.35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1">
        <v>100</v>
      </c>
      <c r="O186" s="2">
        <v>3</v>
      </c>
      <c r="AM186" s="1">
        <v>1</v>
      </c>
      <c r="AZ186" s="1">
        <v>1</v>
      </c>
      <c r="BO186" s="1">
        <v>1</v>
      </c>
      <c r="CJ186" s="1">
        <v>1</v>
      </c>
      <c r="CK186" s="1">
        <v>2</v>
      </c>
      <c r="DF186" s="1">
        <v>3</v>
      </c>
      <c r="DH186" s="1">
        <v>1</v>
      </c>
      <c r="DI186" s="1">
        <f t="shared" si="4"/>
        <v>7</v>
      </c>
      <c r="DJ186" s="1">
        <f t="shared" si="5"/>
        <v>10</v>
      </c>
    </row>
    <row r="187" spans="1:114" ht="15.75" customHeight="1" x14ac:dyDescent="0.35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400</v>
      </c>
      <c r="N187" s="1">
        <v>100</v>
      </c>
      <c r="O187" s="2">
        <v>3</v>
      </c>
      <c r="Y187" s="1">
        <v>1</v>
      </c>
      <c r="AZ187" s="1">
        <v>1</v>
      </c>
      <c r="CK187" s="1">
        <v>1</v>
      </c>
      <c r="DA187" s="1">
        <v>1</v>
      </c>
      <c r="DI187" s="1">
        <f t="shared" si="4"/>
        <v>4</v>
      </c>
      <c r="DJ187" s="1">
        <f t="shared" si="5"/>
        <v>4</v>
      </c>
    </row>
    <row r="188" spans="1:114" ht="15.75" customHeight="1" x14ac:dyDescent="0.35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M188" s="1">
        <v>400</v>
      </c>
      <c r="N188" s="1">
        <v>100</v>
      </c>
      <c r="O188" s="2">
        <v>3</v>
      </c>
      <c r="T188" s="1">
        <v>2</v>
      </c>
      <c r="AZ188" s="1">
        <v>1</v>
      </c>
      <c r="DI188" s="1">
        <f t="shared" si="4"/>
        <v>2</v>
      </c>
      <c r="DJ188" s="1">
        <f t="shared" si="5"/>
        <v>3</v>
      </c>
    </row>
    <row r="189" spans="1:114" ht="15.75" customHeight="1" x14ac:dyDescent="0.35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400</v>
      </c>
      <c r="N189" s="1">
        <v>100</v>
      </c>
      <c r="O189" s="2">
        <v>1</v>
      </c>
      <c r="U189" s="1">
        <v>1</v>
      </c>
      <c r="BN189" s="1">
        <v>3</v>
      </c>
      <c r="DI189" s="1">
        <f t="shared" si="4"/>
        <v>2</v>
      </c>
      <c r="DJ189" s="1">
        <f t="shared" si="5"/>
        <v>4</v>
      </c>
    </row>
    <row r="190" spans="1:114" ht="15.75" customHeight="1" x14ac:dyDescent="0.35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M190" s="1">
        <v>400</v>
      </c>
      <c r="N190" s="1">
        <v>100</v>
      </c>
      <c r="O190" s="2">
        <v>1</v>
      </c>
      <c r="DI190" s="1">
        <f t="shared" si="4"/>
        <v>0</v>
      </c>
      <c r="DJ190" s="1">
        <f t="shared" si="5"/>
        <v>0</v>
      </c>
    </row>
    <row r="191" spans="1:114" ht="15.75" customHeight="1" x14ac:dyDescent="0.35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400</v>
      </c>
      <c r="N191" s="1">
        <v>76.19</v>
      </c>
      <c r="O191" s="2">
        <v>6</v>
      </c>
      <c r="CA191" s="1">
        <v>1</v>
      </c>
      <c r="CG191" s="1">
        <v>1</v>
      </c>
      <c r="DF191" s="1">
        <v>2</v>
      </c>
      <c r="DH191" s="1">
        <v>1</v>
      </c>
      <c r="DI191" s="1">
        <f t="shared" si="4"/>
        <v>4</v>
      </c>
      <c r="DJ191" s="1">
        <f t="shared" si="5"/>
        <v>5</v>
      </c>
    </row>
    <row r="192" spans="1:114" ht="15.75" customHeight="1" x14ac:dyDescent="0.35">
      <c r="I192" s="46"/>
      <c r="DI192" s="1">
        <f t="shared" si="4"/>
        <v>0</v>
      </c>
      <c r="DJ192" s="1">
        <f t="shared" si="5"/>
        <v>0</v>
      </c>
    </row>
    <row r="193" spans="1:114" ht="15.75" customHeight="1" x14ac:dyDescent="0.35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1">
        <v>100</v>
      </c>
      <c r="O193" s="2">
        <v>4</v>
      </c>
      <c r="S193" s="1">
        <v>3</v>
      </c>
      <c r="AG193" s="1">
        <v>1</v>
      </c>
      <c r="AW193" s="1">
        <v>1</v>
      </c>
      <c r="AZ193" s="1">
        <v>1</v>
      </c>
      <c r="BB193" s="1">
        <v>1</v>
      </c>
      <c r="BC193" s="1">
        <v>1</v>
      </c>
      <c r="BM193" s="1">
        <v>1</v>
      </c>
      <c r="BZ193" s="1">
        <v>1</v>
      </c>
      <c r="CJ193" s="1">
        <v>1</v>
      </c>
      <c r="CK193" s="1">
        <v>1</v>
      </c>
      <c r="CX193" s="1">
        <v>1</v>
      </c>
      <c r="DC193" s="1">
        <v>5</v>
      </c>
      <c r="DI193" s="1">
        <f t="shared" si="4"/>
        <v>12</v>
      </c>
      <c r="DJ193" s="1">
        <f t="shared" si="5"/>
        <v>18</v>
      </c>
    </row>
    <row r="194" spans="1:114" ht="15.75" customHeight="1" x14ac:dyDescent="0.35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1">
        <v>100</v>
      </c>
      <c r="O194" s="2">
        <v>3</v>
      </c>
      <c r="AF194" s="1">
        <v>1</v>
      </c>
      <c r="AY194" s="1">
        <v>1</v>
      </c>
      <c r="AZ194" s="1">
        <v>1</v>
      </c>
      <c r="BM194" s="1">
        <v>1</v>
      </c>
      <c r="CI194" s="1">
        <v>1</v>
      </c>
      <c r="DI194" s="1">
        <f t="shared" si="4"/>
        <v>5</v>
      </c>
      <c r="DJ194" s="1">
        <f t="shared" si="5"/>
        <v>5</v>
      </c>
    </row>
    <row r="195" spans="1:114" ht="15.75" customHeight="1" x14ac:dyDescent="0.35">
      <c r="A195" s="1" t="s">
        <v>172</v>
      </c>
      <c r="B195" s="1" t="s">
        <v>179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550</v>
      </c>
      <c r="N195" s="1">
        <v>100</v>
      </c>
      <c r="O195" s="2">
        <v>5</v>
      </c>
      <c r="AF195" s="1">
        <v>1</v>
      </c>
      <c r="AZ195" s="1">
        <v>2</v>
      </c>
      <c r="BA195" s="1">
        <v>1</v>
      </c>
      <c r="BC195" s="1">
        <v>1</v>
      </c>
      <c r="BJ195" s="1">
        <v>1</v>
      </c>
      <c r="BT195" s="1">
        <v>1</v>
      </c>
      <c r="CJ195" s="1">
        <v>3</v>
      </c>
      <c r="DI195" s="1">
        <f t="shared" si="4"/>
        <v>7</v>
      </c>
      <c r="DJ195" s="1">
        <f t="shared" si="5"/>
        <v>10</v>
      </c>
    </row>
    <row r="196" spans="1:114" ht="15.75" customHeight="1" x14ac:dyDescent="0.35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N196" s="1">
        <v>100</v>
      </c>
      <c r="O196" s="2">
        <v>5</v>
      </c>
      <c r="AF196" s="1">
        <v>1</v>
      </c>
      <c r="AZ196" s="1">
        <v>1</v>
      </c>
      <c r="BA196" s="1">
        <v>1</v>
      </c>
      <c r="BM196" s="1">
        <v>1</v>
      </c>
      <c r="CI196" s="1">
        <v>1</v>
      </c>
      <c r="CJ196" s="1">
        <v>1</v>
      </c>
      <c r="CU196" s="1">
        <v>1</v>
      </c>
      <c r="CW196" s="1">
        <v>1</v>
      </c>
      <c r="CY196" s="1">
        <v>1</v>
      </c>
      <c r="DI196" s="1">
        <f t="shared" si="4"/>
        <v>9</v>
      </c>
      <c r="DJ196" s="1">
        <f t="shared" si="5"/>
        <v>9</v>
      </c>
    </row>
    <row r="197" spans="1:114" ht="15.75" customHeight="1" x14ac:dyDescent="0.35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550</v>
      </c>
      <c r="N197" s="1">
        <v>100</v>
      </c>
      <c r="O197" s="2">
        <v>3</v>
      </c>
      <c r="AF197" s="1">
        <v>1</v>
      </c>
      <c r="AZ197" s="1">
        <v>1</v>
      </c>
      <c r="CH197" s="1">
        <v>1</v>
      </c>
      <c r="CY197" s="1">
        <v>1</v>
      </c>
      <c r="DI197" s="1">
        <f t="shared" si="4"/>
        <v>4</v>
      </c>
      <c r="DJ197" s="1">
        <f t="shared" si="5"/>
        <v>4</v>
      </c>
    </row>
    <row r="198" spans="1:114" ht="15.75" customHeight="1" x14ac:dyDescent="0.35">
      <c r="A198" s="1" t="s">
        <v>172</v>
      </c>
      <c r="B198" s="1" t="s">
        <v>182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550</v>
      </c>
      <c r="N198" s="1">
        <v>100</v>
      </c>
      <c r="O198" s="2">
        <v>3</v>
      </c>
      <c r="AF198" s="1">
        <v>1</v>
      </c>
      <c r="AZ198" s="1">
        <v>1</v>
      </c>
      <c r="BJ198" s="1">
        <v>1</v>
      </c>
      <c r="BN198" s="1">
        <v>1</v>
      </c>
      <c r="BT198" s="1">
        <v>3</v>
      </c>
      <c r="BU198" s="1">
        <v>3</v>
      </c>
      <c r="BY198" s="1">
        <v>2</v>
      </c>
      <c r="CJ198" s="1">
        <v>1</v>
      </c>
      <c r="CK198" s="1">
        <v>1</v>
      </c>
      <c r="CY198" s="1">
        <v>2</v>
      </c>
      <c r="DI198" s="1">
        <f t="shared" ref="DI198:DI202" si="6">COUNT(P198:DH198)</f>
        <v>10</v>
      </c>
      <c r="DJ198" s="1">
        <f t="shared" ref="DJ198:DJ202" si="7">SUM(P198:DH198)</f>
        <v>16</v>
      </c>
    </row>
    <row r="199" spans="1:114" ht="15.75" customHeight="1" x14ac:dyDescent="0.35">
      <c r="A199" s="1" t="s">
        <v>172</v>
      </c>
      <c r="B199" s="1" t="s">
        <v>184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550</v>
      </c>
      <c r="N199" s="1">
        <v>100</v>
      </c>
      <c r="O199" s="2">
        <v>2</v>
      </c>
      <c r="AV199" s="1">
        <v>1</v>
      </c>
      <c r="CA199" s="1">
        <v>1</v>
      </c>
      <c r="DA199" s="1">
        <v>1</v>
      </c>
      <c r="DI199" s="1">
        <f t="shared" si="6"/>
        <v>3</v>
      </c>
      <c r="DJ199" s="1">
        <f t="shared" si="7"/>
        <v>3</v>
      </c>
    </row>
    <row r="200" spans="1:114" ht="15.75" customHeight="1" x14ac:dyDescent="0.35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1">
        <v>100</v>
      </c>
      <c r="O200" s="2">
        <v>3</v>
      </c>
      <c r="U200" s="1">
        <v>1</v>
      </c>
      <c r="X200" s="1">
        <v>1</v>
      </c>
      <c r="Z200" s="1">
        <v>1</v>
      </c>
      <c r="AZ200" s="1">
        <v>1</v>
      </c>
      <c r="BO200" s="1">
        <v>1</v>
      </c>
      <c r="BS200" s="1">
        <v>2</v>
      </c>
      <c r="CE200" s="1">
        <v>1</v>
      </c>
      <c r="CJ200" s="1">
        <v>1</v>
      </c>
      <c r="DI200" s="1">
        <f t="shared" si="6"/>
        <v>8</v>
      </c>
      <c r="DJ200" s="1">
        <f t="shared" si="7"/>
        <v>9</v>
      </c>
    </row>
    <row r="201" spans="1:114" ht="15.75" customHeight="1" x14ac:dyDescent="0.35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1">
        <v>100</v>
      </c>
      <c r="O201" s="2">
        <v>3</v>
      </c>
      <c r="Y201" s="1">
        <v>1</v>
      </c>
      <c r="AZ201" s="1">
        <v>1</v>
      </c>
      <c r="CE201" s="1">
        <v>1</v>
      </c>
      <c r="CY201" s="1">
        <v>1</v>
      </c>
      <c r="DI201" s="1">
        <f t="shared" si="6"/>
        <v>4</v>
      </c>
      <c r="DJ201" s="1">
        <f t="shared" si="7"/>
        <v>4</v>
      </c>
    </row>
    <row r="202" spans="1:114" ht="15.75" customHeight="1" x14ac:dyDescent="0.35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1">
        <v>100</v>
      </c>
      <c r="O202" s="2">
        <v>6</v>
      </c>
      <c r="AS202" s="1">
        <v>5</v>
      </c>
      <c r="AZ202" s="1">
        <v>1</v>
      </c>
      <c r="BG202" s="1">
        <v>2</v>
      </c>
      <c r="BO202" s="1">
        <v>2</v>
      </c>
      <c r="BP202" s="1">
        <v>3</v>
      </c>
      <c r="BS202" s="1">
        <v>2</v>
      </c>
      <c r="CE202" s="1" t="s">
        <v>173</v>
      </c>
      <c r="CU202" s="1">
        <v>1</v>
      </c>
      <c r="CZ202" s="1">
        <v>1</v>
      </c>
      <c r="DH202" s="1">
        <v>2</v>
      </c>
      <c r="DI202" s="1">
        <f t="shared" si="6"/>
        <v>9</v>
      </c>
      <c r="DJ202" s="1">
        <f t="shared" si="7"/>
        <v>19</v>
      </c>
    </row>
    <row r="203" spans="1:114" ht="15.75" customHeight="1" x14ac:dyDescent="0.35">
      <c r="I203" s="46"/>
    </row>
    <row r="204" spans="1:114" ht="15.75" customHeight="1" x14ac:dyDescent="0.35">
      <c r="I204" s="46"/>
    </row>
    <row r="205" spans="1:114" ht="15.75" customHeight="1" x14ac:dyDescent="0.35">
      <c r="I205" s="46"/>
    </row>
    <row r="206" spans="1:114" ht="15.75" customHeight="1" x14ac:dyDescent="0.35">
      <c r="I206" s="46"/>
    </row>
    <row r="207" spans="1:114" ht="15.75" customHeight="1" x14ac:dyDescent="0.35">
      <c r="I207" s="46"/>
    </row>
    <row r="208" spans="1:114" ht="15.75" customHeight="1" x14ac:dyDescent="0.35">
      <c r="I208" s="46"/>
    </row>
    <row r="209" spans="9:9" ht="15.75" customHeight="1" x14ac:dyDescent="0.35">
      <c r="I209" s="46"/>
    </row>
    <row r="210" spans="9:9" ht="15.75" customHeight="1" x14ac:dyDescent="0.35">
      <c r="I210" s="46"/>
    </row>
    <row r="211" spans="9:9" ht="15.75" customHeight="1" x14ac:dyDescent="0.35">
      <c r="I211" s="46"/>
    </row>
    <row r="212" spans="9:9" ht="15.75" customHeight="1" x14ac:dyDescent="0.35">
      <c r="I212" s="46"/>
    </row>
    <row r="213" spans="9:9" ht="15.75" customHeight="1" x14ac:dyDescent="0.35">
      <c r="I213" s="46"/>
    </row>
    <row r="214" spans="9:9" ht="15.75" customHeight="1" x14ac:dyDescent="0.35">
      <c r="I214" s="46"/>
    </row>
    <row r="215" spans="9:9" ht="15.75" customHeight="1" x14ac:dyDescent="0.35">
      <c r="I215" s="46"/>
    </row>
    <row r="216" spans="9:9" ht="15.75" customHeight="1" x14ac:dyDescent="0.35">
      <c r="I216" s="46"/>
    </row>
    <row r="217" spans="9:9" ht="15.75" customHeight="1" x14ac:dyDescent="0.35">
      <c r="I217" s="46"/>
    </row>
    <row r="218" spans="9:9" ht="15.75" customHeight="1" x14ac:dyDescent="0.35">
      <c r="I218" s="46"/>
    </row>
    <row r="219" spans="9:9" ht="15.75" customHeight="1" x14ac:dyDescent="0.35">
      <c r="I219" s="46"/>
    </row>
    <row r="220" spans="9:9" ht="15.75" customHeight="1" x14ac:dyDescent="0.35">
      <c r="I220" s="46"/>
    </row>
    <row r="221" spans="9:9" ht="15.75" customHeight="1" x14ac:dyDescent="0.35">
      <c r="I221" s="46"/>
    </row>
    <row r="222" spans="9:9" ht="15.75" customHeight="1" x14ac:dyDescent="0.35">
      <c r="I222" s="46"/>
    </row>
    <row r="223" spans="9:9" ht="15.75" customHeight="1" x14ac:dyDescent="0.35">
      <c r="I223" s="46"/>
    </row>
    <row r="224" spans="9:9" ht="15.75" customHeight="1" x14ac:dyDescent="0.35">
      <c r="I224" s="46"/>
    </row>
    <row r="225" spans="9:9" ht="15.75" customHeight="1" x14ac:dyDescent="0.35">
      <c r="I225" s="46"/>
    </row>
    <row r="226" spans="9:9" ht="15.75" customHeight="1" x14ac:dyDescent="0.35">
      <c r="I226" s="46"/>
    </row>
    <row r="227" spans="9:9" ht="15.75" customHeight="1" x14ac:dyDescent="0.35">
      <c r="I227" s="46"/>
    </row>
    <row r="228" spans="9:9" ht="15.75" customHeight="1" x14ac:dyDescent="0.35">
      <c r="I228" s="46"/>
    </row>
    <row r="229" spans="9:9" ht="15.75" customHeight="1" x14ac:dyDescent="0.35">
      <c r="I229" s="46"/>
    </row>
    <row r="230" spans="9:9" ht="15.75" customHeight="1" x14ac:dyDescent="0.35">
      <c r="I230" s="46"/>
    </row>
    <row r="231" spans="9:9" ht="15.75" customHeight="1" x14ac:dyDescent="0.35">
      <c r="I231" s="46"/>
    </row>
    <row r="232" spans="9:9" ht="15.75" customHeight="1" x14ac:dyDescent="0.35">
      <c r="I232" s="46"/>
    </row>
    <row r="233" spans="9:9" ht="15.75" customHeight="1" x14ac:dyDescent="0.35">
      <c r="I233" s="46"/>
    </row>
    <row r="234" spans="9:9" ht="15.75" customHeight="1" x14ac:dyDescent="0.35">
      <c r="I234" s="46"/>
    </row>
    <row r="235" spans="9:9" ht="15.75" customHeight="1" x14ac:dyDescent="0.35">
      <c r="I235" s="46"/>
    </row>
    <row r="236" spans="9:9" ht="15.75" customHeight="1" x14ac:dyDescent="0.35">
      <c r="I236" s="46"/>
    </row>
    <row r="237" spans="9:9" ht="15.75" customHeight="1" x14ac:dyDescent="0.35">
      <c r="I237" s="46"/>
    </row>
    <row r="238" spans="9:9" ht="15.75" customHeight="1" x14ac:dyDescent="0.35">
      <c r="I238" s="46"/>
    </row>
    <row r="239" spans="9:9" ht="15.75" customHeight="1" x14ac:dyDescent="0.35">
      <c r="I239" s="46"/>
    </row>
    <row r="240" spans="9:9" ht="15.75" customHeight="1" x14ac:dyDescent="0.35">
      <c r="I240" s="46"/>
    </row>
    <row r="241" spans="9:9" ht="15.75" customHeight="1" x14ac:dyDescent="0.35">
      <c r="I241" s="46"/>
    </row>
    <row r="242" spans="9:9" ht="15.75" customHeight="1" x14ac:dyDescent="0.35">
      <c r="I242" s="46"/>
    </row>
    <row r="243" spans="9:9" ht="15.75" customHeight="1" x14ac:dyDescent="0.35">
      <c r="I243" s="46"/>
    </row>
    <row r="244" spans="9:9" ht="15.75" customHeight="1" x14ac:dyDescent="0.35">
      <c r="I244" s="46"/>
    </row>
    <row r="245" spans="9:9" ht="15.75" customHeight="1" x14ac:dyDescent="0.35">
      <c r="I245" s="46"/>
    </row>
    <row r="246" spans="9:9" ht="15.75" customHeight="1" x14ac:dyDescent="0.35">
      <c r="I246" s="46"/>
    </row>
    <row r="247" spans="9:9" ht="15.75" customHeight="1" x14ac:dyDescent="0.35">
      <c r="I247" s="46"/>
    </row>
    <row r="248" spans="9:9" ht="15.75" customHeight="1" x14ac:dyDescent="0.35">
      <c r="I248" s="46"/>
    </row>
    <row r="249" spans="9:9" ht="15.75" customHeight="1" x14ac:dyDescent="0.35">
      <c r="I249" s="46"/>
    </row>
    <row r="250" spans="9:9" ht="15.75" customHeight="1" x14ac:dyDescent="0.35">
      <c r="I250" s="46"/>
    </row>
    <row r="251" spans="9:9" ht="15.75" customHeight="1" x14ac:dyDescent="0.35">
      <c r="I251" s="46"/>
    </row>
    <row r="252" spans="9:9" ht="15.75" customHeight="1" x14ac:dyDescent="0.35">
      <c r="I252" s="46"/>
    </row>
    <row r="253" spans="9:9" ht="15.75" customHeight="1" x14ac:dyDescent="0.35">
      <c r="I253" s="46"/>
    </row>
    <row r="254" spans="9:9" ht="15.75" customHeight="1" x14ac:dyDescent="0.35">
      <c r="I254" s="46"/>
    </row>
    <row r="255" spans="9:9" ht="15.75" customHeight="1" x14ac:dyDescent="0.35">
      <c r="I255" s="46"/>
    </row>
    <row r="256" spans="9:9" ht="15.75" customHeight="1" x14ac:dyDescent="0.35">
      <c r="I256" s="46"/>
    </row>
    <row r="257" spans="9:9" ht="15.75" customHeight="1" x14ac:dyDescent="0.35">
      <c r="I257" s="46"/>
    </row>
    <row r="258" spans="9:9" ht="15.75" customHeight="1" x14ac:dyDescent="0.35">
      <c r="I258" s="46"/>
    </row>
    <row r="259" spans="9:9" ht="15.75" customHeight="1" x14ac:dyDescent="0.35">
      <c r="I259" s="46"/>
    </row>
    <row r="260" spans="9:9" ht="15.75" customHeight="1" x14ac:dyDescent="0.35">
      <c r="I260" s="46"/>
    </row>
    <row r="261" spans="9:9" ht="15.75" customHeight="1" x14ac:dyDescent="0.35">
      <c r="I261" s="46"/>
    </row>
    <row r="262" spans="9:9" ht="15.75" customHeight="1" x14ac:dyDescent="0.35">
      <c r="I262" s="46"/>
    </row>
    <row r="263" spans="9:9" ht="15.75" customHeight="1" x14ac:dyDescent="0.35">
      <c r="I263" s="46"/>
    </row>
    <row r="264" spans="9:9" ht="15.75" customHeight="1" x14ac:dyDescent="0.35">
      <c r="I264" s="46"/>
    </row>
    <row r="265" spans="9:9" ht="15.75" customHeight="1" x14ac:dyDescent="0.35">
      <c r="I265" s="46"/>
    </row>
    <row r="266" spans="9:9" ht="15.75" customHeight="1" x14ac:dyDescent="0.35">
      <c r="I266" s="46"/>
    </row>
    <row r="267" spans="9:9" ht="15.75" customHeight="1" x14ac:dyDescent="0.35">
      <c r="I267" s="46"/>
    </row>
    <row r="268" spans="9:9" ht="15.75" customHeight="1" x14ac:dyDescent="0.35">
      <c r="I268" s="46"/>
    </row>
    <row r="269" spans="9:9" ht="15.75" customHeight="1" x14ac:dyDescent="0.35">
      <c r="I269" s="46"/>
    </row>
    <row r="270" spans="9:9" ht="15.75" customHeight="1" x14ac:dyDescent="0.35">
      <c r="I270" s="46"/>
    </row>
    <row r="271" spans="9:9" ht="15.75" customHeight="1" x14ac:dyDescent="0.35">
      <c r="I271" s="46"/>
    </row>
    <row r="272" spans="9:9" ht="15.75" customHeight="1" x14ac:dyDescent="0.35">
      <c r="I272" s="46"/>
    </row>
    <row r="273" spans="9:9" ht="15.75" customHeight="1" x14ac:dyDescent="0.35">
      <c r="I273" s="46"/>
    </row>
    <row r="274" spans="9:9" ht="15.75" customHeight="1" x14ac:dyDescent="0.35">
      <c r="I274" s="46"/>
    </row>
    <row r="275" spans="9:9" ht="15.75" customHeight="1" x14ac:dyDescent="0.35"/>
    <row r="276" spans="9:9" ht="15.75" customHeight="1" x14ac:dyDescent="0.35"/>
    <row r="277" spans="9:9" ht="15.75" customHeight="1" x14ac:dyDescent="0.35"/>
    <row r="278" spans="9:9" ht="15.75" customHeight="1" x14ac:dyDescent="0.35"/>
    <row r="279" spans="9:9" ht="15.75" customHeight="1" x14ac:dyDescent="0.35"/>
    <row r="280" spans="9:9" ht="15.75" customHeight="1" x14ac:dyDescent="0.35"/>
    <row r="281" spans="9:9" ht="15.75" customHeight="1" x14ac:dyDescent="0.35"/>
    <row r="282" spans="9:9" ht="15.75" customHeight="1" x14ac:dyDescent="0.35"/>
    <row r="283" spans="9:9" ht="15.75" customHeight="1" x14ac:dyDescent="0.35"/>
    <row r="284" spans="9:9" ht="15.75" customHeight="1" x14ac:dyDescent="0.35"/>
    <row r="285" spans="9:9" ht="15.75" customHeight="1" x14ac:dyDescent="0.35"/>
    <row r="286" spans="9:9" ht="15.75" customHeight="1" x14ac:dyDescent="0.35"/>
    <row r="287" spans="9:9" ht="15.75" customHeight="1" x14ac:dyDescent="0.35"/>
    <row r="288" spans="9:9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2"/>
  <sheetViews>
    <sheetView topLeftCell="A15" zoomScale="86" workbookViewId="0">
      <selection activeCell="A2" sqref="A2:O2"/>
    </sheetView>
  </sheetViews>
  <sheetFormatPr defaultColWidth="12.7265625" defaultRowHeight="14.5" x14ac:dyDescent="0.35"/>
  <cols>
    <col min="1" max="1" width="7.26953125" style="1" customWidth="1"/>
    <col min="2" max="2" width="14.7265625" style="1" customWidth="1"/>
    <col min="3" max="3" width="10.7265625" style="2" customWidth="1"/>
    <col min="4" max="5" width="3.26953125" style="1" hidden="1" customWidth="1"/>
    <col min="6" max="6" width="6.453125" style="1" customWidth="1"/>
    <col min="7" max="7" width="8" style="1" customWidth="1"/>
    <col min="8" max="8" width="6.1796875" style="1" customWidth="1"/>
    <col min="9" max="9" width="6" style="1" customWidth="1"/>
    <col min="10" max="10" width="10" style="1" customWidth="1"/>
    <col min="11" max="11" width="7.54296875" style="1" customWidth="1"/>
    <col min="12" max="12" width="8.26953125" style="1" customWidth="1"/>
    <col min="13" max="13" width="11.453125" style="2" customWidth="1"/>
    <col min="14" max="16384" width="12.7265625" style="1"/>
  </cols>
  <sheetData>
    <row r="1" spans="1:15" ht="15" hidden="1" customHeight="1" x14ac:dyDescent="0.35">
      <c r="M1" s="3"/>
    </row>
    <row r="2" spans="1:15" ht="237" x14ac:dyDescent="0.35">
      <c r="A2" s="6" t="s">
        <v>7</v>
      </c>
      <c r="B2" s="6" t="s">
        <v>8</v>
      </c>
      <c r="C2" s="7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8" t="s">
        <v>21</v>
      </c>
      <c r="N2" s="1" t="s">
        <v>174</v>
      </c>
      <c r="O2" s="1" t="s">
        <v>175</v>
      </c>
    </row>
    <row r="3" spans="1:15" ht="15.75" customHeight="1" x14ac:dyDescent="0.35">
      <c r="A3" s="15" t="s">
        <v>119</v>
      </c>
      <c r="B3" s="16" t="s">
        <v>177</v>
      </c>
      <c r="C3" s="17">
        <v>28</v>
      </c>
      <c r="D3" s="15"/>
      <c r="E3" s="15"/>
      <c r="F3" s="15">
        <v>78</v>
      </c>
      <c r="G3" s="18">
        <v>1.915</v>
      </c>
      <c r="H3" s="15">
        <v>23.8</v>
      </c>
      <c r="I3" s="15">
        <v>0.8</v>
      </c>
      <c r="J3" s="15"/>
      <c r="K3" s="18"/>
      <c r="L3" s="15"/>
      <c r="M3" s="17">
        <v>3</v>
      </c>
      <c r="N3" s="1">
        <v>7</v>
      </c>
      <c r="O3" s="1">
        <v>14</v>
      </c>
    </row>
    <row r="4" spans="1:15" ht="15.75" customHeight="1" x14ac:dyDescent="0.35">
      <c r="A4" s="15" t="s">
        <v>119</v>
      </c>
      <c r="B4" s="16" t="s">
        <v>179</v>
      </c>
      <c r="C4" s="17">
        <v>9</v>
      </c>
      <c r="D4" s="15"/>
      <c r="E4" s="15"/>
      <c r="F4" s="20">
        <v>80</v>
      </c>
      <c r="G4" s="18">
        <v>0.4</v>
      </c>
      <c r="H4" s="15">
        <v>32</v>
      </c>
      <c r="I4" s="15">
        <v>0</v>
      </c>
      <c r="J4" s="15"/>
      <c r="K4" s="18"/>
      <c r="L4" s="15"/>
      <c r="M4" s="17">
        <v>5</v>
      </c>
      <c r="N4" s="1">
        <v>3</v>
      </c>
      <c r="O4" s="1">
        <v>3</v>
      </c>
    </row>
    <row r="5" spans="1:15" ht="15.75" customHeight="1" x14ac:dyDescent="0.35">
      <c r="A5" s="15" t="s">
        <v>119</v>
      </c>
      <c r="B5" s="16" t="s">
        <v>179</v>
      </c>
      <c r="C5" s="17">
        <v>22</v>
      </c>
      <c r="D5" s="15"/>
      <c r="E5" s="15"/>
      <c r="F5" s="20">
        <v>80</v>
      </c>
      <c r="G5" s="18">
        <v>0.52</v>
      </c>
      <c r="H5" s="15">
        <v>33</v>
      </c>
      <c r="I5" s="15">
        <v>0</v>
      </c>
      <c r="J5" s="15"/>
      <c r="K5" s="18"/>
      <c r="L5" s="15"/>
      <c r="M5" s="17">
        <v>5</v>
      </c>
      <c r="N5" s="1">
        <v>1</v>
      </c>
      <c r="O5" s="1">
        <v>1</v>
      </c>
    </row>
    <row r="6" spans="1:15" ht="15.75" customHeight="1" x14ac:dyDescent="0.35">
      <c r="A6" s="15" t="s">
        <v>119</v>
      </c>
      <c r="B6" s="16" t="s">
        <v>179</v>
      </c>
      <c r="C6" s="17">
        <v>25</v>
      </c>
      <c r="D6" s="15"/>
      <c r="E6" s="15"/>
      <c r="F6" s="20">
        <v>80</v>
      </c>
      <c r="G6" s="18">
        <v>0.4</v>
      </c>
      <c r="H6" s="15">
        <v>36</v>
      </c>
      <c r="I6" s="15">
        <v>0</v>
      </c>
      <c r="J6" s="15"/>
      <c r="K6" s="18"/>
      <c r="L6" s="15"/>
      <c r="M6" s="17">
        <v>5</v>
      </c>
      <c r="N6" s="1">
        <v>1</v>
      </c>
      <c r="O6" s="1">
        <v>1</v>
      </c>
    </row>
    <row r="7" spans="1:15" ht="15.75" customHeight="1" x14ac:dyDescent="0.35">
      <c r="A7" s="15" t="s">
        <v>119</v>
      </c>
      <c r="B7" s="16" t="s">
        <v>179</v>
      </c>
      <c r="C7" s="17">
        <v>27</v>
      </c>
      <c r="D7" s="15"/>
      <c r="E7" s="15"/>
      <c r="F7" s="20">
        <v>80</v>
      </c>
      <c r="G7" s="18">
        <v>0.4</v>
      </c>
      <c r="H7" s="15">
        <v>32</v>
      </c>
      <c r="I7" s="15">
        <v>0</v>
      </c>
      <c r="J7" s="15"/>
      <c r="K7" s="18"/>
      <c r="L7" s="15"/>
      <c r="M7" s="17">
        <v>5</v>
      </c>
      <c r="N7" s="1">
        <v>2</v>
      </c>
      <c r="O7" s="1">
        <v>2</v>
      </c>
    </row>
    <row r="8" spans="1:15" ht="15.75" customHeight="1" x14ac:dyDescent="0.35">
      <c r="A8" s="15" t="s">
        <v>119</v>
      </c>
      <c r="B8" s="16" t="s">
        <v>179</v>
      </c>
      <c r="C8" s="17">
        <v>28</v>
      </c>
      <c r="D8" s="15"/>
      <c r="E8" s="15"/>
      <c r="F8" s="20">
        <v>80</v>
      </c>
      <c r="G8" s="18">
        <v>0.4</v>
      </c>
      <c r="H8" s="15">
        <v>33</v>
      </c>
      <c r="I8" s="15">
        <v>0</v>
      </c>
      <c r="J8" s="15"/>
      <c r="K8" s="18"/>
      <c r="L8" s="15"/>
      <c r="M8" s="17">
        <v>5</v>
      </c>
      <c r="N8" s="1">
        <v>1</v>
      </c>
      <c r="O8" s="1">
        <v>1</v>
      </c>
    </row>
    <row r="9" spans="1:15" ht="15.75" customHeight="1" x14ac:dyDescent="0.35">
      <c r="A9" s="15" t="s">
        <v>119</v>
      </c>
      <c r="B9" s="16" t="s">
        <v>179</v>
      </c>
      <c r="C9" s="17">
        <v>29</v>
      </c>
      <c r="D9" s="15"/>
      <c r="E9" s="15"/>
      <c r="F9" s="20">
        <v>80</v>
      </c>
      <c r="G9" s="18">
        <v>0.51</v>
      </c>
      <c r="H9" s="15">
        <v>32</v>
      </c>
      <c r="I9" s="15">
        <v>0</v>
      </c>
      <c r="J9" s="15"/>
      <c r="K9" s="18"/>
      <c r="L9" s="15"/>
      <c r="M9" s="17">
        <v>5</v>
      </c>
      <c r="N9" s="1">
        <v>3</v>
      </c>
      <c r="O9" s="1">
        <v>3</v>
      </c>
    </row>
    <row r="10" spans="1:15" ht="15.75" customHeight="1" x14ac:dyDescent="0.35">
      <c r="A10" s="15" t="s">
        <v>119</v>
      </c>
      <c r="B10" s="16" t="s">
        <v>179</v>
      </c>
      <c r="C10" s="17">
        <v>29</v>
      </c>
      <c r="D10" s="15"/>
      <c r="E10" s="15"/>
      <c r="F10" s="20">
        <v>80</v>
      </c>
      <c r="G10" s="18">
        <v>0.5</v>
      </c>
      <c r="H10" s="15">
        <v>23</v>
      </c>
      <c r="I10" s="15">
        <v>0</v>
      </c>
      <c r="J10" s="15"/>
      <c r="K10" s="18"/>
      <c r="L10" s="15"/>
      <c r="M10" s="17">
        <v>5</v>
      </c>
      <c r="N10" s="1">
        <v>1</v>
      </c>
      <c r="O10" s="1">
        <v>1</v>
      </c>
    </row>
    <row r="11" spans="1:15" ht="15.75" customHeight="1" x14ac:dyDescent="0.35">
      <c r="A11" s="15" t="s">
        <v>119</v>
      </c>
      <c r="B11" s="16" t="s">
        <v>179</v>
      </c>
      <c r="C11" s="17">
        <v>28</v>
      </c>
      <c r="D11" s="15"/>
      <c r="E11" s="15"/>
      <c r="F11" s="15">
        <v>81</v>
      </c>
      <c r="G11" s="18">
        <v>2.0499999999999998</v>
      </c>
      <c r="H11" s="15">
        <v>24.9</v>
      </c>
      <c r="I11" s="15">
        <v>0</v>
      </c>
      <c r="J11" s="15"/>
      <c r="K11" s="18"/>
      <c r="L11" s="15"/>
      <c r="M11" s="17">
        <v>5</v>
      </c>
      <c r="N11" s="1">
        <v>3</v>
      </c>
      <c r="O11" s="1">
        <v>3</v>
      </c>
    </row>
    <row r="12" spans="1:15" ht="15.75" customHeight="1" x14ac:dyDescent="0.35">
      <c r="A12" s="15" t="s">
        <v>119</v>
      </c>
      <c r="B12" s="16" t="s">
        <v>180</v>
      </c>
      <c r="C12" s="17">
        <v>28</v>
      </c>
      <c r="D12" s="15"/>
      <c r="E12" s="15"/>
      <c r="F12" s="15">
        <v>81</v>
      </c>
      <c r="G12" s="18">
        <v>1.2809999999999999</v>
      </c>
      <c r="H12" s="15">
        <v>24.9</v>
      </c>
      <c r="I12" s="15">
        <v>0.8</v>
      </c>
      <c r="J12" s="15"/>
      <c r="K12" s="18"/>
      <c r="L12" s="15"/>
      <c r="M12" s="17">
        <v>5</v>
      </c>
      <c r="N12" s="1">
        <v>3</v>
      </c>
      <c r="O12" s="1">
        <v>3</v>
      </c>
    </row>
    <row r="13" spans="1:15" ht="15.75" customHeight="1" x14ac:dyDescent="0.35">
      <c r="A13" s="15" t="s">
        <v>119</v>
      </c>
      <c r="B13" s="16" t="s">
        <v>180</v>
      </c>
      <c r="C13" s="17">
        <v>27</v>
      </c>
      <c r="D13" s="15"/>
      <c r="E13" s="15"/>
      <c r="F13" s="18">
        <v>68.67</v>
      </c>
      <c r="G13" s="18">
        <v>94.13</v>
      </c>
      <c r="H13" s="15">
        <v>25</v>
      </c>
      <c r="I13" s="15">
        <v>1.2</v>
      </c>
      <c r="J13" s="15"/>
      <c r="K13" s="18"/>
      <c r="L13" s="15"/>
      <c r="M13" s="17">
        <v>5</v>
      </c>
      <c r="N13" s="1">
        <v>1</v>
      </c>
      <c r="O13" s="1">
        <v>1</v>
      </c>
    </row>
    <row r="14" spans="1:15" ht="15.75" customHeight="1" x14ac:dyDescent="0.35">
      <c r="A14" s="15" t="s">
        <v>119</v>
      </c>
      <c r="B14" s="16" t="s">
        <v>181</v>
      </c>
      <c r="C14" s="17">
        <v>28</v>
      </c>
      <c r="D14" s="15"/>
      <c r="E14" s="15"/>
      <c r="F14" s="15">
        <v>80</v>
      </c>
      <c r="G14" s="18">
        <v>9.35</v>
      </c>
      <c r="H14" s="15">
        <v>25.5</v>
      </c>
      <c r="I14" s="15">
        <v>2.6</v>
      </c>
      <c r="J14" s="15"/>
      <c r="K14" s="18"/>
      <c r="L14" s="15"/>
      <c r="M14" s="17">
        <v>3</v>
      </c>
      <c r="N14" s="1">
        <v>3</v>
      </c>
      <c r="O14" s="1">
        <v>3</v>
      </c>
    </row>
    <row r="15" spans="1:15" ht="15.75" customHeight="1" x14ac:dyDescent="0.35">
      <c r="A15" s="15" t="s">
        <v>119</v>
      </c>
      <c r="B15" s="16" t="s">
        <v>181</v>
      </c>
      <c r="C15" s="17">
        <v>27</v>
      </c>
      <c r="D15" s="15"/>
      <c r="E15" s="15"/>
      <c r="F15" s="15">
        <v>68.58</v>
      </c>
      <c r="G15" s="18">
        <v>6.6</v>
      </c>
      <c r="H15" s="15">
        <v>25.7</v>
      </c>
      <c r="I15" s="15">
        <v>2.1</v>
      </c>
      <c r="J15" s="15"/>
      <c r="K15" s="18"/>
      <c r="L15" s="15"/>
      <c r="M15" s="17">
        <v>3</v>
      </c>
      <c r="N15" s="1">
        <v>3</v>
      </c>
      <c r="O15" s="1">
        <v>3</v>
      </c>
    </row>
    <row r="16" spans="1:15" ht="15.75" customHeight="1" x14ac:dyDescent="0.35">
      <c r="A16" s="15" t="s">
        <v>119</v>
      </c>
      <c r="B16" s="16" t="s">
        <v>181</v>
      </c>
      <c r="C16" s="17">
        <v>30</v>
      </c>
      <c r="D16" s="15"/>
      <c r="E16" s="15"/>
      <c r="F16" s="20">
        <v>70</v>
      </c>
      <c r="G16" s="18">
        <v>4.2</v>
      </c>
      <c r="H16" s="15">
        <v>23</v>
      </c>
      <c r="I16" s="15">
        <v>0</v>
      </c>
      <c r="J16" s="15"/>
      <c r="K16" s="18"/>
      <c r="L16" s="15"/>
      <c r="M16" s="17">
        <v>3</v>
      </c>
      <c r="N16" s="1">
        <v>2</v>
      </c>
      <c r="O16" s="1">
        <v>2</v>
      </c>
    </row>
    <row r="17" spans="1:15" ht="15.75" customHeight="1" x14ac:dyDescent="0.35">
      <c r="A17" s="15" t="s">
        <v>119</v>
      </c>
      <c r="B17" s="16" t="s">
        <v>182</v>
      </c>
      <c r="C17" s="17">
        <v>8</v>
      </c>
      <c r="D17" s="15"/>
      <c r="E17" s="15"/>
      <c r="F17" s="20">
        <v>70</v>
      </c>
      <c r="G17" s="18">
        <v>4.2</v>
      </c>
      <c r="H17" s="15">
        <v>21</v>
      </c>
      <c r="I17" s="15">
        <v>0</v>
      </c>
      <c r="J17" s="15"/>
      <c r="K17" s="18"/>
      <c r="L17" s="15"/>
      <c r="M17" s="17">
        <v>3</v>
      </c>
      <c r="N17" s="1">
        <v>4</v>
      </c>
      <c r="O17" s="1">
        <v>4</v>
      </c>
    </row>
    <row r="18" spans="1:15" ht="15.75" customHeight="1" x14ac:dyDescent="0.35">
      <c r="A18" s="15" t="s">
        <v>119</v>
      </c>
      <c r="B18" s="16" t="s">
        <v>182</v>
      </c>
      <c r="C18" s="17">
        <v>8</v>
      </c>
      <c r="D18" s="15"/>
      <c r="E18" s="15"/>
      <c r="F18" s="20">
        <v>70</v>
      </c>
      <c r="G18" s="18">
        <v>4.2</v>
      </c>
      <c r="H18" s="15">
        <v>20</v>
      </c>
      <c r="I18" s="15">
        <v>0</v>
      </c>
      <c r="J18" s="15"/>
      <c r="K18" s="18"/>
      <c r="L18" s="15"/>
      <c r="M18" s="17">
        <v>3</v>
      </c>
      <c r="N18" s="1">
        <v>1</v>
      </c>
      <c r="O18" s="1">
        <v>1</v>
      </c>
    </row>
    <row r="19" spans="1:15" ht="15.75" customHeight="1" x14ac:dyDescent="0.35">
      <c r="A19" s="15" t="s">
        <v>119</v>
      </c>
      <c r="B19" s="16" t="s">
        <v>182</v>
      </c>
      <c r="C19" s="17">
        <v>9</v>
      </c>
      <c r="D19" s="15"/>
      <c r="E19" s="15"/>
      <c r="F19" s="20">
        <v>70</v>
      </c>
      <c r="G19" s="18">
        <v>4.2</v>
      </c>
      <c r="H19" s="15">
        <v>21</v>
      </c>
      <c r="I19" s="15">
        <v>0</v>
      </c>
      <c r="J19" s="15"/>
      <c r="K19" s="18"/>
      <c r="L19" s="15"/>
      <c r="M19" s="17">
        <v>3</v>
      </c>
      <c r="N19" s="1">
        <v>1</v>
      </c>
      <c r="O19" s="1">
        <v>1</v>
      </c>
    </row>
    <row r="20" spans="1:15" ht="15.75" customHeight="1" x14ac:dyDescent="0.35">
      <c r="A20" s="15" t="s">
        <v>119</v>
      </c>
      <c r="B20" s="16" t="s">
        <v>182</v>
      </c>
      <c r="C20" s="17">
        <v>15</v>
      </c>
      <c r="D20" s="15"/>
      <c r="E20" s="15"/>
      <c r="F20" s="20">
        <v>70</v>
      </c>
      <c r="G20" s="18">
        <v>4.2</v>
      </c>
      <c r="H20" s="15">
        <v>22</v>
      </c>
      <c r="I20" s="15">
        <v>0</v>
      </c>
      <c r="J20" s="15"/>
      <c r="K20" s="18"/>
      <c r="L20" s="15"/>
      <c r="M20" s="17">
        <v>3</v>
      </c>
      <c r="N20" s="1">
        <v>5</v>
      </c>
      <c r="O20" s="1">
        <v>5</v>
      </c>
    </row>
    <row r="21" spans="1:15" ht="15.75" customHeight="1" x14ac:dyDescent="0.35">
      <c r="A21" s="15" t="s">
        <v>119</v>
      </c>
      <c r="B21" s="16" t="s">
        <v>182</v>
      </c>
      <c r="C21" s="17">
        <v>11</v>
      </c>
      <c r="D21" s="15"/>
      <c r="E21" s="15"/>
      <c r="F21" s="20">
        <v>70</v>
      </c>
      <c r="G21" s="18">
        <v>4.2</v>
      </c>
      <c r="H21" s="15">
        <v>23</v>
      </c>
      <c r="I21" s="15">
        <v>0</v>
      </c>
      <c r="J21" s="15"/>
      <c r="K21" s="18"/>
      <c r="L21" s="15"/>
      <c r="M21" s="17">
        <v>3</v>
      </c>
      <c r="N21" s="1">
        <v>2</v>
      </c>
      <c r="O21" s="1">
        <v>2</v>
      </c>
    </row>
    <row r="22" spans="1:15" ht="15.75" customHeight="1" x14ac:dyDescent="0.35">
      <c r="A22" s="15" t="s">
        <v>119</v>
      </c>
      <c r="B22" s="16" t="s">
        <v>182</v>
      </c>
      <c r="C22" s="17">
        <v>20</v>
      </c>
      <c r="D22" s="15"/>
      <c r="E22" s="15"/>
      <c r="F22" s="20">
        <v>70</v>
      </c>
      <c r="G22" s="18">
        <v>4.2</v>
      </c>
      <c r="H22" s="15">
        <v>22</v>
      </c>
      <c r="I22" s="15">
        <v>0</v>
      </c>
      <c r="J22" s="15"/>
      <c r="K22" s="18"/>
      <c r="L22" s="15"/>
      <c r="M22" s="17">
        <v>3</v>
      </c>
      <c r="N22" s="1">
        <v>1</v>
      </c>
      <c r="O22" s="1">
        <v>1</v>
      </c>
    </row>
    <row r="23" spans="1:15" ht="15.75" customHeight="1" x14ac:dyDescent="0.35">
      <c r="A23" s="15" t="s">
        <v>119</v>
      </c>
      <c r="B23" s="16" t="s">
        <v>182</v>
      </c>
      <c r="C23" s="17">
        <v>18</v>
      </c>
      <c r="D23" s="15"/>
      <c r="E23" s="15"/>
      <c r="F23" s="20">
        <v>70</v>
      </c>
      <c r="G23" s="18">
        <v>4.2</v>
      </c>
      <c r="H23" s="15">
        <v>25</v>
      </c>
      <c r="I23" s="15">
        <v>0</v>
      </c>
      <c r="J23" s="15"/>
      <c r="K23" s="18"/>
      <c r="L23" s="15"/>
      <c r="M23" s="17">
        <v>3</v>
      </c>
      <c r="N23" s="1">
        <v>1</v>
      </c>
      <c r="O23" s="1">
        <v>1</v>
      </c>
    </row>
    <row r="24" spans="1:15" ht="15.75" customHeight="1" x14ac:dyDescent="0.35">
      <c r="A24" s="15" t="s">
        <v>119</v>
      </c>
      <c r="B24" s="16" t="s">
        <v>182</v>
      </c>
      <c r="C24" s="17">
        <v>21</v>
      </c>
      <c r="D24" s="15"/>
      <c r="E24" s="15"/>
      <c r="F24" s="20">
        <v>70</v>
      </c>
      <c r="G24" s="18">
        <v>4.2</v>
      </c>
      <c r="H24" s="15">
        <v>23</v>
      </c>
      <c r="I24" s="15">
        <v>0</v>
      </c>
      <c r="J24" s="15"/>
      <c r="K24" s="18"/>
      <c r="L24" s="15"/>
      <c r="M24" s="17">
        <v>3</v>
      </c>
      <c r="N24" s="1">
        <v>1</v>
      </c>
      <c r="O24" s="1">
        <v>1</v>
      </c>
    </row>
    <row r="25" spans="1:15" ht="15.75" customHeight="1" x14ac:dyDescent="0.35">
      <c r="A25" s="15" t="s">
        <v>119</v>
      </c>
      <c r="B25" s="16" t="s">
        <v>182</v>
      </c>
      <c r="C25" s="17">
        <v>21</v>
      </c>
      <c r="D25" s="15"/>
      <c r="E25" s="15"/>
      <c r="F25" s="20">
        <v>70</v>
      </c>
      <c r="G25" s="18">
        <v>4.2</v>
      </c>
      <c r="H25" s="15">
        <v>29</v>
      </c>
      <c r="I25" s="15">
        <v>0</v>
      </c>
      <c r="J25" s="15"/>
      <c r="K25" s="18"/>
      <c r="L25" s="15"/>
      <c r="M25" s="17">
        <v>3</v>
      </c>
      <c r="N25" s="1">
        <v>1</v>
      </c>
      <c r="O25" s="1">
        <v>1</v>
      </c>
    </row>
    <row r="26" spans="1:15" ht="15.75" customHeight="1" x14ac:dyDescent="0.35">
      <c r="A26" s="15" t="s">
        <v>119</v>
      </c>
      <c r="B26" s="16" t="s">
        <v>182</v>
      </c>
      <c r="C26" s="17">
        <v>23</v>
      </c>
      <c r="D26" s="15"/>
      <c r="E26" s="15"/>
      <c r="F26" s="20">
        <v>70</v>
      </c>
      <c r="G26" s="18">
        <v>4.2</v>
      </c>
      <c r="H26" s="15">
        <v>23</v>
      </c>
      <c r="I26" s="15">
        <v>0</v>
      </c>
      <c r="J26" s="15"/>
      <c r="K26" s="18"/>
      <c r="L26" s="15"/>
      <c r="M26" s="17">
        <v>3</v>
      </c>
      <c r="N26" s="1">
        <v>1</v>
      </c>
      <c r="O26" s="1">
        <v>1</v>
      </c>
    </row>
    <row r="27" spans="1:15" ht="15.75" customHeight="1" x14ac:dyDescent="0.35">
      <c r="A27" s="15" t="s">
        <v>119</v>
      </c>
      <c r="B27" s="16" t="s">
        <v>182</v>
      </c>
      <c r="C27" s="17">
        <v>27</v>
      </c>
      <c r="D27" s="15"/>
      <c r="E27" s="15"/>
      <c r="F27" s="20">
        <v>70</v>
      </c>
      <c r="G27" s="18">
        <v>4.2</v>
      </c>
      <c r="H27" s="15">
        <v>23</v>
      </c>
      <c r="I27" s="15">
        <v>0</v>
      </c>
      <c r="J27" s="15"/>
      <c r="K27" s="18"/>
      <c r="L27" s="15"/>
      <c r="M27" s="17">
        <v>3</v>
      </c>
      <c r="N27" s="1">
        <v>1</v>
      </c>
      <c r="O27" s="1">
        <v>1</v>
      </c>
    </row>
    <row r="28" spans="1:15" ht="15.75" customHeight="1" x14ac:dyDescent="0.35">
      <c r="A28" s="15" t="s">
        <v>119</v>
      </c>
      <c r="B28" s="16" t="s">
        <v>182</v>
      </c>
      <c r="C28" s="17">
        <v>27</v>
      </c>
      <c r="D28" s="15"/>
      <c r="E28" s="15"/>
      <c r="F28" s="15">
        <v>69.17</v>
      </c>
      <c r="G28" s="18">
        <v>4.55</v>
      </c>
      <c r="H28" s="15">
        <v>27.5</v>
      </c>
      <c r="I28" s="15">
        <v>0.56999999999999995</v>
      </c>
      <c r="J28" s="15"/>
      <c r="K28" s="18"/>
      <c r="L28" s="15"/>
      <c r="M28" s="21">
        <v>3</v>
      </c>
      <c r="N28" s="1">
        <v>3</v>
      </c>
      <c r="O28" s="1">
        <v>3</v>
      </c>
    </row>
    <row r="29" spans="1:15" ht="15.75" customHeight="1" x14ac:dyDescent="0.35">
      <c r="A29" s="15" t="s">
        <v>119</v>
      </c>
      <c r="B29" s="16" t="s">
        <v>182</v>
      </c>
      <c r="C29" s="17">
        <v>30</v>
      </c>
      <c r="D29" s="15"/>
      <c r="E29" s="15"/>
      <c r="F29" s="20">
        <v>69</v>
      </c>
      <c r="G29" s="18">
        <v>4.55</v>
      </c>
      <c r="H29" s="15">
        <v>21</v>
      </c>
      <c r="I29" s="15">
        <v>0</v>
      </c>
      <c r="J29" s="15"/>
      <c r="K29" s="18"/>
      <c r="L29" s="15"/>
      <c r="M29" s="21">
        <v>3</v>
      </c>
      <c r="N29" s="1">
        <v>1</v>
      </c>
      <c r="O29" s="1">
        <v>1</v>
      </c>
    </row>
    <row r="30" spans="1:15" ht="15.75" customHeight="1" x14ac:dyDescent="0.35">
      <c r="A30" s="15"/>
      <c r="B30" s="16"/>
      <c r="C30" s="17"/>
      <c r="D30" s="15"/>
      <c r="E30" s="15"/>
      <c r="F30" s="15"/>
      <c r="G30" s="18"/>
      <c r="H30" s="15"/>
      <c r="I30" s="15"/>
      <c r="J30" s="15"/>
      <c r="K30" s="18"/>
      <c r="L30" s="15"/>
      <c r="M30" s="17"/>
      <c r="N30" s="1">
        <v>0</v>
      </c>
      <c r="O30" s="1">
        <v>0</v>
      </c>
    </row>
    <row r="31" spans="1:15" ht="15.75" customHeight="1" x14ac:dyDescent="0.35">
      <c r="A31" s="15" t="s">
        <v>134</v>
      </c>
      <c r="B31" s="16" t="s">
        <v>176</v>
      </c>
      <c r="C31" s="17">
        <v>48</v>
      </c>
      <c r="D31" s="15"/>
      <c r="E31" s="15"/>
      <c r="F31" s="15">
        <v>79</v>
      </c>
      <c r="G31" s="18">
        <v>0.309</v>
      </c>
      <c r="H31" s="15">
        <v>23.3</v>
      </c>
      <c r="I31" s="15">
        <v>0.5</v>
      </c>
      <c r="J31" s="15"/>
      <c r="K31" s="18"/>
      <c r="L31" s="15">
        <v>76.67</v>
      </c>
      <c r="M31" s="17">
        <v>4</v>
      </c>
      <c r="N31" s="1">
        <v>10</v>
      </c>
      <c r="O31" s="1">
        <v>10</v>
      </c>
    </row>
    <row r="32" spans="1:15" ht="15.75" customHeight="1" x14ac:dyDescent="0.35">
      <c r="A32" s="15" t="s">
        <v>134</v>
      </c>
      <c r="B32" s="16" t="s">
        <v>176</v>
      </c>
      <c r="C32" s="17">
        <v>48</v>
      </c>
      <c r="D32" s="15"/>
      <c r="E32" s="15"/>
      <c r="F32" s="15">
        <v>80</v>
      </c>
      <c r="G32" s="18">
        <v>0.32</v>
      </c>
      <c r="H32" s="15">
        <v>24</v>
      </c>
      <c r="I32" s="15">
        <v>0</v>
      </c>
      <c r="J32" s="15"/>
      <c r="K32" s="18"/>
      <c r="L32" s="15">
        <v>76.67</v>
      </c>
      <c r="M32" s="17">
        <v>4</v>
      </c>
      <c r="N32" s="1">
        <v>7</v>
      </c>
      <c r="O32" s="1">
        <v>7</v>
      </c>
    </row>
    <row r="33" spans="1:15" ht="15.75" customHeight="1" x14ac:dyDescent="0.35">
      <c r="A33" s="15" t="s">
        <v>134</v>
      </c>
      <c r="B33" s="16" t="s">
        <v>177</v>
      </c>
      <c r="C33" s="17">
        <v>48</v>
      </c>
      <c r="D33" s="15"/>
      <c r="E33" s="15"/>
      <c r="F33" s="15">
        <v>80</v>
      </c>
      <c r="G33" s="18">
        <v>1.85</v>
      </c>
      <c r="H33" s="15">
        <v>25.3</v>
      </c>
      <c r="I33" s="15">
        <v>0.8</v>
      </c>
      <c r="J33" s="15"/>
      <c r="K33" s="18"/>
      <c r="L33" s="15">
        <v>93.33</v>
      </c>
      <c r="M33" s="17">
        <v>3</v>
      </c>
      <c r="N33" s="1">
        <v>14</v>
      </c>
      <c r="O33" s="1">
        <v>17</v>
      </c>
    </row>
    <row r="34" spans="1:15" ht="15.75" customHeight="1" x14ac:dyDescent="0.35">
      <c r="A34" s="15" t="s">
        <v>134</v>
      </c>
      <c r="B34" s="23" t="s">
        <v>177</v>
      </c>
      <c r="C34" s="17">
        <v>48</v>
      </c>
      <c r="D34" s="15"/>
      <c r="E34" s="15"/>
      <c r="F34" s="15">
        <v>58</v>
      </c>
      <c r="G34" s="18">
        <v>0.27</v>
      </c>
      <c r="H34" s="15">
        <v>26.8</v>
      </c>
      <c r="I34" s="15">
        <v>0.5</v>
      </c>
      <c r="J34" s="15"/>
      <c r="K34" s="18"/>
      <c r="L34" s="15">
        <v>88.87</v>
      </c>
      <c r="M34" s="17">
        <v>3</v>
      </c>
      <c r="N34" s="1">
        <v>5</v>
      </c>
      <c r="O34" s="1">
        <v>5</v>
      </c>
    </row>
    <row r="35" spans="1:15" ht="15.75" customHeight="1" x14ac:dyDescent="0.35">
      <c r="A35" s="15" t="s">
        <v>134</v>
      </c>
      <c r="B35" s="23" t="s">
        <v>179</v>
      </c>
      <c r="C35" s="17">
        <v>46</v>
      </c>
      <c r="D35" s="15"/>
      <c r="E35" s="15"/>
      <c r="F35" s="20">
        <v>77</v>
      </c>
      <c r="G35" s="18">
        <v>0.28999999999999998</v>
      </c>
      <c r="H35" s="15">
        <v>22</v>
      </c>
      <c r="I35" s="15">
        <v>0</v>
      </c>
      <c r="J35" s="15"/>
      <c r="K35" s="18"/>
      <c r="L35" s="15">
        <v>88.87</v>
      </c>
      <c r="M35" s="17">
        <v>5</v>
      </c>
      <c r="N35" s="1">
        <v>2</v>
      </c>
      <c r="O35" s="1">
        <v>2</v>
      </c>
    </row>
    <row r="36" spans="1:15" ht="15.75" customHeight="1" x14ac:dyDescent="0.35">
      <c r="A36" s="15" t="s">
        <v>134</v>
      </c>
      <c r="B36" s="23" t="s">
        <v>179</v>
      </c>
      <c r="C36" s="17">
        <v>48</v>
      </c>
      <c r="D36" s="15"/>
      <c r="E36" s="15"/>
      <c r="F36" s="15">
        <v>77</v>
      </c>
      <c r="G36" s="18">
        <v>0.28999999999999998</v>
      </c>
      <c r="H36" s="15">
        <v>25.9</v>
      </c>
      <c r="I36" s="15">
        <v>0</v>
      </c>
      <c r="J36" s="15"/>
      <c r="K36" s="18"/>
      <c r="L36" s="15">
        <v>98.33</v>
      </c>
      <c r="M36" s="17">
        <v>5</v>
      </c>
      <c r="N36" s="1">
        <v>12</v>
      </c>
      <c r="O36" s="1">
        <v>12</v>
      </c>
    </row>
    <row r="37" spans="1:15" ht="15.75" customHeight="1" x14ac:dyDescent="0.35">
      <c r="A37" s="15" t="s">
        <v>134</v>
      </c>
      <c r="B37" s="23" t="s">
        <v>179</v>
      </c>
      <c r="C37" s="17">
        <v>48</v>
      </c>
      <c r="D37" s="15"/>
      <c r="E37" s="15"/>
      <c r="F37" s="15">
        <v>55</v>
      </c>
      <c r="G37" s="18">
        <v>4.9000000000000002E-2</v>
      </c>
      <c r="H37" s="15">
        <v>27.2</v>
      </c>
      <c r="I37" s="15">
        <v>0</v>
      </c>
      <c r="J37" s="15"/>
      <c r="K37" s="18"/>
      <c r="L37" s="15">
        <v>84.47</v>
      </c>
      <c r="M37" s="17">
        <v>5</v>
      </c>
      <c r="N37" s="1">
        <v>3</v>
      </c>
      <c r="O37" s="1">
        <v>3</v>
      </c>
    </row>
    <row r="38" spans="1:15" ht="15.75" customHeight="1" x14ac:dyDescent="0.35">
      <c r="A38" s="15" t="s">
        <v>134</v>
      </c>
      <c r="B38" s="23" t="s">
        <v>180</v>
      </c>
      <c r="C38" s="17">
        <v>48</v>
      </c>
      <c r="D38" s="15"/>
      <c r="E38" s="15"/>
      <c r="F38" s="15">
        <v>76</v>
      </c>
      <c r="G38" s="18">
        <v>0.30399999999999999</v>
      </c>
      <c r="H38" s="15">
        <v>24.9</v>
      </c>
      <c r="I38" s="15">
        <v>2</v>
      </c>
      <c r="J38" s="15"/>
      <c r="K38" s="18"/>
      <c r="L38" s="15">
        <v>100</v>
      </c>
      <c r="M38" s="17">
        <v>5</v>
      </c>
      <c r="N38" s="1">
        <v>0</v>
      </c>
      <c r="O38" s="1">
        <v>0</v>
      </c>
    </row>
    <row r="39" spans="1:15" ht="15.75" customHeight="1" x14ac:dyDescent="0.35">
      <c r="A39" s="15" t="s">
        <v>134</v>
      </c>
      <c r="B39" s="23" t="s">
        <v>180</v>
      </c>
      <c r="C39" s="17">
        <v>48</v>
      </c>
      <c r="D39" s="15"/>
      <c r="E39" s="15"/>
      <c r="F39" s="15">
        <v>47</v>
      </c>
      <c r="G39" s="18">
        <v>0.13600000000000001</v>
      </c>
      <c r="H39" s="15">
        <v>29.3</v>
      </c>
      <c r="I39" s="15">
        <v>0.7</v>
      </c>
      <c r="J39" s="15"/>
      <c r="K39" s="18"/>
      <c r="L39" s="15">
        <v>100</v>
      </c>
      <c r="M39" s="17">
        <v>5</v>
      </c>
      <c r="N39" s="1">
        <v>2</v>
      </c>
      <c r="O39" s="1">
        <v>3</v>
      </c>
    </row>
    <row r="40" spans="1:15" ht="15.75" customHeight="1" x14ac:dyDescent="0.35">
      <c r="A40" s="15" t="s">
        <v>134</v>
      </c>
      <c r="B40" s="23" t="s">
        <v>181</v>
      </c>
      <c r="C40" s="24">
        <v>52</v>
      </c>
      <c r="D40" s="15"/>
      <c r="E40" s="15"/>
      <c r="F40" s="20">
        <v>63</v>
      </c>
      <c r="G40" s="18">
        <v>0.08</v>
      </c>
      <c r="H40" s="15">
        <v>21</v>
      </c>
      <c r="I40" s="15">
        <v>0</v>
      </c>
      <c r="J40" s="15"/>
      <c r="K40" s="18"/>
      <c r="L40" s="15">
        <v>100</v>
      </c>
      <c r="M40" s="17">
        <v>3</v>
      </c>
      <c r="N40" s="1">
        <v>1</v>
      </c>
      <c r="O40" s="1">
        <v>1</v>
      </c>
    </row>
    <row r="41" spans="1:15" ht="15.75" customHeight="1" x14ac:dyDescent="0.35">
      <c r="A41" s="15" t="s">
        <v>138</v>
      </c>
      <c r="B41" s="23" t="s">
        <v>181</v>
      </c>
      <c r="C41" s="17">
        <v>48</v>
      </c>
      <c r="D41" s="15"/>
      <c r="E41" s="15"/>
      <c r="F41" s="15">
        <v>63</v>
      </c>
      <c r="G41" s="18">
        <v>6.6900000000000001E-2</v>
      </c>
      <c r="H41" s="15">
        <v>33.700000000000003</v>
      </c>
      <c r="I41" s="15">
        <v>2.4</v>
      </c>
      <c r="J41" s="15"/>
      <c r="K41" s="18"/>
      <c r="L41" s="15">
        <v>100</v>
      </c>
      <c r="M41" s="17">
        <v>3</v>
      </c>
      <c r="N41" s="1">
        <v>4</v>
      </c>
      <c r="O41" s="1">
        <v>4</v>
      </c>
    </row>
    <row r="42" spans="1:15" ht="15.75" customHeight="1" x14ac:dyDescent="0.35">
      <c r="A42" s="15" t="s">
        <v>134</v>
      </c>
      <c r="B42" s="23" t="s">
        <v>181</v>
      </c>
      <c r="C42" s="17">
        <v>48</v>
      </c>
      <c r="D42" s="15"/>
      <c r="E42" s="15"/>
      <c r="F42" s="15">
        <v>44</v>
      </c>
      <c r="G42" s="18">
        <v>21.4</v>
      </c>
      <c r="H42" s="15">
        <v>34.4</v>
      </c>
      <c r="I42" s="15">
        <v>2</v>
      </c>
      <c r="J42" s="15"/>
      <c r="K42" s="18"/>
      <c r="L42" s="15">
        <v>100</v>
      </c>
      <c r="M42" s="17">
        <v>3</v>
      </c>
      <c r="N42" s="1">
        <v>4</v>
      </c>
      <c r="O42" s="1">
        <v>4</v>
      </c>
    </row>
    <row r="43" spans="1:15" ht="15.75" customHeight="1" x14ac:dyDescent="0.35">
      <c r="A43" s="15" t="s">
        <v>134</v>
      </c>
      <c r="B43" s="23" t="s">
        <v>182</v>
      </c>
      <c r="C43" s="17">
        <v>48</v>
      </c>
      <c r="D43" s="15"/>
      <c r="E43" s="15"/>
      <c r="F43" s="15">
        <v>57</v>
      </c>
      <c r="G43" s="18">
        <v>32.799999999999997</v>
      </c>
      <c r="H43" s="15">
        <v>30.4</v>
      </c>
      <c r="I43" s="15">
        <v>3.9</v>
      </c>
      <c r="J43" s="15"/>
      <c r="K43" s="18"/>
      <c r="L43" s="15">
        <v>100</v>
      </c>
      <c r="M43" s="17">
        <v>3</v>
      </c>
      <c r="N43" s="1">
        <v>1</v>
      </c>
      <c r="O43" s="1">
        <v>1</v>
      </c>
    </row>
    <row r="44" spans="1:15" ht="15.75" customHeight="1" x14ac:dyDescent="0.35">
      <c r="A44" s="15" t="s">
        <v>134</v>
      </c>
      <c r="B44" s="15" t="s">
        <v>182</v>
      </c>
      <c r="C44" s="17">
        <v>48</v>
      </c>
      <c r="D44" s="15"/>
      <c r="E44" s="15"/>
      <c r="F44" s="15">
        <v>28</v>
      </c>
      <c r="G44" s="18">
        <v>31.5</v>
      </c>
      <c r="H44" s="15">
        <v>43.8</v>
      </c>
      <c r="I44" s="15">
        <v>1.1000000000000001</v>
      </c>
      <c r="J44" s="15"/>
      <c r="K44" s="18"/>
      <c r="L44" s="15">
        <v>100</v>
      </c>
      <c r="M44" s="17">
        <v>3</v>
      </c>
      <c r="N44" s="1">
        <v>2</v>
      </c>
      <c r="O44" s="1">
        <v>2</v>
      </c>
    </row>
    <row r="45" spans="1:15" ht="15.75" customHeight="1" x14ac:dyDescent="0.35">
      <c r="A45" s="15"/>
      <c r="B45" s="16"/>
      <c r="C45" s="17"/>
      <c r="D45" s="15"/>
      <c r="E45" s="15"/>
      <c r="F45" s="15"/>
      <c r="G45" s="18"/>
      <c r="H45" s="15"/>
      <c r="I45" s="15"/>
      <c r="J45" s="15"/>
      <c r="K45" s="18"/>
      <c r="L45" s="15"/>
      <c r="M45" s="17"/>
      <c r="N45" s="1">
        <v>0</v>
      </c>
      <c r="O45" s="1">
        <v>0</v>
      </c>
    </row>
    <row r="46" spans="1:15" ht="15.75" customHeight="1" x14ac:dyDescent="0.35">
      <c r="A46" s="15" t="s">
        <v>141</v>
      </c>
      <c r="B46" s="26" t="s">
        <v>176</v>
      </c>
      <c r="C46" s="28">
        <v>83</v>
      </c>
      <c r="D46" s="15"/>
      <c r="E46" s="15"/>
      <c r="F46" s="30">
        <v>95</v>
      </c>
      <c r="G46" s="29">
        <v>0.59</v>
      </c>
      <c r="H46" s="30">
        <v>23.4</v>
      </c>
      <c r="I46" s="30">
        <v>0</v>
      </c>
      <c r="J46" s="15"/>
      <c r="K46" s="31">
        <v>400</v>
      </c>
      <c r="L46" s="15">
        <v>70</v>
      </c>
      <c r="M46" s="21">
        <v>4</v>
      </c>
      <c r="N46" s="1">
        <v>9</v>
      </c>
      <c r="O46" s="1">
        <v>18</v>
      </c>
    </row>
    <row r="47" spans="1:15" ht="15.75" customHeight="1" x14ac:dyDescent="0.35">
      <c r="A47" s="15" t="s">
        <v>141</v>
      </c>
      <c r="B47" s="26" t="s">
        <v>177</v>
      </c>
      <c r="C47" s="28">
        <v>84</v>
      </c>
      <c r="D47" s="15"/>
      <c r="E47" s="15"/>
      <c r="F47" s="30">
        <v>99</v>
      </c>
      <c r="G47" s="29">
        <v>34.6</v>
      </c>
      <c r="H47" s="30">
        <v>25.4</v>
      </c>
      <c r="I47" s="30">
        <v>2.2999999999999998</v>
      </c>
      <c r="J47" s="15"/>
      <c r="K47" s="29"/>
      <c r="L47" s="15">
        <v>93.33</v>
      </c>
      <c r="M47" s="21">
        <v>3</v>
      </c>
      <c r="N47" s="1">
        <v>11</v>
      </c>
      <c r="O47" s="1">
        <v>11</v>
      </c>
    </row>
    <row r="48" spans="1:15" ht="15.75" customHeight="1" x14ac:dyDescent="0.35">
      <c r="A48" s="15" t="s">
        <v>141</v>
      </c>
      <c r="B48" s="26" t="s">
        <v>179</v>
      </c>
      <c r="C48" s="28">
        <v>74</v>
      </c>
      <c r="D48" s="15"/>
      <c r="E48" s="15"/>
      <c r="F48" s="33">
        <v>99</v>
      </c>
      <c r="G48" s="29">
        <v>0.42</v>
      </c>
      <c r="H48" s="30">
        <v>22</v>
      </c>
      <c r="I48" s="30">
        <v>0</v>
      </c>
      <c r="J48" s="15"/>
      <c r="K48" s="29"/>
      <c r="L48" s="15">
        <v>52.38</v>
      </c>
      <c r="M48" s="21">
        <v>5</v>
      </c>
      <c r="N48" s="1">
        <v>7</v>
      </c>
      <c r="O48" s="1">
        <v>10</v>
      </c>
    </row>
    <row r="49" spans="1:15" ht="15.75" customHeight="1" x14ac:dyDescent="0.35">
      <c r="A49" s="15" t="s">
        <v>141</v>
      </c>
      <c r="B49" s="26" t="s">
        <v>179</v>
      </c>
      <c r="C49" s="28">
        <v>83</v>
      </c>
      <c r="D49" s="15"/>
      <c r="E49" s="15"/>
      <c r="F49" s="30">
        <v>99</v>
      </c>
      <c r="G49" s="34">
        <v>0.47249999999999998</v>
      </c>
      <c r="H49" s="30">
        <v>25.7</v>
      </c>
      <c r="I49" s="26">
        <v>0</v>
      </c>
      <c r="J49" s="15"/>
      <c r="K49" s="30">
        <v>400</v>
      </c>
      <c r="L49" s="15">
        <v>90</v>
      </c>
      <c r="M49" s="21">
        <v>5</v>
      </c>
      <c r="N49" s="1">
        <v>8</v>
      </c>
      <c r="O49" s="1">
        <v>9</v>
      </c>
    </row>
    <row r="50" spans="1:15" ht="15.75" customHeight="1" x14ac:dyDescent="0.35">
      <c r="A50" s="15" t="s">
        <v>141</v>
      </c>
      <c r="B50" s="26" t="s">
        <v>179</v>
      </c>
      <c r="C50" s="28">
        <v>83</v>
      </c>
      <c r="D50" s="15"/>
      <c r="E50" s="15"/>
      <c r="F50" s="30">
        <v>99</v>
      </c>
      <c r="G50" s="29">
        <v>32.6</v>
      </c>
      <c r="H50" s="30">
        <v>23.7</v>
      </c>
      <c r="I50" s="26">
        <v>0</v>
      </c>
      <c r="J50" s="15"/>
      <c r="K50" s="26">
        <v>400</v>
      </c>
      <c r="L50" s="15">
        <v>73.33</v>
      </c>
      <c r="M50" s="21">
        <v>5</v>
      </c>
      <c r="N50" s="1">
        <v>3</v>
      </c>
      <c r="O50" s="1">
        <v>3</v>
      </c>
    </row>
    <row r="51" spans="1:15" ht="15.75" customHeight="1" x14ac:dyDescent="0.35">
      <c r="A51" s="15" t="s">
        <v>141</v>
      </c>
      <c r="B51" s="26" t="s">
        <v>180</v>
      </c>
      <c r="C51" s="28">
        <v>83</v>
      </c>
      <c r="D51" s="15"/>
      <c r="E51" s="15"/>
      <c r="F51" s="30">
        <v>97</v>
      </c>
      <c r="G51" s="35">
        <v>0.53600000000000003</v>
      </c>
      <c r="H51" s="30">
        <v>24.9</v>
      </c>
      <c r="I51" s="30">
        <v>0</v>
      </c>
      <c r="J51" s="15"/>
      <c r="K51" s="30">
        <v>400</v>
      </c>
      <c r="L51" s="15">
        <v>90</v>
      </c>
      <c r="M51" s="21">
        <v>5</v>
      </c>
      <c r="N51" s="1">
        <v>5</v>
      </c>
      <c r="O51" s="1">
        <v>9</v>
      </c>
    </row>
    <row r="52" spans="1:15" ht="15.75" customHeight="1" x14ac:dyDescent="0.35">
      <c r="A52" s="15" t="s">
        <v>141</v>
      </c>
      <c r="B52" s="26" t="s">
        <v>180</v>
      </c>
      <c r="C52" s="28">
        <v>83</v>
      </c>
      <c r="D52" s="15"/>
      <c r="E52" s="15"/>
      <c r="F52" s="30">
        <v>99</v>
      </c>
      <c r="G52" s="29">
        <v>47.9</v>
      </c>
      <c r="H52" s="30">
        <v>24.1</v>
      </c>
      <c r="I52" s="30">
        <v>0.5</v>
      </c>
      <c r="J52" s="15"/>
      <c r="K52" s="30">
        <v>400</v>
      </c>
      <c r="L52" s="15">
        <v>80</v>
      </c>
      <c r="M52" s="21">
        <v>5</v>
      </c>
      <c r="N52" s="1">
        <v>1</v>
      </c>
      <c r="O52" s="1">
        <v>1</v>
      </c>
    </row>
    <row r="53" spans="1:15" ht="15.75" customHeight="1" x14ac:dyDescent="0.35">
      <c r="A53" s="15" t="s">
        <v>141</v>
      </c>
      <c r="B53" s="26" t="s">
        <v>181</v>
      </c>
      <c r="C53" s="28">
        <v>83</v>
      </c>
      <c r="D53" s="15"/>
      <c r="E53" s="15"/>
      <c r="F53" s="30">
        <v>99</v>
      </c>
      <c r="G53" s="29">
        <v>53.2</v>
      </c>
      <c r="H53" s="30">
        <v>27.5</v>
      </c>
      <c r="I53" s="30">
        <v>0</v>
      </c>
      <c r="J53" s="15"/>
      <c r="K53" s="30">
        <v>400</v>
      </c>
      <c r="L53" s="15">
        <v>93.33</v>
      </c>
      <c r="M53" s="21">
        <v>3</v>
      </c>
      <c r="N53" s="1">
        <v>4</v>
      </c>
      <c r="O53" s="1">
        <v>7</v>
      </c>
    </row>
    <row r="54" spans="1:15" ht="15.75" customHeight="1" x14ac:dyDescent="0.35">
      <c r="A54" s="15" t="s">
        <v>141</v>
      </c>
      <c r="B54" s="26" t="s">
        <v>181</v>
      </c>
      <c r="C54" s="28">
        <v>83</v>
      </c>
      <c r="D54" s="15"/>
      <c r="E54" s="15"/>
      <c r="F54" s="30">
        <v>99</v>
      </c>
      <c r="G54" s="29">
        <v>8.23</v>
      </c>
      <c r="H54" s="30">
        <v>23.7</v>
      </c>
      <c r="I54" s="30">
        <v>0</v>
      </c>
      <c r="J54" s="15"/>
      <c r="K54" s="30">
        <v>400</v>
      </c>
      <c r="L54" s="15">
        <v>93.33</v>
      </c>
      <c r="M54" s="21">
        <v>3</v>
      </c>
      <c r="N54" s="1">
        <v>2</v>
      </c>
      <c r="O54" s="1">
        <v>4</v>
      </c>
    </row>
    <row r="55" spans="1:15" ht="15.75" customHeight="1" x14ac:dyDescent="0.35">
      <c r="A55" s="15" t="s">
        <v>141</v>
      </c>
      <c r="B55" s="26" t="s">
        <v>182</v>
      </c>
      <c r="C55" s="28">
        <v>83</v>
      </c>
      <c r="D55" s="15"/>
      <c r="E55" s="15"/>
      <c r="F55" s="30">
        <v>77</v>
      </c>
      <c r="G55" s="29">
        <v>8.5399999999999991</v>
      </c>
      <c r="H55" s="30">
        <v>28</v>
      </c>
      <c r="I55" s="30">
        <v>1.75</v>
      </c>
      <c r="J55" s="15"/>
      <c r="K55" s="30">
        <v>400</v>
      </c>
      <c r="L55" s="15">
        <v>93.33</v>
      </c>
      <c r="M55" s="21">
        <v>3</v>
      </c>
      <c r="N55" s="1">
        <v>6</v>
      </c>
      <c r="O55" s="1">
        <v>12</v>
      </c>
    </row>
    <row r="56" spans="1:15" ht="15.75" customHeight="1" x14ac:dyDescent="0.35">
      <c r="A56" s="15" t="s">
        <v>141</v>
      </c>
      <c r="B56" s="26" t="s">
        <v>182</v>
      </c>
      <c r="C56" s="28">
        <v>83</v>
      </c>
      <c r="D56" s="15"/>
      <c r="E56" s="15"/>
      <c r="F56" s="30">
        <v>99</v>
      </c>
      <c r="G56" s="29">
        <v>7.51</v>
      </c>
      <c r="H56" s="30">
        <v>23.7</v>
      </c>
      <c r="I56" s="30">
        <v>0</v>
      </c>
      <c r="J56" s="15"/>
      <c r="K56" s="30">
        <v>400</v>
      </c>
      <c r="L56" s="15">
        <v>93.33</v>
      </c>
      <c r="M56" s="21">
        <v>3</v>
      </c>
      <c r="N56" s="1">
        <v>4</v>
      </c>
      <c r="O56" s="1">
        <v>15</v>
      </c>
    </row>
    <row r="57" spans="1:15" ht="15.75" customHeight="1" x14ac:dyDescent="0.35">
      <c r="A57" s="15" t="s">
        <v>141</v>
      </c>
      <c r="B57" s="27" t="s">
        <v>183</v>
      </c>
      <c r="C57" s="28">
        <v>86</v>
      </c>
      <c r="D57" s="15"/>
      <c r="E57" s="15"/>
      <c r="F57" s="30">
        <v>79</v>
      </c>
      <c r="G57" s="29">
        <v>73.7</v>
      </c>
      <c r="H57" s="30">
        <v>29.1</v>
      </c>
      <c r="I57" s="30">
        <v>1</v>
      </c>
      <c r="J57" s="15"/>
      <c r="K57" s="26"/>
      <c r="L57" s="15">
        <v>80</v>
      </c>
      <c r="M57" s="21">
        <v>3</v>
      </c>
      <c r="N57" s="1">
        <v>0</v>
      </c>
      <c r="O57" s="1">
        <v>0</v>
      </c>
    </row>
    <row r="58" spans="1:15" ht="15.75" customHeight="1" x14ac:dyDescent="0.35">
      <c r="A58" s="15" t="s">
        <v>141</v>
      </c>
      <c r="B58" s="27" t="s">
        <v>185</v>
      </c>
      <c r="C58" s="28">
        <v>90</v>
      </c>
      <c r="D58" s="15"/>
      <c r="E58" s="15"/>
      <c r="F58" s="33">
        <v>73</v>
      </c>
      <c r="G58" s="29">
        <v>50.3</v>
      </c>
      <c r="H58" s="30">
        <v>17</v>
      </c>
      <c r="I58" s="30">
        <v>0</v>
      </c>
      <c r="J58" s="15"/>
      <c r="K58" s="26"/>
      <c r="L58" s="15">
        <v>80</v>
      </c>
      <c r="M58" s="21"/>
      <c r="N58" s="1">
        <v>2</v>
      </c>
      <c r="O58" s="1">
        <v>2</v>
      </c>
    </row>
    <row r="59" spans="1:15" ht="15.75" customHeight="1" x14ac:dyDescent="0.35">
      <c r="A59" s="15" t="s">
        <v>141</v>
      </c>
      <c r="B59" s="27" t="s">
        <v>185</v>
      </c>
      <c r="C59" s="28">
        <v>86</v>
      </c>
      <c r="D59" s="15"/>
      <c r="E59" s="15"/>
      <c r="F59" s="30">
        <v>72</v>
      </c>
      <c r="G59" s="29">
        <v>50.4</v>
      </c>
      <c r="H59" s="30">
        <v>30.4</v>
      </c>
      <c r="I59" s="30">
        <v>0</v>
      </c>
      <c r="J59" s="15"/>
      <c r="K59" s="26"/>
      <c r="L59" s="15">
        <v>80</v>
      </c>
      <c r="M59" s="21">
        <v>1</v>
      </c>
      <c r="N59" s="1">
        <v>3</v>
      </c>
      <c r="O59" s="1">
        <v>7</v>
      </c>
    </row>
    <row r="60" spans="1:15" ht="15.75" customHeight="1" x14ac:dyDescent="0.35">
      <c r="A60" s="15" t="s">
        <v>141</v>
      </c>
      <c r="B60" s="27" t="s">
        <v>186</v>
      </c>
      <c r="C60" s="28">
        <v>86</v>
      </c>
      <c r="D60" s="15"/>
      <c r="E60" s="15"/>
      <c r="F60" s="30">
        <v>75</v>
      </c>
      <c r="G60" s="35">
        <v>0.71899999999999997</v>
      </c>
      <c r="H60" s="30">
        <v>25.8</v>
      </c>
      <c r="I60" s="30">
        <v>0</v>
      </c>
      <c r="J60" s="15"/>
      <c r="K60" s="26"/>
      <c r="L60" s="15">
        <v>80</v>
      </c>
      <c r="M60" s="21">
        <v>6</v>
      </c>
      <c r="N60" s="1">
        <v>0</v>
      </c>
      <c r="O60" s="1">
        <v>0</v>
      </c>
    </row>
    <row r="61" spans="1:15" ht="15.75" customHeight="1" x14ac:dyDescent="0.35">
      <c r="A61" s="15"/>
      <c r="B61" s="16"/>
      <c r="D61" s="15"/>
      <c r="E61" s="15"/>
      <c r="F61" s="15"/>
      <c r="G61" s="18"/>
      <c r="H61" s="15"/>
      <c r="I61" s="15"/>
      <c r="J61" s="15"/>
      <c r="K61" s="15"/>
      <c r="L61" s="15"/>
      <c r="M61" s="17"/>
      <c r="N61" s="1">
        <v>0</v>
      </c>
      <c r="O61" s="1">
        <v>0</v>
      </c>
    </row>
    <row r="62" spans="1:15" ht="15.75" customHeight="1" x14ac:dyDescent="0.35">
      <c r="A62" s="15" t="s">
        <v>146</v>
      </c>
      <c r="B62" s="23" t="s">
        <v>176</v>
      </c>
      <c r="C62" s="17">
        <v>117</v>
      </c>
      <c r="D62" s="15"/>
      <c r="E62" s="15"/>
      <c r="F62" s="15">
        <v>99</v>
      </c>
      <c r="G62" s="36">
        <v>0.27700000000000002</v>
      </c>
      <c r="H62" s="15">
        <v>26.4</v>
      </c>
      <c r="I62" s="15">
        <v>0</v>
      </c>
      <c r="J62" s="15">
        <v>100</v>
      </c>
      <c r="K62" s="15"/>
      <c r="L62" s="15">
        <v>23.81</v>
      </c>
      <c r="M62" s="17">
        <v>4</v>
      </c>
      <c r="N62" s="1">
        <v>6</v>
      </c>
      <c r="O62" s="1">
        <v>22</v>
      </c>
    </row>
    <row r="63" spans="1:15" ht="15.75" customHeight="1" x14ac:dyDescent="0.35">
      <c r="A63" s="15" t="s">
        <v>146</v>
      </c>
      <c r="B63" s="23" t="s">
        <v>177</v>
      </c>
      <c r="C63" s="17">
        <v>119</v>
      </c>
      <c r="D63" s="15"/>
      <c r="E63" s="15"/>
      <c r="F63" s="15">
        <v>92</v>
      </c>
      <c r="G63" s="18">
        <v>0.78</v>
      </c>
      <c r="H63" s="15">
        <v>24.6</v>
      </c>
      <c r="I63" s="15">
        <v>0</v>
      </c>
      <c r="J63" s="15">
        <v>5</v>
      </c>
      <c r="K63" s="15"/>
      <c r="L63" s="15">
        <v>100</v>
      </c>
      <c r="M63" s="17">
        <v>3</v>
      </c>
      <c r="N63" s="1">
        <v>9</v>
      </c>
      <c r="O63" s="1">
        <v>14</v>
      </c>
    </row>
    <row r="64" spans="1:15" ht="15.75" customHeight="1" x14ac:dyDescent="0.35">
      <c r="A64" s="15" t="s">
        <v>146</v>
      </c>
      <c r="B64" s="23" t="s">
        <v>179</v>
      </c>
      <c r="C64" s="17">
        <v>119</v>
      </c>
      <c r="D64" s="15"/>
      <c r="E64" s="15"/>
      <c r="F64" s="15">
        <v>94</v>
      </c>
      <c r="G64" s="36">
        <v>0.50800000000000001</v>
      </c>
      <c r="H64" s="15">
        <v>24.8</v>
      </c>
      <c r="I64" s="15">
        <v>0</v>
      </c>
      <c r="J64" s="15">
        <v>5</v>
      </c>
      <c r="K64" s="15"/>
      <c r="L64" s="15">
        <v>100</v>
      </c>
      <c r="M64" s="17">
        <v>5</v>
      </c>
      <c r="N64" s="1">
        <v>8</v>
      </c>
      <c r="O64" s="1">
        <v>8</v>
      </c>
    </row>
    <row r="65" spans="1:15" ht="15.75" customHeight="1" x14ac:dyDescent="0.35">
      <c r="A65" s="15" t="s">
        <v>146</v>
      </c>
      <c r="B65" s="23" t="s">
        <v>179</v>
      </c>
      <c r="C65" s="17">
        <v>105</v>
      </c>
      <c r="D65" s="15"/>
      <c r="E65" s="15"/>
      <c r="F65" s="15">
        <v>94</v>
      </c>
      <c r="G65" s="36">
        <v>0.5</v>
      </c>
      <c r="H65" s="15">
        <v>24.8</v>
      </c>
      <c r="I65" s="15">
        <v>0</v>
      </c>
      <c r="J65" s="15">
        <v>100</v>
      </c>
      <c r="K65" s="15"/>
      <c r="L65" s="15">
        <v>66.67</v>
      </c>
      <c r="M65" s="17">
        <v>5</v>
      </c>
      <c r="N65" s="1">
        <v>2</v>
      </c>
      <c r="O65" s="1">
        <v>6</v>
      </c>
    </row>
    <row r="66" spans="1:15" ht="15.75" customHeight="1" x14ac:dyDescent="0.35">
      <c r="A66" s="15" t="s">
        <v>146</v>
      </c>
      <c r="B66" s="23" t="s">
        <v>179</v>
      </c>
      <c r="C66" s="17">
        <v>108</v>
      </c>
      <c r="D66" s="15"/>
      <c r="E66" s="15"/>
      <c r="F66" s="20">
        <v>94</v>
      </c>
      <c r="G66" s="36">
        <v>0.5</v>
      </c>
      <c r="H66" s="15">
        <v>23</v>
      </c>
      <c r="I66" s="15">
        <v>0</v>
      </c>
      <c r="J66" s="15">
        <v>100</v>
      </c>
      <c r="K66" s="15"/>
      <c r="L66" s="15">
        <v>66.67</v>
      </c>
      <c r="M66" s="17">
        <v>5</v>
      </c>
      <c r="N66" s="1">
        <v>5</v>
      </c>
      <c r="O66" s="1">
        <v>5</v>
      </c>
    </row>
    <row r="67" spans="1:15" ht="15.75" customHeight="1" x14ac:dyDescent="0.35">
      <c r="A67" s="15" t="s">
        <v>146</v>
      </c>
      <c r="B67" s="23" t="s">
        <v>179</v>
      </c>
      <c r="C67" s="17">
        <v>111</v>
      </c>
      <c r="D67" s="15"/>
      <c r="E67" s="15"/>
      <c r="F67" s="20">
        <v>94</v>
      </c>
      <c r="G67" s="36">
        <v>0.5</v>
      </c>
      <c r="H67" s="15">
        <v>22</v>
      </c>
      <c r="I67" s="15">
        <v>0</v>
      </c>
      <c r="J67" s="15">
        <v>100</v>
      </c>
      <c r="K67" s="15"/>
      <c r="L67" s="15">
        <v>66.67</v>
      </c>
      <c r="M67" s="17">
        <v>5</v>
      </c>
      <c r="N67" s="1">
        <v>1</v>
      </c>
      <c r="O67" s="1">
        <v>1</v>
      </c>
    </row>
    <row r="68" spans="1:15" ht="15.75" customHeight="1" x14ac:dyDescent="0.35">
      <c r="A68" s="15" t="s">
        <v>146</v>
      </c>
      <c r="B68" s="23" t="s">
        <v>181</v>
      </c>
      <c r="C68" s="17">
        <v>105</v>
      </c>
      <c r="D68" s="15"/>
      <c r="E68" s="15"/>
      <c r="F68" s="15">
        <v>99</v>
      </c>
      <c r="G68" s="18">
        <v>7.59</v>
      </c>
      <c r="H68" s="15">
        <v>23.9</v>
      </c>
      <c r="I68" s="15">
        <v>0</v>
      </c>
      <c r="J68" s="15">
        <v>100</v>
      </c>
      <c r="K68" s="15">
        <v>500</v>
      </c>
      <c r="L68" s="15">
        <v>66.67</v>
      </c>
      <c r="M68" s="17">
        <v>3</v>
      </c>
      <c r="N68" s="1">
        <v>5</v>
      </c>
      <c r="O68" s="1">
        <v>6</v>
      </c>
    </row>
    <row r="69" spans="1:15" ht="15.75" customHeight="1" x14ac:dyDescent="0.35">
      <c r="A69" s="15" t="s">
        <v>146</v>
      </c>
      <c r="B69" s="23" t="s">
        <v>182</v>
      </c>
      <c r="C69" s="17">
        <v>105</v>
      </c>
      <c r="D69" s="15"/>
      <c r="E69" s="15"/>
      <c r="F69" s="15">
        <v>99</v>
      </c>
      <c r="G69" s="18">
        <v>13.05</v>
      </c>
      <c r="H69" s="15">
        <v>25.9</v>
      </c>
      <c r="I69" s="15">
        <v>0.45</v>
      </c>
      <c r="J69" s="15">
        <v>100</v>
      </c>
      <c r="K69" s="15">
        <v>500</v>
      </c>
      <c r="L69" s="15">
        <v>100</v>
      </c>
      <c r="M69" s="17">
        <v>3</v>
      </c>
      <c r="N69" s="1">
        <v>4</v>
      </c>
      <c r="O69" s="1">
        <v>4</v>
      </c>
    </row>
    <row r="70" spans="1:15" ht="15.75" customHeight="1" x14ac:dyDescent="0.35">
      <c r="A70" s="15" t="s">
        <v>146</v>
      </c>
      <c r="B70" s="23" t="s">
        <v>184</v>
      </c>
      <c r="C70" s="17">
        <v>105</v>
      </c>
      <c r="D70" s="15"/>
      <c r="E70" s="15"/>
      <c r="F70" s="15">
        <v>93</v>
      </c>
      <c r="G70" s="18">
        <v>6.64</v>
      </c>
      <c r="H70" s="15">
        <v>26</v>
      </c>
      <c r="I70" s="15">
        <v>0</v>
      </c>
      <c r="J70" s="15">
        <v>100</v>
      </c>
      <c r="K70" s="15">
        <v>500</v>
      </c>
      <c r="L70" s="15">
        <v>100</v>
      </c>
      <c r="M70" s="17">
        <v>2</v>
      </c>
      <c r="N70" s="1">
        <v>7</v>
      </c>
      <c r="O70" s="1">
        <v>13</v>
      </c>
    </row>
    <row r="71" spans="1:15" ht="15.75" customHeight="1" x14ac:dyDescent="0.35">
      <c r="A71" s="15" t="s">
        <v>146</v>
      </c>
      <c r="B71" s="23" t="s">
        <v>184</v>
      </c>
      <c r="C71" s="17">
        <v>118</v>
      </c>
      <c r="D71" s="15"/>
      <c r="E71" s="15"/>
      <c r="F71" s="15">
        <v>59</v>
      </c>
      <c r="G71" s="18">
        <v>39.5</v>
      </c>
      <c r="H71" s="15">
        <v>31.13</v>
      </c>
      <c r="I71" s="15">
        <v>2.1</v>
      </c>
      <c r="J71" s="15">
        <v>100</v>
      </c>
      <c r="K71" s="15"/>
      <c r="L71" s="15">
        <v>100</v>
      </c>
      <c r="M71" s="17">
        <v>2</v>
      </c>
      <c r="N71" s="1">
        <v>4</v>
      </c>
      <c r="O71" s="1">
        <v>9</v>
      </c>
    </row>
    <row r="72" spans="1:15" ht="15.75" customHeight="1" x14ac:dyDescent="0.35">
      <c r="A72" s="15" t="s">
        <v>146</v>
      </c>
      <c r="B72" s="23" t="s">
        <v>184</v>
      </c>
      <c r="C72" s="17">
        <v>118</v>
      </c>
      <c r="D72" s="15"/>
      <c r="E72" s="15"/>
      <c r="F72" s="15">
        <v>80</v>
      </c>
      <c r="G72" s="18">
        <v>6.56</v>
      </c>
      <c r="H72" s="15">
        <v>23.9</v>
      </c>
      <c r="I72" s="15">
        <v>0</v>
      </c>
      <c r="J72" s="15">
        <v>100</v>
      </c>
      <c r="K72" s="15"/>
      <c r="L72" s="15">
        <v>95.24</v>
      </c>
      <c r="M72" s="17">
        <v>2</v>
      </c>
      <c r="N72" s="1">
        <v>0</v>
      </c>
      <c r="O72" s="1">
        <v>0</v>
      </c>
    </row>
    <row r="73" spans="1:15" ht="15.75" customHeight="1" x14ac:dyDescent="0.35">
      <c r="A73" s="15" t="s">
        <v>146</v>
      </c>
      <c r="B73" s="23" t="s">
        <v>183</v>
      </c>
      <c r="C73" s="17">
        <v>118</v>
      </c>
      <c r="D73" s="15"/>
      <c r="E73" s="15"/>
      <c r="F73" s="15">
        <v>79</v>
      </c>
      <c r="G73" s="18">
        <v>15.5</v>
      </c>
      <c r="H73" s="15">
        <v>28.3</v>
      </c>
      <c r="I73" s="15">
        <v>0</v>
      </c>
      <c r="J73" s="15">
        <v>100</v>
      </c>
      <c r="K73" s="15"/>
      <c r="L73" s="15">
        <v>100</v>
      </c>
      <c r="M73" s="17">
        <v>3</v>
      </c>
      <c r="N73" s="1">
        <v>3</v>
      </c>
      <c r="O73" s="1">
        <v>3</v>
      </c>
    </row>
    <row r="74" spans="1:15" ht="15.75" customHeight="1" x14ac:dyDescent="0.35">
      <c r="A74" s="15" t="s">
        <v>146</v>
      </c>
      <c r="B74" s="23" t="s">
        <v>183</v>
      </c>
      <c r="C74" s="17">
        <v>118</v>
      </c>
      <c r="D74" s="15"/>
      <c r="E74" s="15"/>
      <c r="F74" s="15">
        <v>79</v>
      </c>
      <c r="G74" s="18">
        <v>4.87</v>
      </c>
      <c r="H74" s="15">
        <v>25.2</v>
      </c>
      <c r="I74" s="15">
        <v>0</v>
      </c>
      <c r="J74" s="15">
        <v>100</v>
      </c>
      <c r="K74" s="15"/>
      <c r="L74" s="15">
        <v>71.430000000000007</v>
      </c>
      <c r="M74" s="17">
        <v>3</v>
      </c>
      <c r="N74" s="1">
        <v>0</v>
      </c>
      <c r="O74" s="1">
        <v>0</v>
      </c>
    </row>
    <row r="75" spans="1:15" ht="15.75" customHeight="1" x14ac:dyDescent="0.35">
      <c r="A75" s="15" t="s">
        <v>146</v>
      </c>
      <c r="B75" s="23" t="s">
        <v>185</v>
      </c>
      <c r="C75" s="17">
        <v>118</v>
      </c>
      <c r="D75" s="15"/>
      <c r="E75" s="15"/>
      <c r="F75" s="15">
        <v>86</v>
      </c>
      <c r="G75" s="18">
        <v>19.5</v>
      </c>
      <c r="H75" s="15">
        <v>27.4</v>
      </c>
      <c r="I75" s="15">
        <v>2.9</v>
      </c>
      <c r="J75" s="15">
        <v>100</v>
      </c>
      <c r="K75" s="15"/>
      <c r="L75" s="15">
        <v>71.430000000000007</v>
      </c>
      <c r="M75" s="17">
        <v>1</v>
      </c>
      <c r="N75" s="1">
        <v>3</v>
      </c>
      <c r="O75" s="1">
        <v>5</v>
      </c>
    </row>
    <row r="76" spans="1:15" ht="15.75" customHeight="1" x14ac:dyDescent="0.35">
      <c r="A76" s="15" t="s">
        <v>146</v>
      </c>
      <c r="B76" s="23" t="s">
        <v>186</v>
      </c>
      <c r="C76" s="17">
        <v>118</v>
      </c>
      <c r="D76" s="15"/>
      <c r="E76" s="15"/>
      <c r="F76" s="15">
        <v>79</v>
      </c>
      <c r="G76" s="18">
        <v>0.56999999999999995</v>
      </c>
      <c r="H76" s="15">
        <v>24.8</v>
      </c>
      <c r="I76" s="15">
        <v>0</v>
      </c>
      <c r="J76" s="15">
        <v>100</v>
      </c>
      <c r="K76" s="15"/>
      <c r="L76" s="15">
        <v>100</v>
      </c>
      <c r="M76" s="17">
        <v>6</v>
      </c>
      <c r="N76" s="1">
        <v>3</v>
      </c>
      <c r="O76" s="1">
        <v>4</v>
      </c>
    </row>
    <row r="77" spans="1:15" ht="15.75" customHeight="1" x14ac:dyDescent="0.35">
      <c r="A77" s="15" t="s">
        <v>146</v>
      </c>
      <c r="B77" s="23" t="s">
        <v>186</v>
      </c>
      <c r="C77" s="17">
        <v>105</v>
      </c>
      <c r="D77" s="15"/>
      <c r="E77" s="15"/>
      <c r="F77" s="15">
        <v>96</v>
      </c>
      <c r="G77" s="18">
        <v>15.05</v>
      </c>
      <c r="H77" s="15">
        <v>30.2</v>
      </c>
      <c r="I77" s="15">
        <v>0</v>
      </c>
      <c r="J77" s="15">
        <v>100</v>
      </c>
      <c r="K77" s="15">
        <v>500</v>
      </c>
      <c r="L77" s="15">
        <v>66.67</v>
      </c>
      <c r="M77" s="17">
        <v>6</v>
      </c>
      <c r="N77" s="1">
        <v>2</v>
      </c>
      <c r="O77" s="1">
        <v>6</v>
      </c>
    </row>
    <row r="78" spans="1:15" ht="15.75" customHeight="1" x14ac:dyDescent="0.35">
      <c r="A78" s="15" t="s">
        <v>146</v>
      </c>
      <c r="B78" s="15" t="s">
        <v>186</v>
      </c>
      <c r="C78" s="17">
        <v>118</v>
      </c>
      <c r="D78" s="15"/>
      <c r="E78" s="15"/>
      <c r="F78" s="15">
        <v>57</v>
      </c>
      <c r="G78" s="18">
        <v>153.19999999999999</v>
      </c>
      <c r="H78" s="15">
        <v>30.2</v>
      </c>
      <c r="I78" s="15">
        <v>0.4</v>
      </c>
      <c r="J78" s="15">
        <v>100</v>
      </c>
      <c r="K78" s="15"/>
      <c r="L78" s="15">
        <v>71.430000000000007</v>
      </c>
      <c r="M78" s="17">
        <v>6</v>
      </c>
      <c r="N78" s="1">
        <v>2</v>
      </c>
      <c r="O78" s="1">
        <v>3</v>
      </c>
    </row>
    <row r="79" spans="1:15" ht="15.75" customHeight="1" x14ac:dyDescent="0.35">
      <c r="A79" s="15"/>
      <c r="B79" s="37"/>
      <c r="C79" s="17"/>
      <c r="D79" s="15"/>
      <c r="E79" s="15"/>
      <c r="F79" s="15"/>
      <c r="G79" s="18"/>
      <c r="H79" s="15"/>
      <c r="I79" s="15"/>
      <c r="J79" s="15"/>
      <c r="K79" s="15"/>
      <c r="L79" s="15"/>
      <c r="M79" s="17"/>
      <c r="N79" s="1">
        <v>0</v>
      </c>
      <c r="O79" s="1">
        <v>0</v>
      </c>
    </row>
    <row r="80" spans="1:15" ht="15.75" customHeight="1" x14ac:dyDescent="0.35">
      <c r="A80" s="15" t="s">
        <v>153</v>
      </c>
      <c r="B80" s="23" t="s">
        <v>176</v>
      </c>
      <c r="C80" s="17">
        <v>133</v>
      </c>
      <c r="D80" s="15"/>
      <c r="E80" s="15"/>
      <c r="F80" s="15">
        <v>98</v>
      </c>
      <c r="G80" s="18">
        <v>7.54</v>
      </c>
      <c r="H80" s="15">
        <v>25.8</v>
      </c>
      <c r="I80" s="15">
        <v>0</v>
      </c>
      <c r="J80" s="15">
        <v>100</v>
      </c>
      <c r="K80" s="15"/>
      <c r="L80" s="15">
        <v>55.4</v>
      </c>
      <c r="M80" s="17">
        <v>4</v>
      </c>
      <c r="N80" s="1">
        <v>5</v>
      </c>
      <c r="O80" s="1">
        <v>7</v>
      </c>
    </row>
    <row r="81" spans="1:15" ht="15.75" customHeight="1" x14ac:dyDescent="0.35">
      <c r="A81" s="15" t="s">
        <v>153</v>
      </c>
      <c r="B81" s="23" t="s">
        <v>176</v>
      </c>
      <c r="C81" s="17">
        <v>146</v>
      </c>
      <c r="D81" s="15"/>
      <c r="E81" s="15"/>
      <c r="F81" s="15">
        <v>99</v>
      </c>
      <c r="G81" s="18">
        <v>6.06</v>
      </c>
      <c r="H81" s="15">
        <v>25.35</v>
      </c>
      <c r="I81" s="15">
        <v>0</v>
      </c>
      <c r="J81" s="15">
        <v>100</v>
      </c>
      <c r="K81" s="15"/>
      <c r="L81" s="15">
        <v>95.24</v>
      </c>
      <c r="M81" s="17">
        <v>4</v>
      </c>
      <c r="N81" s="1">
        <v>9</v>
      </c>
      <c r="O81" s="1">
        <v>9</v>
      </c>
    </row>
    <row r="82" spans="1:15" ht="15.75" customHeight="1" x14ac:dyDescent="0.35">
      <c r="A82" s="15" t="s">
        <v>153</v>
      </c>
      <c r="B82" s="23" t="s">
        <v>177</v>
      </c>
      <c r="C82" s="17">
        <v>146</v>
      </c>
      <c r="D82" s="15"/>
      <c r="E82" s="15"/>
      <c r="F82" s="15">
        <v>98</v>
      </c>
      <c r="G82" s="18">
        <v>0.77</v>
      </c>
      <c r="H82" s="15">
        <v>22.6</v>
      </c>
      <c r="I82" s="15">
        <v>0</v>
      </c>
      <c r="J82" s="15">
        <v>100</v>
      </c>
      <c r="K82" s="15"/>
      <c r="L82" s="15">
        <v>71.430000000000007</v>
      </c>
      <c r="M82" s="17">
        <v>3</v>
      </c>
      <c r="N82" s="1">
        <v>8</v>
      </c>
      <c r="O82" s="1">
        <v>14</v>
      </c>
    </row>
    <row r="83" spans="1:15" ht="15.75" customHeight="1" x14ac:dyDescent="0.35">
      <c r="A83" s="15" t="s">
        <v>153</v>
      </c>
      <c r="B83" s="23" t="s">
        <v>177</v>
      </c>
      <c r="C83" s="17">
        <v>132</v>
      </c>
      <c r="D83" s="15"/>
      <c r="E83" s="15"/>
      <c r="F83" s="15">
        <v>82</v>
      </c>
      <c r="G83" s="36">
        <v>0.19800000000000001</v>
      </c>
      <c r="H83" s="15">
        <v>24.3</v>
      </c>
      <c r="I83" s="15">
        <v>0</v>
      </c>
      <c r="J83" s="15">
        <v>20</v>
      </c>
      <c r="K83" s="15"/>
      <c r="L83" s="15">
        <v>47.62</v>
      </c>
      <c r="M83" s="17">
        <v>3</v>
      </c>
      <c r="N83" s="1">
        <v>9</v>
      </c>
      <c r="O83" s="1">
        <v>12</v>
      </c>
    </row>
    <row r="84" spans="1:15" ht="15.75" customHeight="1" x14ac:dyDescent="0.35">
      <c r="A84" s="15" t="s">
        <v>153</v>
      </c>
      <c r="B84" s="23" t="s">
        <v>179</v>
      </c>
      <c r="C84" s="17">
        <v>144</v>
      </c>
      <c r="D84" s="15"/>
      <c r="E84" s="15"/>
      <c r="F84" s="15">
        <v>98</v>
      </c>
      <c r="G84" s="18">
        <v>3.69</v>
      </c>
      <c r="H84" s="15">
        <v>22.35</v>
      </c>
      <c r="I84" s="15">
        <v>0</v>
      </c>
      <c r="J84" s="15">
        <v>0</v>
      </c>
      <c r="K84" s="15"/>
      <c r="L84" s="15">
        <v>100</v>
      </c>
      <c r="M84" s="17">
        <v>5</v>
      </c>
      <c r="N84" s="1">
        <v>3</v>
      </c>
      <c r="O84" s="1">
        <v>7</v>
      </c>
    </row>
    <row r="85" spans="1:15" ht="15.75" customHeight="1" x14ac:dyDescent="0.35">
      <c r="A85" s="15" t="s">
        <v>153</v>
      </c>
      <c r="B85" s="23" t="s">
        <v>179</v>
      </c>
      <c r="C85" s="17">
        <v>144</v>
      </c>
      <c r="D85" s="15"/>
      <c r="E85" s="15"/>
      <c r="F85" s="15">
        <v>98</v>
      </c>
      <c r="G85" s="18">
        <v>3.69</v>
      </c>
      <c r="H85" s="15">
        <v>22.35</v>
      </c>
      <c r="I85" s="15">
        <v>0</v>
      </c>
      <c r="J85" s="15">
        <v>0</v>
      </c>
      <c r="K85" s="15"/>
      <c r="L85" s="15">
        <v>100</v>
      </c>
      <c r="M85" s="17">
        <v>5</v>
      </c>
      <c r="N85" s="1">
        <v>13</v>
      </c>
      <c r="O85" s="1">
        <v>14</v>
      </c>
    </row>
    <row r="86" spans="1:15" ht="15.75" customHeight="1" x14ac:dyDescent="0.35">
      <c r="A86" s="15" t="s">
        <v>153</v>
      </c>
      <c r="B86" s="23" t="s">
        <v>179</v>
      </c>
      <c r="C86" s="17">
        <v>132</v>
      </c>
      <c r="D86" s="15"/>
      <c r="E86" s="15"/>
      <c r="F86" s="15">
        <v>90</v>
      </c>
      <c r="G86" s="36">
        <v>3.5000000000000003E-2</v>
      </c>
      <c r="H86" s="15">
        <v>24.2</v>
      </c>
      <c r="I86" s="15">
        <v>0</v>
      </c>
      <c r="J86" s="15">
        <v>20</v>
      </c>
      <c r="K86" s="15"/>
      <c r="L86" s="15">
        <v>100</v>
      </c>
      <c r="M86" s="17">
        <v>5</v>
      </c>
      <c r="N86" s="1">
        <v>1</v>
      </c>
      <c r="O86" s="1">
        <v>1</v>
      </c>
    </row>
    <row r="87" spans="1:15" ht="15.75" customHeight="1" x14ac:dyDescent="0.35">
      <c r="A87" s="15" t="s">
        <v>153</v>
      </c>
      <c r="B87" s="23" t="s">
        <v>179</v>
      </c>
      <c r="C87" s="17">
        <v>133</v>
      </c>
      <c r="D87" s="15"/>
      <c r="E87" s="15"/>
      <c r="F87" s="15">
        <v>61</v>
      </c>
      <c r="G87" s="36">
        <v>9.4E-2</v>
      </c>
      <c r="H87" s="15">
        <v>25.5</v>
      </c>
      <c r="I87" s="15">
        <v>0</v>
      </c>
      <c r="J87" s="15">
        <v>15</v>
      </c>
      <c r="K87" s="15"/>
      <c r="L87" s="15">
        <v>71.430000000000007</v>
      </c>
      <c r="M87" s="17">
        <v>5</v>
      </c>
      <c r="N87" s="1">
        <v>6</v>
      </c>
      <c r="O87" s="1">
        <v>8</v>
      </c>
    </row>
    <row r="88" spans="1:15" ht="15.75" customHeight="1" x14ac:dyDescent="0.35">
      <c r="A88" s="15" t="s">
        <v>153</v>
      </c>
      <c r="B88" s="23" t="s">
        <v>179</v>
      </c>
      <c r="C88" s="17">
        <v>145</v>
      </c>
      <c r="D88" s="15"/>
      <c r="E88" s="15"/>
      <c r="F88" s="15">
        <v>65</v>
      </c>
      <c r="G88" s="36">
        <v>3.5000000000000003E-2</v>
      </c>
      <c r="H88" s="15">
        <v>25.7</v>
      </c>
      <c r="I88" s="15">
        <v>0</v>
      </c>
      <c r="J88" s="15">
        <v>100</v>
      </c>
      <c r="K88" s="15">
        <v>560</v>
      </c>
      <c r="L88" s="15">
        <v>100</v>
      </c>
      <c r="M88" s="17">
        <v>5</v>
      </c>
      <c r="N88" s="1">
        <v>3</v>
      </c>
      <c r="O88" s="1">
        <v>3</v>
      </c>
    </row>
    <row r="89" spans="1:15" ht="15.75" customHeight="1" x14ac:dyDescent="0.35">
      <c r="A89" s="15" t="s">
        <v>153</v>
      </c>
      <c r="B89" s="23" t="s">
        <v>180</v>
      </c>
      <c r="C89" s="17">
        <v>144</v>
      </c>
      <c r="D89" s="15"/>
      <c r="E89" s="15"/>
      <c r="F89" s="15">
        <v>85</v>
      </c>
      <c r="G89" s="18">
        <v>3.81</v>
      </c>
      <c r="H89" s="15">
        <v>25</v>
      </c>
      <c r="I89" s="15">
        <v>0</v>
      </c>
      <c r="J89" s="15">
        <v>78.33</v>
      </c>
      <c r="K89" s="15"/>
      <c r="L89" s="15">
        <v>100</v>
      </c>
      <c r="M89" s="17">
        <v>5</v>
      </c>
      <c r="N89" s="1">
        <v>3</v>
      </c>
      <c r="O89" s="1">
        <v>3</v>
      </c>
    </row>
    <row r="90" spans="1:15" ht="15.75" customHeight="1" x14ac:dyDescent="0.35">
      <c r="A90" s="15" t="s">
        <v>153</v>
      </c>
      <c r="B90" s="23" t="s">
        <v>180</v>
      </c>
      <c r="C90" s="17">
        <v>133</v>
      </c>
      <c r="D90" s="15"/>
      <c r="E90" s="15"/>
      <c r="F90" s="15">
        <v>61</v>
      </c>
      <c r="G90" s="18">
        <v>4.78</v>
      </c>
      <c r="H90" s="15">
        <v>28.7</v>
      </c>
      <c r="I90" s="15">
        <v>0</v>
      </c>
      <c r="J90" s="15">
        <v>100</v>
      </c>
      <c r="K90" s="15"/>
      <c r="L90" s="15">
        <v>66.67</v>
      </c>
      <c r="M90" s="17">
        <v>5</v>
      </c>
      <c r="N90" s="1">
        <v>0</v>
      </c>
      <c r="O90" s="1">
        <v>0</v>
      </c>
    </row>
    <row r="91" spans="1:15" ht="15.75" customHeight="1" x14ac:dyDescent="0.35">
      <c r="A91" s="15" t="s">
        <v>153</v>
      </c>
      <c r="B91" s="23" t="s">
        <v>180</v>
      </c>
      <c r="C91" s="17">
        <v>133</v>
      </c>
      <c r="D91" s="15"/>
      <c r="E91" s="15"/>
      <c r="F91" s="15">
        <v>47</v>
      </c>
      <c r="G91" s="36">
        <v>0.74399999999999999</v>
      </c>
      <c r="H91" s="15">
        <v>29.9</v>
      </c>
      <c r="I91" s="15">
        <v>0</v>
      </c>
      <c r="J91" s="15">
        <v>2</v>
      </c>
      <c r="K91" s="15"/>
      <c r="L91" s="15">
        <v>95.24</v>
      </c>
      <c r="M91" s="17">
        <v>5</v>
      </c>
      <c r="N91" s="1">
        <v>2</v>
      </c>
      <c r="O91" s="1">
        <v>2</v>
      </c>
    </row>
    <row r="92" spans="1:15" ht="15.75" customHeight="1" x14ac:dyDescent="0.35">
      <c r="A92" s="15" t="s">
        <v>153</v>
      </c>
      <c r="B92" s="23" t="s">
        <v>180</v>
      </c>
      <c r="C92" s="17">
        <v>145</v>
      </c>
      <c r="D92" s="15"/>
      <c r="E92" s="15"/>
      <c r="F92" s="15">
        <v>50</v>
      </c>
      <c r="G92" s="36">
        <v>0.7</v>
      </c>
      <c r="H92" s="15">
        <v>26.3</v>
      </c>
      <c r="I92" s="15">
        <v>0</v>
      </c>
      <c r="J92" s="15">
        <v>100</v>
      </c>
      <c r="K92" s="15">
        <v>560</v>
      </c>
      <c r="L92" s="15">
        <v>47.62</v>
      </c>
      <c r="M92" s="17">
        <v>5</v>
      </c>
      <c r="N92" s="1">
        <v>2</v>
      </c>
      <c r="O92" s="1">
        <v>5</v>
      </c>
    </row>
    <row r="93" spans="1:15" ht="15.75" customHeight="1" x14ac:dyDescent="0.35">
      <c r="A93" s="15" t="s">
        <v>153</v>
      </c>
      <c r="B93" s="23" t="s">
        <v>181</v>
      </c>
      <c r="C93" s="17">
        <v>144</v>
      </c>
      <c r="D93" s="15"/>
      <c r="E93" s="15"/>
      <c r="F93" s="15">
        <v>85</v>
      </c>
      <c r="G93" s="18">
        <v>13.84</v>
      </c>
      <c r="H93" s="15">
        <v>26.7</v>
      </c>
      <c r="I93" s="15">
        <v>0</v>
      </c>
      <c r="J93" s="15">
        <v>100</v>
      </c>
      <c r="K93" s="15"/>
      <c r="L93" s="15">
        <v>95.24</v>
      </c>
      <c r="M93" s="17">
        <v>3</v>
      </c>
      <c r="N93" s="1">
        <v>4</v>
      </c>
      <c r="O93" s="1">
        <v>6</v>
      </c>
    </row>
    <row r="94" spans="1:15" ht="15.75" customHeight="1" x14ac:dyDescent="0.35">
      <c r="A94" s="15" t="s">
        <v>153</v>
      </c>
      <c r="B94" s="23" t="s">
        <v>181</v>
      </c>
      <c r="C94" s="17">
        <v>133</v>
      </c>
      <c r="D94" s="15"/>
      <c r="E94" s="15"/>
      <c r="F94" s="15">
        <v>55</v>
      </c>
      <c r="G94" s="18">
        <v>55.3</v>
      </c>
      <c r="H94" s="15">
        <v>30.2</v>
      </c>
      <c r="I94" s="15">
        <v>0</v>
      </c>
      <c r="J94" s="15">
        <v>100</v>
      </c>
      <c r="K94" s="15"/>
      <c r="L94" s="15">
        <v>95.24</v>
      </c>
      <c r="M94" s="17">
        <v>3</v>
      </c>
      <c r="N94" s="1">
        <v>0</v>
      </c>
      <c r="O94" s="1">
        <v>0</v>
      </c>
    </row>
    <row r="95" spans="1:15" ht="15.75" customHeight="1" x14ac:dyDescent="0.35">
      <c r="A95" s="15" t="s">
        <v>153</v>
      </c>
      <c r="B95" s="23" t="s">
        <v>181</v>
      </c>
      <c r="C95" s="17">
        <v>133</v>
      </c>
      <c r="D95" s="15"/>
      <c r="E95" s="15"/>
      <c r="F95" s="15">
        <v>51</v>
      </c>
      <c r="G95" s="18">
        <v>26.78</v>
      </c>
      <c r="H95" s="15">
        <v>30.7</v>
      </c>
      <c r="I95" s="15">
        <v>0</v>
      </c>
      <c r="J95" s="15">
        <v>23.33</v>
      </c>
      <c r="K95" s="15"/>
      <c r="L95" s="15">
        <v>100</v>
      </c>
      <c r="M95" s="17">
        <v>3</v>
      </c>
      <c r="N95" s="1">
        <v>2</v>
      </c>
      <c r="O95" s="1">
        <v>2</v>
      </c>
    </row>
    <row r="96" spans="1:15" ht="15.75" customHeight="1" x14ac:dyDescent="0.35">
      <c r="A96" s="15" t="s">
        <v>153</v>
      </c>
      <c r="B96" s="23" t="s">
        <v>182</v>
      </c>
      <c r="C96" s="17">
        <v>144</v>
      </c>
      <c r="D96" s="15"/>
      <c r="E96" s="15"/>
      <c r="F96" s="15">
        <v>90</v>
      </c>
      <c r="G96" s="18">
        <v>8.44</v>
      </c>
      <c r="H96" s="15">
        <v>27.4</v>
      </c>
      <c r="I96" s="15">
        <v>0.8</v>
      </c>
      <c r="J96" s="15">
        <v>100</v>
      </c>
      <c r="K96" s="15"/>
      <c r="L96" s="15">
        <v>100</v>
      </c>
      <c r="M96" s="17">
        <v>3</v>
      </c>
      <c r="N96" s="1">
        <v>12</v>
      </c>
      <c r="O96" s="1">
        <v>17</v>
      </c>
    </row>
    <row r="97" spans="1:15" ht="15.75" customHeight="1" x14ac:dyDescent="0.35">
      <c r="A97" s="15" t="s">
        <v>153</v>
      </c>
      <c r="B97" s="16" t="s">
        <v>182</v>
      </c>
      <c r="C97" s="17">
        <v>133</v>
      </c>
      <c r="D97" s="15"/>
      <c r="E97" s="15"/>
      <c r="F97" s="15">
        <v>58</v>
      </c>
      <c r="G97" s="18">
        <v>30.1</v>
      </c>
      <c r="H97" s="15">
        <v>29.1</v>
      </c>
      <c r="I97" s="15">
        <v>0</v>
      </c>
      <c r="J97" s="15">
        <v>98.75</v>
      </c>
      <c r="K97" s="15"/>
      <c r="L97" s="15">
        <v>100</v>
      </c>
      <c r="M97" s="17">
        <v>3</v>
      </c>
      <c r="N97" s="1">
        <v>2</v>
      </c>
      <c r="O97" s="1">
        <v>2</v>
      </c>
    </row>
    <row r="98" spans="1:15" ht="15.75" customHeight="1" x14ac:dyDescent="0.35">
      <c r="A98" s="15" t="s">
        <v>153</v>
      </c>
      <c r="B98" s="23" t="s">
        <v>184</v>
      </c>
      <c r="C98" s="17">
        <v>143</v>
      </c>
      <c r="D98" s="15"/>
      <c r="E98" s="15"/>
      <c r="F98" s="15">
        <v>77</v>
      </c>
      <c r="G98" s="36">
        <v>1.79</v>
      </c>
      <c r="H98" s="15">
        <v>23.98</v>
      </c>
      <c r="I98" s="15">
        <v>0.83</v>
      </c>
      <c r="J98" s="15">
        <v>100</v>
      </c>
      <c r="K98" s="15">
        <v>850</v>
      </c>
      <c r="L98" s="15">
        <v>76.19</v>
      </c>
      <c r="M98" s="17">
        <v>2</v>
      </c>
      <c r="N98" s="1">
        <v>3</v>
      </c>
      <c r="O98" s="1">
        <v>3</v>
      </c>
    </row>
    <row r="99" spans="1:15" ht="15.75" customHeight="1" x14ac:dyDescent="0.35">
      <c r="A99" s="15" t="s">
        <v>153</v>
      </c>
      <c r="B99" s="23" t="s">
        <v>184</v>
      </c>
      <c r="C99" s="17">
        <v>145</v>
      </c>
      <c r="D99" s="15"/>
      <c r="E99" s="15"/>
      <c r="F99" s="15">
        <v>78</v>
      </c>
      <c r="G99" s="36">
        <v>20.350000000000001</v>
      </c>
      <c r="H99" s="15">
        <v>22.55</v>
      </c>
      <c r="I99" s="15">
        <v>0</v>
      </c>
      <c r="J99" s="15">
        <v>38.33</v>
      </c>
      <c r="K99" s="1">
        <v>560</v>
      </c>
      <c r="L99" s="15">
        <v>100</v>
      </c>
      <c r="M99" s="17">
        <v>2</v>
      </c>
      <c r="N99" s="1">
        <v>6</v>
      </c>
      <c r="O99" s="1">
        <v>14</v>
      </c>
    </row>
    <row r="100" spans="1:15" ht="15.75" customHeight="1" x14ac:dyDescent="0.35">
      <c r="A100" s="15" t="s">
        <v>153</v>
      </c>
      <c r="B100" s="23" t="s">
        <v>184</v>
      </c>
      <c r="C100" s="17">
        <v>143</v>
      </c>
      <c r="D100" s="15"/>
      <c r="E100" s="15"/>
      <c r="F100" s="15">
        <v>98</v>
      </c>
      <c r="G100" s="36">
        <v>3.05</v>
      </c>
      <c r="H100" s="15">
        <v>21.7</v>
      </c>
      <c r="I100" s="15">
        <v>0.9</v>
      </c>
      <c r="J100" s="15">
        <v>100</v>
      </c>
      <c r="K100" s="15">
        <v>850</v>
      </c>
      <c r="L100" s="15">
        <v>100</v>
      </c>
      <c r="M100" s="17">
        <v>2</v>
      </c>
      <c r="N100" s="1">
        <v>1</v>
      </c>
      <c r="O100" s="1">
        <v>1</v>
      </c>
    </row>
    <row r="101" spans="1:15" ht="15.75" customHeight="1" x14ac:dyDescent="0.35">
      <c r="A101" s="15" t="s">
        <v>153</v>
      </c>
      <c r="B101" s="23" t="s">
        <v>184</v>
      </c>
      <c r="C101" s="17">
        <v>145</v>
      </c>
      <c r="D101" s="15"/>
      <c r="E101" s="15"/>
      <c r="F101" s="15">
        <v>77</v>
      </c>
      <c r="G101" s="36">
        <v>12.54</v>
      </c>
      <c r="H101" s="15">
        <v>25.3</v>
      </c>
      <c r="I101" s="15">
        <v>1</v>
      </c>
      <c r="J101" s="15">
        <v>100</v>
      </c>
      <c r="K101" s="15">
        <v>560</v>
      </c>
      <c r="L101" s="15">
        <v>100</v>
      </c>
      <c r="M101" s="17">
        <v>2</v>
      </c>
      <c r="N101" s="1">
        <v>1</v>
      </c>
      <c r="O101" s="1">
        <v>5</v>
      </c>
    </row>
    <row r="102" spans="1:15" ht="15.75" customHeight="1" x14ac:dyDescent="0.35">
      <c r="A102" s="15" t="s">
        <v>153</v>
      </c>
      <c r="B102" s="23" t="s">
        <v>183</v>
      </c>
      <c r="C102" s="17">
        <v>143</v>
      </c>
      <c r="D102" s="15"/>
      <c r="E102" s="15"/>
      <c r="F102" s="15">
        <v>95</v>
      </c>
      <c r="G102" s="18">
        <v>10.69</v>
      </c>
      <c r="H102" s="15">
        <v>22.8</v>
      </c>
      <c r="I102" s="15">
        <v>1.2</v>
      </c>
      <c r="J102" s="15">
        <v>100</v>
      </c>
      <c r="K102" s="15">
        <v>850</v>
      </c>
      <c r="L102" s="15">
        <v>100</v>
      </c>
      <c r="M102" s="17">
        <v>3</v>
      </c>
      <c r="N102" s="1">
        <v>4</v>
      </c>
      <c r="O102" s="1">
        <v>7</v>
      </c>
    </row>
    <row r="103" spans="1:15" ht="15.75" customHeight="1" x14ac:dyDescent="0.35">
      <c r="A103" s="15" t="s">
        <v>153</v>
      </c>
      <c r="B103" s="23" t="s">
        <v>183</v>
      </c>
      <c r="C103" s="17">
        <v>145</v>
      </c>
      <c r="D103" s="15"/>
      <c r="E103" s="15"/>
      <c r="F103" s="15">
        <v>95</v>
      </c>
      <c r="G103" s="18">
        <v>5.99</v>
      </c>
      <c r="H103" s="15">
        <v>25.7</v>
      </c>
      <c r="I103" s="15">
        <v>0</v>
      </c>
      <c r="J103" s="15">
        <v>100</v>
      </c>
      <c r="K103" s="15">
        <v>560</v>
      </c>
      <c r="L103" s="15">
        <v>100</v>
      </c>
      <c r="M103" s="17">
        <v>3</v>
      </c>
      <c r="N103" s="1">
        <v>5</v>
      </c>
      <c r="O103" s="1">
        <v>7</v>
      </c>
    </row>
    <row r="104" spans="1:15" ht="15.75" customHeight="1" x14ac:dyDescent="0.35">
      <c r="A104" s="15" t="s">
        <v>153</v>
      </c>
      <c r="B104" s="16" t="s">
        <v>183</v>
      </c>
      <c r="C104" s="17">
        <v>143</v>
      </c>
      <c r="D104" s="15"/>
      <c r="E104" s="15"/>
      <c r="F104" s="15">
        <v>98</v>
      </c>
      <c r="G104" s="18">
        <v>3.61</v>
      </c>
      <c r="H104" s="15">
        <v>23</v>
      </c>
      <c r="I104" s="15">
        <v>0</v>
      </c>
      <c r="J104" s="15">
        <v>100</v>
      </c>
      <c r="K104" s="15">
        <v>850</v>
      </c>
      <c r="L104" s="15">
        <v>76.19</v>
      </c>
      <c r="M104" s="17">
        <v>3</v>
      </c>
      <c r="N104" s="1">
        <v>0</v>
      </c>
      <c r="O104" s="1">
        <v>0</v>
      </c>
    </row>
    <row r="105" spans="1:15" ht="15.75" customHeight="1" x14ac:dyDescent="0.35">
      <c r="A105" s="15" t="s">
        <v>153</v>
      </c>
      <c r="B105" s="23" t="s">
        <v>183</v>
      </c>
      <c r="C105" s="17">
        <v>145</v>
      </c>
      <c r="D105" s="15"/>
      <c r="E105" s="15"/>
      <c r="F105" s="15">
        <v>80</v>
      </c>
      <c r="G105" s="18">
        <v>6.89</v>
      </c>
      <c r="H105" s="15">
        <v>24.3</v>
      </c>
      <c r="I105" s="15">
        <v>0.87</v>
      </c>
      <c r="J105" s="15">
        <v>100</v>
      </c>
      <c r="K105" s="15">
        <v>560</v>
      </c>
      <c r="L105" s="15">
        <v>100</v>
      </c>
      <c r="M105" s="17">
        <v>3</v>
      </c>
      <c r="N105" s="1">
        <v>2</v>
      </c>
      <c r="O105" s="1">
        <v>2</v>
      </c>
    </row>
    <row r="106" spans="1:15" ht="15.75" customHeight="1" x14ac:dyDescent="0.35">
      <c r="A106" s="15" t="s">
        <v>153</v>
      </c>
      <c r="B106" s="23" t="s">
        <v>185</v>
      </c>
      <c r="C106" s="17">
        <v>143</v>
      </c>
      <c r="D106" s="15"/>
      <c r="E106" s="15"/>
      <c r="F106" s="15">
        <v>80</v>
      </c>
      <c r="G106" s="36">
        <v>14.7</v>
      </c>
      <c r="H106" s="15">
        <v>24.13</v>
      </c>
      <c r="I106" s="15">
        <v>2.1</v>
      </c>
      <c r="J106" s="15">
        <v>100</v>
      </c>
      <c r="K106" s="15">
        <v>850</v>
      </c>
      <c r="L106" s="15">
        <v>100</v>
      </c>
      <c r="M106" s="17">
        <v>1</v>
      </c>
      <c r="N106" s="1">
        <v>3</v>
      </c>
      <c r="O106" s="1">
        <v>11</v>
      </c>
    </row>
    <row r="107" spans="1:15" ht="15.75" customHeight="1" x14ac:dyDescent="0.35">
      <c r="A107" s="15" t="s">
        <v>153</v>
      </c>
      <c r="B107" s="23" t="s">
        <v>185</v>
      </c>
      <c r="C107" s="17">
        <v>145</v>
      </c>
      <c r="D107" s="15"/>
      <c r="E107" s="15"/>
      <c r="F107" s="15">
        <v>99</v>
      </c>
      <c r="G107" s="36">
        <v>12.46</v>
      </c>
      <c r="H107" s="15">
        <v>22.9</v>
      </c>
      <c r="I107" s="15">
        <v>0</v>
      </c>
      <c r="J107" s="15">
        <v>100</v>
      </c>
      <c r="K107" s="15">
        <v>560</v>
      </c>
      <c r="L107" s="15">
        <v>95.24</v>
      </c>
      <c r="M107" s="17">
        <v>1</v>
      </c>
      <c r="N107" s="1">
        <v>4</v>
      </c>
      <c r="O107" s="1">
        <v>5</v>
      </c>
    </row>
    <row r="108" spans="1:15" ht="15.75" customHeight="1" x14ac:dyDescent="0.35">
      <c r="A108" s="15" t="s">
        <v>153</v>
      </c>
      <c r="B108" s="16" t="s">
        <v>185</v>
      </c>
      <c r="C108" s="17">
        <v>143</v>
      </c>
      <c r="D108" s="15"/>
      <c r="E108" s="15"/>
      <c r="F108" s="15">
        <v>99</v>
      </c>
      <c r="G108" s="18">
        <v>8.2799999999999994</v>
      </c>
      <c r="H108" s="15">
        <v>24.2</v>
      </c>
      <c r="I108" s="15">
        <v>0</v>
      </c>
      <c r="J108" s="15">
        <v>100</v>
      </c>
      <c r="K108" s="15">
        <v>850</v>
      </c>
      <c r="L108" s="15">
        <v>76.19</v>
      </c>
      <c r="M108" s="17">
        <v>1</v>
      </c>
      <c r="N108" s="1">
        <v>0</v>
      </c>
      <c r="O108" s="1">
        <v>0</v>
      </c>
    </row>
    <row r="109" spans="1:15" ht="15.75" customHeight="1" x14ac:dyDescent="0.35">
      <c r="A109" s="15" t="s">
        <v>153</v>
      </c>
      <c r="B109" s="16" t="s">
        <v>185</v>
      </c>
      <c r="C109" s="17">
        <v>145</v>
      </c>
      <c r="D109" s="15"/>
      <c r="E109" s="15"/>
      <c r="F109" s="15">
        <v>99</v>
      </c>
      <c r="G109" s="18">
        <v>7.19</v>
      </c>
      <c r="H109" s="15">
        <v>23.4</v>
      </c>
      <c r="I109" s="15">
        <v>1.5</v>
      </c>
      <c r="J109" s="15">
        <v>100</v>
      </c>
      <c r="K109" s="15">
        <v>560</v>
      </c>
      <c r="L109" s="15">
        <v>76.19</v>
      </c>
      <c r="M109" s="17">
        <v>1</v>
      </c>
      <c r="N109" s="1">
        <v>0</v>
      </c>
      <c r="O109" s="1">
        <v>0</v>
      </c>
    </row>
    <row r="110" spans="1:15" ht="15.75" customHeight="1" x14ac:dyDescent="0.35">
      <c r="A110" s="15" t="s">
        <v>153</v>
      </c>
      <c r="B110" s="23" t="s">
        <v>186</v>
      </c>
      <c r="C110" s="17">
        <v>143</v>
      </c>
      <c r="D110" s="15"/>
      <c r="E110" s="15"/>
      <c r="F110" s="15">
        <v>95</v>
      </c>
      <c r="G110" s="18">
        <v>1.44</v>
      </c>
      <c r="H110" s="15">
        <v>25.1</v>
      </c>
      <c r="I110" s="15">
        <v>0</v>
      </c>
      <c r="J110" s="15">
        <v>100</v>
      </c>
      <c r="K110" s="15">
        <v>850</v>
      </c>
      <c r="L110" s="15">
        <v>76.19</v>
      </c>
      <c r="M110" s="17">
        <v>6</v>
      </c>
      <c r="N110" s="1">
        <v>2</v>
      </c>
      <c r="O110" s="1">
        <v>7</v>
      </c>
    </row>
    <row r="111" spans="1:15" ht="15.75" customHeight="1" x14ac:dyDescent="0.35">
      <c r="A111" s="15" t="s">
        <v>153</v>
      </c>
      <c r="B111" s="23" t="s">
        <v>186</v>
      </c>
      <c r="C111" s="17">
        <v>145</v>
      </c>
      <c r="D111" s="15"/>
      <c r="E111" s="15"/>
      <c r="F111" s="15">
        <v>99</v>
      </c>
      <c r="G111" s="18">
        <v>0.54</v>
      </c>
      <c r="H111" s="15">
        <v>21.9</v>
      </c>
      <c r="I111" s="15">
        <v>0</v>
      </c>
      <c r="J111" s="15">
        <v>100</v>
      </c>
      <c r="K111" s="15">
        <v>560</v>
      </c>
      <c r="L111" s="15">
        <v>76.19</v>
      </c>
      <c r="M111" s="17">
        <v>6</v>
      </c>
      <c r="N111" s="1">
        <v>3</v>
      </c>
      <c r="O111" s="1">
        <v>3</v>
      </c>
    </row>
    <row r="112" spans="1:15" ht="15.75" customHeight="1" x14ac:dyDescent="0.35">
      <c r="A112" s="15" t="s">
        <v>153</v>
      </c>
      <c r="B112" s="23" t="s">
        <v>186</v>
      </c>
      <c r="C112" s="17">
        <v>143</v>
      </c>
      <c r="D112" s="15"/>
      <c r="E112" s="15"/>
      <c r="F112" s="15">
        <v>99</v>
      </c>
      <c r="G112" s="18">
        <v>0.63</v>
      </c>
      <c r="H112" s="15">
        <v>25.1</v>
      </c>
      <c r="I112" s="15">
        <v>0</v>
      </c>
      <c r="J112" s="15">
        <v>100</v>
      </c>
      <c r="K112" s="15">
        <v>850</v>
      </c>
      <c r="L112" s="15">
        <v>95.24</v>
      </c>
      <c r="M112" s="17">
        <v>6</v>
      </c>
      <c r="N112" s="1">
        <v>3</v>
      </c>
      <c r="O112" s="1">
        <v>8</v>
      </c>
    </row>
    <row r="113" spans="1:15" ht="15.75" customHeight="1" x14ac:dyDescent="0.35">
      <c r="A113" s="15" t="s">
        <v>153</v>
      </c>
      <c r="B113" s="23" t="s">
        <v>186</v>
      </c>
      <c r="C113" s="17">
        <v>145</v>
      </c>
      <c r="D113" s="15"/>
      <c r="E113" s="15"/>
      <c r="F113" s="15">
        <v>99</v>
      </c>
      <c r="G113" s="18">
        <v>1.67</v>
      </c>
      <c r="H113" s="15">
        <v>25.2</v>
      </c>
      <c r="I113" s="15">
        <v>0</v>
      </c>
      <c r="J113" s="15">
        <v>100</v>
      </c>
      <c r="K113" s="15">
        <v>560</v>
      </c>
      <c r="L113" s="15">
        <v>14.29</v>
      </c>
      <c r="M113" s="17">
        <v>6</v>
      </c>
      <c r="N113" s="1">
        <v>3</v>
      </c>
      <c r="O113" s="1">
        <v>4</v>
      </c>
    </row>
    <row r="114" spans="1:15" ht="15.75" customHeight="1" x14ac:dyDescent="0.35">
      <c r="A114" s="15"/>
      <c r="C114" s="38"/>
      <c r="D114" s="15"/>
      <c r="E114" s="15"/>
      <c r="F114" s="15"/>
      <c r="G114" s="18"/>
      <c r="H114" s="15"/>
      <c r="I114" s="15"/>
      <c r="J114" s="15"/>
      <c r="K114" s="15"/>
      <c r="L114" s="15"/>
      <c r="M114" s="17"/>
      <c r="N114" s="1">
        <v>0</v>
      </c>
      <c r="O114" s="1">
        <v>0</v>
      </c>
    </row>
    <row r="115" spans="1:15" ht="15.75" customHeight="1" x14ac:dyDescent="0.35">
      <c r="A115" s="15" t="s">
        <v>158</v>
      </c>
      <c r="B115" s="23" t="s">
        <v>176</v>
      </c>
      <c r="C115" s="5">
        <v>160</v>
      </c>
      <c r="D115" s="15"/>
      <c r="E115" s="15"/>
      <c r="F115" s="15">
        <v>96</v>
      </c>
      <c r="G115" s="18">
        <v>1.1399999999999999</v>
      </c>
      <c r="H115" s="15">
        <v>26.4</v>
      </c>
      <c r="I115" s="15">
        <v>0</v>
      </c>
      <c r="J115" s="15">
        <v>22</v>
      </c>
      <c r="K115" s="15">
        <v>450</v>
      </c>
      <c r="L115" s="15">
        <v>71.42</v>
      </c>
      <c r="M115" s="17">
        <v>4</v>
      </c>
      <c r="N115" s="1">
        <v>4</v>
      </c>
      <c r="O115" s="1">
        <v>7</v>
      </c>
    </row>
    <row r="116" spans="1:15" ht="15.75" customHeight="1" x14ac:dyDescent="0.35">
      <c r="A116" s="15" t="s">
        <v>158</v>
      </c>
      <c r="B116" s="23" t="s">
        <v>176</v>
      </c>
      <c r="C116" s="5">
        <v>169</v>
      </c>
      <c r="D116" s="15"/>
      <c r="E116" s="15"/>
      <c r="F116" s="15">
        <v>99</v>
      </c>
      <c r="G116" s="18">
        <v>8.51</v>
      </c>
      <c r="H116" s="15">
        <v>26.5</v>
      </c>
      <c r="I116" s="15">
        <v>0</v>
      </c>
      <c r="J116" s="15">
        <v>36.659999999999997</v>
      </c>
      <c r="K116" s="15"/>
      <c r="L116" s="15">
        <v>95.24</v>
      </c>
      <c r="M116" s="17">
        <v>4</v>
      </c>
      <c r="N116" s="1">
        <v>9</v>
      </c>
      <c r="O116" s="1">
        <v>9</v>
      </c>
    </row>
    <row r="117" spans="1:15" ht="15.75" customHeight="1" x14ac:dyDescent="0.35">
      <c r="A117" s="15" t="s">
        <v>158</v>
      </c>
      <c r="B117" s="23" t="s">
        <v>176</v>
      </c>
      <c r="C117" s="5">
        <v>174</v>
      </c>
      <c r="D117" s="15"/>
      <c r="E117" s="15"/>
      <c r="F117" s="15">
        <v>99</v>
      </c>
      <c r="G117" s="18">
        <v>8.52</v>
      </c>
      <c r="H117" s="15">
        <v>26.5</v>
      </c>
      <c r="I117" s="15">
        <v>0</v>
      </c>
      <c r="J117" s="15">
        <v>100</v>
      </c>
      <c r="K117" s="15"/>
      <c r="L117" s="15">
        <v>95.24</v>
      </c>
      <c r="M117" s="17">
        <v>4</v>
      </c>
      <c r="N117" s="1">
        <v>5</v>
      </c>
      <c r="O117" s="1">
        <v>6</v>
      </c>
    </row>
    <row r="118" spans="1:15" ht="15.75" customHeight="1" x14ac:dyDescent="0.35">
      <c r="A118" s="15" t="s">
        <v>158</v>
      </c>
      <c r="B118" s="23" t="s">
        <v>178</v>
      </c>
      <c r="C118" s="5">
        <v>169</v>
      </c>
      <c r="D118" s="15"/>
      <c r="E118" s="15"/>
      <c r="F118" s="15">
        <v>99</v>
      </c>
      <c r="G118" s="18">
        <v>6.93</v>
      </c>
      <c r="H118" s="15">
        <v>23.5</v>
      </c>
      <c r="I118" s="15">
        <v>0</v>
      </c>
      <c r="J118" s="15">
        <v>98</v>
      </c>
      <c r="K118" s="15"/>
      <c r="L118" s="15">
        <v>95.24</v>
      </c>
      <c r="M118" s="17">
        <v>3</v>
      </c>
      <c r="N118" s="1">
        <v>7</v>
      </c>
      <c r="O118" s="1">
        <v>7</v>
      </c>
    </row>
    <row r="119" spans="1:15" ht="15.75" customHeight="1" x14ac:dyDescent="0.35">
      <c r="A119" s="15" t="s">
        <v>158</v>
      </c>
      <c r="B119" s="23" t="s">
        <v>178</v>
      </c>
      <c r="C119" s="5">
        <v>175</v>
      </c>
      <c r="D119" s="15"/>
      <c r="E119" s="15"/>
      <c r="F119" s="15">
        <v>99</v>
      </c>
      <c r="G119" s="18">
        <v>6.8</v>
      </c>
      <c r="H119" s="15">
        <v>23.5</v>
      </c>
      <c r="I119" s="15">
        <v>0</v>
      </c>
      <c r="J119" s="15">
        <v>100</v>
      </c>
      <c r="K119" s="15"/>
      <c r="L119" s="15">
        <v>95.24</v>
      </c>
      <c r="M119" s="17">
        <v>3</v>
      </c>
      <c r="N119" s="1">
        <v>1</v>
      </c>
      <c r="O119" s="1">
        <v>1</v>
      </c>
    </row>
    <row r="120" spans="1:15" ht="15.75" customHeight="1" x14ac:dyDescent="0.35">
      <c r="A120" s="15" t="s">
        <v>158</v>
      </c>
      <c r="B120" s="23" t="s">
        <v>179</v>
      </c>
      <c r="C120" s="5">
        <v>167</v>
      </c>
      <c r="D120" s="15"/>
      <c r="E120" s="15"/>
      <c r="F120" s="15">
        <v>89</v>
      </c>
      <c r="G120" s="18">
        <v>2.74</v>
      </c>
      <c r="H120" s="15">
        <v>23.5</v>
      </c>
      <c r="I120" s="15">
        <v>0</v>
      </c>
      <c r="J120" s="15">
        <v>0</v>
      </c>
      <c r="K120" s="15">
        <v>600</v>
      </c>
      <c r="L120" s="15">
        <v>95.24</v>
      </c>
      <c r="M120" s="17">
        <v>5</v>
      </c>
      <c r="N120" s="1">
        <v>13</v>
      </c>
      <c r="O120" s="1">
        <v>16</v>
      </c>
    </row>
    <row r="121" spans="1:15" ht="15.75" customHeight="1" x14ac:dyDescent="0.35">
      <c r="A121" s="15" t="s">
        <v>158</v>
      </c>
      <c r="B121" s="23" t="s">
        <v>179</v>
      </c>
      <c r="C121" s="5">
        <v>169</v>
      </c>
      <c r="D121" s="15"/>
      <c r="E121" s="15"/>
      <c r="F121" s="15">
        <v>99</v>
      </c>
      <c r="G121" s="18">
        <v>0.32</v>
      </c>
      <c r="H121" s="15">
        <v>21.5</v>
      </c>
      <c r="I121" s="15">
        <v>0</v>
      </c>
      <c r="J121" s="15">
        <v>100</v>
      </c>
      <c r="K121" s="15"/>
      <c r="L121" s="1">
        <v>100</v>
      </c>
      <c r="M121" s="17">
        <v>5</v>
      </c>
      <c r="N121" s="1">
        <v>3</v>
      </c>
      <c r="O121" s="1">
        <v>3</v>
      </c>
    </row>
    <row r="122" spans="1:15" ht="15.75" customHeight="1" x14ac:dyDescent="0.35">
      <c r="A122" s="15" t="s">
        <v>158</v>
      </c>
      <c r="B122" s="23" t="s">
        <v>179</v>
      </c>
      <c r="C122" s="5">
        <v>160</v>
      </c>
      <c r="D122" s="15"/>
      <c r="E122" s="15"/>
      <c r="F122" s="15">
        <v>87</v>
      </c>
      <c r="G122" s="18">
        <v>0.03</v>
      </c>
      <c r="H122" s="15">
        <v>23.2</v>
      </c>
      <c r="I122" s="15">
        <v>0</v>
      </c>
      <c r="J122" s="15">
        <v>100</v>
      </c>
      <c r="K122" s="15">
        <v>450</v>
      </c>
      <c r="L122" s="15">
        <v>71.42</v>
      </c>
      <c r="M122" s="17">
        <v>5</v>
      </c>
      <c r="N122" s="1">
        <v>3</v>
      </c>
      <c r="O122" s="1">
        <v>3</v>
      </c>
    </row>
    <row r="123" spans="1:15" ht="15.75" customHeight="1" x14ac:dyDescent="0.35">
      <c r="A123" s="15" t="s">
        <v>158</v>
      </c>
      <c r="B123" s="23" t="s">
        <v>179</v>
      </c>
      <c r="C123" s="5">
        <v>168</v>
      </c>
      <c r="D123" s="15"/>
      <c r="E123" s="15"/>
      <c r="F123" s="15">
        <v>85</v>
      </c>
      <c r="G123" s="18">
        <v>0.04</v>
      </c>
      <c r="H123" s="15">
        <v>23.2</v>
      </c>
      <c r="I123" s="15">
        <v>0</v>
      </c>
      <c r="J123" s="15">
        <v>50</v>
      </c>
      <c r="K123" s="15">
        <v>600</v>
      </c>
      <c r="L123" s="15">
        <v>100</v>
      </c>
      <c r="M123" s="17">
        <v>5</v>
      </c>
      <c r="N123" s="1">
        <v>1</v>
      </c>
      <c r="O123" s="1">
        <v>1</v>
      </c>
    </row>
    <row r="124" spans="1:15" ht="15.75" customHeight="1" x14ac:dyDescent="0.35">
      <c r="A124" s="15" t="s">
        <v>158</v>
      </c>
      <c r="B124" s="23" t="s">
        <v>180</v>
      </c>
      <c r="C124" s="5">
        <v>167</v>
      </c>
      <c r="D124" s="15"/>
      <c r="E124" s="15"/>
      <c r="F124" s="15">
        <v>88</v>
      </c>
      <c r="G124" s="18">
        <v>0.69</v>
      </c>
      <c r="H124" s="15">
        <v>23.4</v>
      </c>
      <c r="I124" s="15">
        <v>6</v>
      </c>
      <c r="J124" s="15">
        <v>100</v>
      </c>
      <c r="K124" s="15">
        <v>600</v>
      </c>
      <c r="L124" s="15">
        <v>100</v>
      </c>
      <c r="M124" s="17">
        <v>5</v>
      </c>
      <c r="N124" s="1">
        <v>8</v>
      </c>
      <c r="O124" s="1">
        <v>9</v>
      </c>
    </row>
    <row r="125" spans="1:15" ht="15.75" customHeight="1" x14ac:dyDescent="0.35">
      <c r="A125" s="15" t="s">
        <v>158</v>
      </c>
      <c r="B125" s="23" t="s">
        <v>180</v>
      </c>
      <c r="C125" s="5">
        <v>168</v>
      </c>
      <c r="D125" s="15"/>
      <c r="E125" s="15"/>
      <c r="F125" s="15">
        <v>88</v>
      </c>
      <c r="G125" s="18">
        <v>1.86</v>
      </c>
      <c r="H125" s="15">
        <v>27.2</v>
      </c>
      <c r="I125" s="15">
        <v>0.6</v>
      </c>
      <c r="J125" s="15">
        <v>100</v>
      </c>
      <c r="K125" s="15">
        <v>600</v>
      </c>
      <c r="L125" s="15">
        <v>100</v>
      </c>
      <c r="M125" s="17">
        <v>5</v>
      </c>
      <c r="N125" s="1">
        <v>4</v>
      </c>
      <c r="O125" s="1">
        <v>4</v>
      </c>
    </row>
    <row r="126" spans="1:15" ht="15.75" customHeight="1" x14ac:dyDescent="0.35">
      <c r="A126" s="15" t="s">
        <v>158</v>
      </c>
      <c r="B126" s="23" t="s">
        <v>181</v>
      </c>
      <c r="C126" s="5">
        <v>167</v>
      </c>
      <c r="D126" s="15"/>
      <c r="E126" s="15"/>
      <c r="F126" s="15">
        <v>80</v>
      </c>
      <c r="G126" s="18">
        <v>51.6</v>
      </c>
      <c r="H126" s="15">
        <v>28.7</v>
      </c>
      <c r="I126" s="15">
        <v>2.5</v>
      </c>
      <c r="J126" s="15">
        <v>0</v>
      </c>
      <c r="K126" s="15">
        <v>600</v>
      </c>
      <c r="L126" s="15">
        <v>100</v>
      </c>
      <c r="M126" s="17">
        <v>3</v>
      </c>
      <c r="N126" s="1">
        <v>5</v>
      </c>
      <c r="O126" s="1">
        <v>5</v>
      </c>
    </row>
    <row r="127" spans="1:15" ht="15.75" customHeight="1" x14ac:dyDescent="0.35">
      <c r="A127" s="15" t="s">
        <v>158</v>
      </c>
      <c r="B127" s="23" t="s">
        <v>182</v>
      </c>
      <c r="C127" s="5">
        <v>167</v>
      </c>
      <c r="D127" s="15"/>
      <c r="E127" s="15"/>
      <c r="F127" s="15">
        <v>71</v>
      </c>
      <c r="G127" s="18">
        <v>7.17</v>
      </c>
      <c r="H127" s="15">
        <v>26.1</v>
      </c>
      <c r="I127" s="15">
        <v>1.9</v>
      </c>
      <c r="J127" s="15">
        <v>0</v>
      </c>
      <c r="K127" s="15">
        <v>600</v>
      </c>
      <c r="L127" s="15">
        <v>100</v>
      </c>
      <c r="M127" s="17">
        <v>3</v>
      </c>
      <c r="N127" s="1">
        <v>9</v>
      </c>
      <c r="O127" s="1">
        <v>11</v>
      </c>
    </row>
    <row r="128" spans="1:15" ht="15.75" customHeight="1" x14ac:dyDescent="0.35">
      <c r="A128" s="15" t="s">
        <v>158</v>
      </c>
      <c r="B128" s="23" t="s">
        <v>182</v>
      </c>
      <c r="C128" s="5">
        <v>174</v>
      </c>
      <c r="D128" s="15"/>
      <c r="E128" s="15"/>
      <c r="F128" s="15">
        <v>74</v>
      </c>
      <c r="G128" s="18">
        <v>7.5</v>
      </c>
      <c r="H128" s="15">
        <v>26</v>
      </c>
      <c r="I128" s="15">
        <v>0</v>
      </c>
      <c r="J128" s="15">
        <v>100</v>
      </c>
      <c r="K128" s="15"/>
      <c r="L128" s="15">
        <v>100</v>
      </c>
      <c r="M128" s="17">
        <v>3</v>
      </c>
      <c r="N128" s="1">
        <v>1</v>
      </c>
      <c r="O128" s="1">
        <v>1</v>
      </c>
    </row>
    <row r="129" spans="1:15" ht="15.75" customHeight="1" x14ac:dyDescent="0.35">
      <c r="A129" s="15" t="s">
        <v>158</v>
      </c>
      <c r="B129" s="23" t="s">
        <v>182</v>
      </c>
      <c r="C129" s="5">
        <v>168</v>
      </c>
      <c r="D129" s="15"/>
      <c r="E129" s="15"/>
      <c r="F129" s="15">
        <v>54</v>
      </c>
      <c r="G129" s="18">
        <v>10.85</v>
      </c>
      <c r="H129" s="15">
        <v>28.3</v>
      </c>
      <c r="I129" s="15">
        <v>1.45</v>
      </c>
      <c r="J129" s="15">
        <v>35</v>
      </c>
      <c r="K129" s="15">
        <v>600</v>
      </c>
      <c r="L129" s="15">
        <v>100</v>
      </c>
      <c r="M129" s="17">
        <v>3</v>
      </c>
      <c r="N129" s="1">
        <v>4</v>
      </c>
      <c r="O129" s="1">
        <v>4</v>
      </c>
    </row>
    <row r="130" spans="1:15" ht="15.75" customHeight="1" x14ac:dyDescent="0.35">
      <c r="A130" s="15" t="s">
        <v>158</v>
      </c>
      <c r="B130" s="23" t="s">
        <v>184</v>
      </c>
      <c r="C130" s="5">
        <v>168</v>
      </c>
      <c r="F130" s="1">
        <v>72</v>
      </c>
      <c r="G130" s="1">
        <v>17.850000000000001</v>
      </c>
      <c r="H130" s="1">
        <v>26.9</v>
      </c>
      <c r="I130" s="1">
        <v>1.6</v>
      </c>
      <c r="J130" s="1">
        <v>90</v>
      </c>
      <c r="K130" s="1">
        <v>600</v>
      </c>
      <c r="L130" s="1">
        <v>100</v>
      </c>
      <c r="M130" s="17">
        <v>2</v>
      </c>
      <c r="N130" s="1">
        <v>2</v>
      </c>
      <c r="O130" s="1">
        <v>3</v>
      </c>
    </row>
    <row r="131" spans="1:15" ht="15.75" customHeight="1" x14ac:dyDescent="0.35">
      <c r="A131" s="15" t="s">
        <v>158</v>
      </c>
      <c r="B131" s="23" t="s">
        <v>184</v>
      </c>
      <c r="C131" s="5">
        <v>167</v>
      </c>
      <c r="D131" s="15"/>
      <c r="E131" s="15"/>
      <c r="F131" s="15">
        <v>66</v>
      </c>
      <c r="G131" s="18">
        <v>6.27</v>
      </c>
      <c r="H131" s="15">
        <v>26.2</v>
      </c>
      <c r="I131" s="15">
        <v>0.8</v>
      </c>
      <c r="J131" s="15">
        <v>100</v>
      </c>
      <c r="K131" s="15">
        <v>600</v>
      </c>
      <c r="L131" s="15">
        <v>71.42</v>
      </c>
      <c r="M131" s="17">
        <v>2</v>
      </c>
      <c r="N131" s="1">
        <v>1</v>
      </c>
      <c r="O131" s="1">
        <v>1</v>
      </c>
    </row>
    <row r="132" spans="1:15" ht="15.75" customHeight="1" x14ac:dyDescent="0.35">
      <c r="A132" s="15" t="s">
        <v>158</v>
      </c>
      <c r="B132" s="23" t="s">
        <v>183</v>
      </c>
      <c r="C132" s="5">
        <v>159</v>
      </c>
      <c r="D132" s="15"/>
      <c r="E132" s="15"/>
      <c r="F132" s="15">
        <v>77</v>
      </c>
      <c r="G132" s="18">
        <v>19</v>
      </c>
      <c r="H132" s="15">
        <v>23.9</v>
      </c>
      <c r="I132" s="15">
        <v>0</v>
      </c>
      <c r="J132" s="15">
        <v>100</v>
      </c>
      <c r="K132" s="15"/>
      <c r="L132" s="15">
        <v>76.19</v>
      </c>
      <c r="M132" s="17">
        <v>3</v>
      </c>
      <c r="N132" s="1">
        <v>4</v>
      </c>
      <c r="O132" s="1">
        <v>13</v>
      </c>
    </row>
    <row r="133" spans="1:15" ht="15.75" customHeight="1" x14ac:dyDescent="0.35">
      <c r="A133" s="15" t="s">
        <v>158</v>
      </c>
      <c r="B133" s="23" t="s">
        <v>183</v>
      </c>
      <c r="C133" s="5">
        <v>168</v>
      </c>
      <c r="D133" s="15"/>
      <c r="E133" s="15"/>
      <c r="F133" s="15">
        <v>99</v>
      </c>
      <c r="G133" s="18">
        <v>29.59</v>
      </c>
      <c r="H133" s="15">
        <v>24.9</v>
      </c>
      <c r="I133" s="15">
        <v>0.65</v>
      </c>
      <c r="J133" s="15">
        <v>99</v>
      </c>
      <c r="K133" s="15">
        <v>600</v>
      </c>
      <c r="L133" s="15">
        <v>95.24</v>
      </c>
      <c r="M133" s="17">
        <v>3</v>
      </c>
      <c r="N133" s="1">
        <v>4</v>
      </c>
      <c r="O133" s="1">
        <v>7</v>
      </c>
    </row>
    <row r="134" spans="1:15" ht="15.75" customHeight="1" x14ac:dyDescent="0.35">
      <c r="A134" s="15" t="s">
        <v>158</v>
      </c>
      <c r="B134" s="23" t="s">
        <v>183</v>
      </c>
      <c r="C134" s="5">
        <v>167</v>
      </c>
      <c r="D134" s="15"/>
      <c r="E134" s="15"/>
      <c r="F134" s="15">
        <v>74</v>
      </c>
      <c r="G134" s="18">
        <v>1.52</v>
      </c>
      <c r="H134" s="15">
        <v>19.829999999999998</v>
      </c>
      <c r="I134" s="15">
        <v>0.85</v>
      </c>
      <c r="J134" s="15">
        <v>100</v>
      </c>
      <c r="K134" s="15">
        <v>600</v>
      </c>
      <c r="L134" s="15">
        <v>95.24</v>
      </c>
      <c r="M134" s="17">
        <v>3</v>
      </c>
      <c r="N134" s="1">
        <v>2</v>
      </c>
      <c r="O134" s="1">
        <v>2</v>
      </c>
    </row>
    <row r="135" spans="1:15" ht="15.75" customHeight="1" x14ac:dyDescent="0.35">
      <c r="A135" s="15" t="s">
        <v>158</v>
      </c>
      <c r="B135" s="23" t="s">
        <v>185</v>
      </c>
      <c r="C135" s="5">
        <v>168</v>
      </c>
      <c r="D135" s="15"/>
      <c r="E135" s="15"/>
      <c r="F135" s="15">
        <v>99</v>
      </c>
      <c r="G135" s="18">
        <v>27.94</v>
      </c>
      <c r="H135" s="15">
        <v>22.3</v>
      </c>
      <c r="I135" s="15">
        <v>1.2</v>
      </c>
      <c r="J135" s="15">
        <v>100</v>
      </c>
      <c r="K135" s="15">
        <v>600</v>
      </c>
      <c r="L135" s="15">
        <v>95.24</v>
      </c>
      <c r="M135" s="17">
        <v>1</v>
      </c>
      <c r="N135" s="1">
        <v>5</v>
      </c>
      <c r="O135" s="1">
        <v>15</v>
      </c>
    </row>
    <row r="136" spans="1:15" ht="15.75" customHeight="1" x14ac:dyDescent="0.35">
      <c r="A136" s="15" t="s">
        <v>158</v>
      </c>
      <c r="B136" s="23" t="s">
        <v>185</v>
      </c>
      <c r="C136" s="5">
        <v>167</v>
      </c>
      <c r="D136" s="15"/>
      <c r="E136" s="15"/>
      <c r="F136" s="15">
        <v>80</v>
      </c>
      <c r="G136" s="18">
        <v>6.81</v>
      </c>
      <c r="H136" s="15">
        <v>19.03</v>
      </c>
      <c r="I136" s="15">
        <v>1.8</v>
      </c>
      <c r="J136" s="15">
        <v>100</v>
      </c>
      <c r="K136" s="15">
        <v>600</v>
      </c>
      <c r="L136" s="15">
        <v>100</v>
      </c>
      <c r="M136" s="17">
        <v>1</v>
      </c>
      <c r="N136" s="1">
        <v>2</v>
      </c>
      <c r="O136" s="1">
        <v>4</v>
      </c>
    </row>
    <row r="137" spans="1:15" ht="15.75" customHeight="1" x14ac:dyDescent="0.35">
      <c r="A137" s="15" t="s">
        <v>158</v>
      </c>
      <c r="B137" s="23" t="s">
        <v>186</v>
      </c>
      <c r="C137" s="5">
        <v>168</v>
      </c>
      <c r="D137" s="15"/>
      <c r="E137" s="15"/>
      <c r="F137" s="15">
        <v>95</v>
      </c>
      <c r="G137" s="18">
        <v>0.4</v>
      </c>
      <c r="H137" s="15">
        <v>17.100000000000001</v>
      </c>
      <c r="I137" s="15">
        <v>0</v>
      </c>
      <c r="J137" s="15">
        <v>0</v>
      </c>
      <c r="K137" s="15">
        <v>600</v>
      </c>
      <c r="L137" s="15">
        <v>100</v>
      </c>
      <c r="M137" s="17">
        <v>6</v>
      </c>
      <c r="N137" s="1">
        <v>10</v>
      </c>
      <c r="O137" s="1">
        <v>33</v>
      </c>
    </row>
    <row r="138" spans="1:15" ht="15.75" customHeight="1" x14ac:dyDescent="0.35">
      <c r="A138" s="15" t="s">
        <v>158</v>
      </c>
      <c r="B138" s="23" t="s">
        <v>186</v>
      </c>
      <c r="C138" s="5">
        <v>174</v>
      </c>
      <c r="D138" s="15"/>
      <c r="E138" s="15"/>
      <c r="F138" s="15">
        <v>95</v>
      </c>
      <c r="G138" s="18">
        <v>0.42</v>
      </c>
      <c r="H138" s="15">
        <v>17.2</v>
      </c>
      <c r="I138" s="15">
        <v>0</v>
      </c>
      <c r="J138" s="15">
        <v>100</v>
      </c>
      <c r="K138" s="15"/>
      <c r="L138" s="15">
        <v>100</v>
      </c>
      <c r="M138" s="17">
        <v>6</v>
      </c>
      <c r="N138" s="1">
        <v>1</v>
      </c>
      <c r="O138" s="1">
        <v>1</v>
      </c>
    </row>
    <row r="139" spans="1:15" ht="15.75" customHeight="1" x14ac:dyDescent="0.35">
      <c r="A139" s="15" t="s">
        <v>158</v>
      </c>
      <c r="B139" s="23" t="s">
        <v>186</v>
      </c>
      <c r="C139" s="5">
        <v>168</v>
      </c>
      <c r="D139" s="15"/>
      <c r="E139" s="15"/>
      <c r="F139" s="15">
        <v>95</v>
      </c>
      <c r="G139" s="18">
        <v>0.41</v>
      </c>
      <c r="H139" s="15">
        <v>17.100000000000001</v>
      </c>
      <c r="I139" s="15">
        <v>0</v>
      </c>
      <c r="J139" s="15">
        <v>100</v>
      </c>
      <c r="K139" s="15">
        <v>600</v>
      </c>
      <c r="L139" s="15">
        <v>95.24</v>
      </c>
      <c r="M139" s="17">
        <v>6</v>
      </c>
      <c r="N139" s="1">
        <v>8</v>
      </c>
      <c r="O139" s="1">
        <v>11</v>
      </c>
    </row>
    <row r="140" spans="1:15" ht="15.75" customHeight="1" x14ac:dyDescent="0.35">
      <c r="A140" s="15" t="s">
        <v>158</v>
      </c>
      <c r="B140" s="23" t="s">
        <v>186</v>
      </c>
      <c r="C140" s="5">
        <v>167</v>
      </c>
      <c r="D140" s="15"/>
      <c r="E140" s="15"/>
      <c r="F140" s="15">
        <v>87</v>
      </c>
      <c r="G140" s="18">
        <v>0.16</v>
      </c>
      <c r="H140" s="15">
        <v>20.2</v>
      </c>
      <c r="I140" s="15">
        <v>0</v>
      </c>
      <c r="J140" s="15">
        <v>100</v>
      </c>
      <c r="K140" s="15">
        <v>600</v>
      </c>
      <c r="L140" s="15">
        <v>100</v>
      </c>
      <c r="M140" s="17">
        <v>6</v>
      </c>
      <c r="N140" s="1">
        <v>6</v>
      </c>
      <c r="O140" s="1">
        <v>6</v>
      </c>
    </row>
    <row r="141" spans="1:15" ht="15.75" customHeight="1" x14ac:dyDescent="0.35">
      <c r="A141" s="15"/>
      <c r="B141" s="15"/>
      <c r="C141" s="17"/>
      <c r="D141" s="15"/>
      <c r="E141" s="15"/>
      <c r="F141" s="15"/>
      <c r="G141" s="18"/>
      <c r="H141" s="15"/>
      <c r="I141" s="15"/>
      <c r="J141" s="15"/>
      <c r="K141" s="15"/>
      <c r="L141" s="15"/>
      <c r="M141" s="17"/>
      <c r="N141" s="1">
        <v>0</v>
      </c>
      <c r="O141" s="1">
        <v>0</v>
      </c>
    </row>
    <row r="142" spans="1:15" ht="15.75" customHeight="1" x14ac:dyDescent="0.35">
      <c r="A142" s="15"/>
      <c r="B142" s="15"/>
      <c r="C142" s="17"/>
      <c r="D142" s="15"/>
      <c r="E142" s="15"/>
      <c r="F142" s="15"/>
      <c r="G142" s="18"/>
      <c r="H142" s="15"/>
      <c r="I142" s="15"/>
      <c r="J142" s="15"/>
      <c r="K142" s="15"/>
      <c r="L142" s="15"/>
      <c r="M142" s="17"/>
      <c r="N142" s="1">
        <v>0</v>
      </c>
      <c r="O142" s="1">
        <v>0</v>
      </c>
    </row>
    <row r="143" spans="1:15" ht="15.75" customHeight="1" x14ac:dyDescent="0.35">
      <c r="A143" s="15" t="s">
        <v>164</v>
      </c>
      <c r="B143" s="23" t="s">
        <v>176</v>
      </c>
      <c r="C143" s="17">
        <v>187</v>
      </c>
      <c r="D143" s="15"/>
      <c r="E143" s="15"/>
      <c r="F143" s="15">
        <v>89</v>
      </c>
      <c r="G143" s="18">
        <v>1.36</v>
      </c>
      <c r="H143" s="15">
        <v>23.18</v>
      </c>
      <c r="I143" s="15">
        <v>0</v>
      </c>
      <c r="J143" s="15">
        <v>100</v>
      </c>
      <c r="K143" s="15">
        <v>800</v>
      </c>
      <c r="L143" s="15">
        <v>100</v>
      </c>
      <c r="M143" s="17">
        <v>4</v>
      </c>
      <c r="N143" s="1">
        <v>8</v>
      </c>
      <c r="O143" s="1">
        <v>11</v>
      </c>
    </row>
    <row r="144" spans="1:15" ht="15.75" customHeight="1" x14ac:dyDescent="0.35">
      <c r="A144" s="15" t="s">
        <v>164</v>
      </c>
      <c r="B144" s="23" t="s">
        <v>177</v>
      </c>
      <c r="C144" s="17">
        <v>187</v>
      </c>
      <c r="D144" s="15"/>
      <c r="E144" s="15"/>
      <c r="F144" s="15">
        <v>94</v>
      </c>
      <c r="G144" s="18">
        <v>7.68</v>
      </c>
      <c r="H144" s="15">
        <v>26.7</v>
      </c>
      <c r="I144" s="15">
        <v>0.75</v>
      </c>
      <c r="J144" s="15">
        <v>100</v>
      </c>
      <c r="K144" s="15">
        <v>800</v>
      </c>
      <c r="L144" s="15">
        <v>100</v>
      </c>
      <c r="M144" s="17">
        <v>3</v>
      </c>
      <c r="N144" s="1">
        <v>6</v>
      </c>
      <c r="O144" s="1">
        <v>8</v>
      </c>
    </row>
    <row r="145" spans="1:18" ht="15.75" customHeight="1" x14ac:dyDescent="0.35">
      <c r="A145" s="15" t="s">
        <v>164</v>
      </c>
      <c r="B145" s="23" t="s">
        <v>177</v>
      </c>
      <c r="C145" s="17">
        <v>203</v>
      </c>
      <c r="D145" s="15"/>
      <c r="E145" s="15"/>
      <c r="F145" s="15">
        <v>90</v>
      </c>
      <c r="G145" s="18">
        <v>1.5</v>
      </c>
      <c r="H145" s="15">
        <v>23.4</v>
      </c>
      <c r="I145" s="15">
        <v>0</v>
      </c>
      <c r="J145" s="15">
        <v>100</v>
      </c>
      <c r="K145" s="15"/>
      <c r="L145" s="15">
        <v>100</v>
      </c>
      <c r="M145" s="17">
        <v>3</v>
      </c>
      <c r="N145" s="1">
        <v>1</v>
      </c>
      <c r="O145" s="1">
        <v>1</v>
      </c>
    </row>
    <row r="146" spans="1:18" ht="15.75" customHeight="1" x14ac:dyDescent="0.35">
      <c r="A146" s="15" t="s">
        <v>164</v>
      </c>
      <c r="B146" s="23" t="s">
        <v>179</v>
      </c>
      <c r="C146" s="17">
        <v>189</v>
      </c>
      <c r="D146" s="15"/>
      <c r="E146" s="15"/>
      <c r="F146" s="15">
        <v>91</v>
      </c>
      <c r="G146" s="18">
        <v>1.1499999999999999</v>
      </c>
      <c r="H146" s="15">
        <v>24.4</v>
      </c>
      <c r="I146" s="15">
        <v>0</v>
      </c>
      <c r="J146" s="15">
        <v>100</v>
      </c>
      <c r="K146" s="15">
        <v>400</v>
      </c>
      <c r="L146" s="15">
        <v>95.24</v>
      </c>
      <c r="M146" s="17">
        <v>5</v>
      </c>
      <c r="N146" s="1">
        <v>8</v>
      </c>
      <c r="O146" s="1">
        <v>8</v>
      </c>
    </row>
    <row r="147" spans="1:18" ht="15.75" customHeight="1" x14ac:dyDescent="0.35">
      <c r="A147" s="15" t="s">
        <v>164</v>
      </c>
      <c r="B147" s="23" t="s">
        <v>179</v>
      </c>
      <c r="C147" s="17">
        <v>202</v>
      </c>
      <c r="D147" s="15"/>
      <c r="E147" s="15"/>
      <c r="F147" s="15">
        <v>94</v>
      </c>
      <c r="G147" s="18">
        <v>1.2</v>
      </c>
      <c r="H147" s="15">
        <v>24.4</v>
      </c>
      <c r="I147" s="15">
        <v>0</v>
      </c>
      <c r="J147" s="15">
        <v>100</v>
      </c>
      <c r="K147" s="15"/>
      <c r="L147" s="15">
        <v>100</v>
      </c>
      <c r="M147" s="17">
        <v>5</v>
      </c>
      <c r="N147" s="1">
        <v>1</v>
      </c>
      <c r="O147" s="1">
        <v>1</v>
      </c>
    </row>
    <row r="148" spans="1:18" ht="15.75" customHeight="1" x14ac:dyDescent="0.35">
      <c r="A148" s="15" t="s">
        <v>164</v>
      </c>
      <c r="B148" s="23" t="s">
        <v>179</v>
      </c>
      <c r="C148" s="17">
        <v>187</v>
      </c>
      <c r="D148" s="15"/>
      <c r="E148" s="15"/>
      <c r="F148" s="15">
        <v>85</v>
      </c>
      <c r="G148" s="18">
        <v>1.3</v>
      </c>
      <c r="H148" s="15">
        <v>24.4</v>
      </c>
      <c r="I148" s="15">
        <v>0</v>
      </c>
      <c r="J148" s="15">
        <v>100</v>
      </c>
      <c r="K148" s="15">
        <v>800</v>
      </c>
      <c r="L148" s="15">
        <v>100</v>
      </c>
      <c r="M148" s="17">
        <v>5</v>
      </c>
      <c r="N148" s="1">
        <v>8</v>
      </c>
      <c r="O148" s="1">
        <v>8</v>
      </c>
    </row>
    <row r="149" spans="1:18" ht="15.75" customHeight="1" x14ac:dyDescent="0.35">
      <c r="A149" s="15" t="s">
        <v>164</v>
      </c>
      <c r="B149" s="23" t="s">
        <v>180</v>
      </c>
      <c r="C149" s="17">
        <v>188</v>
      </c>
      <c r="D149" s="15"/>
      <c r="E149" s="15"/>
      <c r="F149" s="15">
        <v>91</v>
      </c>
      <c r="G149" s="18">
        <v>0.57999999999999996</v>
      </c>
      <c r="H149" s="15">
        <v>26.4</v>
      </c>
      <c r="I149" s="15">
        <v>0</v>
      </c>
      <c r="J149" s="15">
        <v>100</v>
      </c>
      <c r="K149" s="15">
        <v>700</v>
      </c>
      <c r="L149" s="15">
        <v>76.19</v>
      </c>
      <c r="M149" s="17">
        <v>5</v>
      </c>
      <c r="N149" s="1">
        <v>10</v>
      </c>
      <c r="O149" s="1">
        <v>10</v>
      </c>
      <c r="Q149" s="44"/>
      <c r="R149" s="44"/>
    </row>
    <row r="150" spans="1:18" ht="15.75" customHeight="1" x14ac:dyDescent="0.35">
      <c r="A150" s="15" t="s">
        <v>164</v>
      </c>
      <c r="B150" s="23" t="s">
        <v>180</v>
      </c>
      <c r="C150" s="17">
        <v>189</v>
      </c>
      <c r="D150" s="15"/>
      <c r="E150" s="15"/>
      <c r="F150" s="15">
        <v>91</v>
      </c>
      <c r="G150" s="18">
        <v>0.81</v>
      </c>
      <c r="H150" s="15">
        <v>23.28</v>
      </c>
      <c r="I150" s="15">
        <v>0</v>
      </c>
      <c r="J150" s="15">
        <v>100</v>
      </c>
      <c r="K150" s="15">
        <v>400</v>
      </c>
      <c r="L150" s="15">
        <v>100</v>
      </c>
      <c r="M150" s="17">
        <v>5</v>
      </c>
      <c r="N150" s="1">
        <v>5</v>
      </c>
      <c r="O150" s="1">
        <v>5</v>
      </c>
    </row>
    <row r="151" spans="1:18" ht="15.75" customHeight="1" x14ac:dyDescent="0.35">
      <c r="A151" s="15" t="s">
        <v>164</v>
      </c>
      <c r="B151" s="23" t="s">
        <v>181</v>
      </c>
      <c r="C151" s="17">
        <v>202</v>
      </c>
      <c r="D151" s="15"/>
      <c r="E151" s="15"/>
      <c r="F151" s="15">
        <v>91</v>
      </c>
      <c r="G151" s="18">
        <v>0.81</v>
      </c>
      <c r="H151" s="15">
        <v>23.3</v>
      </c>
      <c r="I151" s="15">
        <v>0</v>
      </c>
      <c r="J151" s="15">
        <v>100</v>
      </c>
      <c r="K151" s="15"/>
      <c r="L151" s="15">
        <v>100</v>
      </c>
      <c r="M151" s="17">
        <v>3</v>
      </c>
      <c r="N151" s="1">
        <v>1</v>
      </c>
      <c r="O151" s="1">
        <v>2</v>
      </c>
    </row>
    <row r="152" spans="1:18" ht="15.75" customHeight="1" x14ac:dyDescent="0.35">
      <c r="A152" s="15" t="s">
        <v>164</v>
      </c>
      <c r="B152" s="23" t="s">
        <v>181</v>
      </c>
      <c r="C152" s="17">
        <v>188</v>
      </c>
      <c r="D152" s="15"/>
      <c r="E152" s="15"/>
      <c r="F152" s="15">
        <v>99</v>
      </c>
      <c r="G152" s="18">
        <v>85.6</v>
      </c>
      <c r="H152" s="15">
        <v>28.5</v>
      </c>
      <c r="I152" s="15">
        <v>1.2</v>
      </c>
      <c r="J152" s="15">
        <v>100</v>
      </c>
      <c r="K152" s="15">
        <v>700</v>
      </c>
      <c r="L152" s="15">
        <v>95.24</v>
      </c>
      <c r="M152" s="17">
        <v>3</v>
      </c>
      <c r="N152" s="1">
        <v>1</v>
      </c>
      <c r="O152" s="1">
        <v>1</v>
      </c>
    </row>
    <row r="153" spans="1:18" ht="15.75" customHeight="1" x14ac:dyDescent="0.35">
      <c r="A153" s="15" t="s">
        <v>164</v>
      </c>
      <c r="B153" s="23" t="s">
        <v>181</v>
      </c>
      <c r="C153" s="17">
        <v>189</v>
      </c>
      <c r="D153" s="15"/>
      <c r="E153" s="15"/>
      <c r="F153" s="15">
        <v>91</v>
      </c>
      <c r="G153" s="18">
        <v>13.15</v>
      </c>
      <c r="H153" s="15">
        <v>26.13</v>
      </c>
      <c r="I153" s="15">
        <v>0</v>
      </c>
      <c r="J153" s="15">
        <v>100</v>
      </c>
      <c r="K153" s="15">
        <v>400</v>
      </c>
      <c r="L153" s="15">
        <v>95.24</v>
      </c>
      <c r="M153" s="17">
        <v>3</v>
      </c>
      <c r="N153" s="1">
        <v>3</v>
      </c>
      <c r="O153" s="1">
        <v>3</v>
      </c>
    </row>
    <row r="154" spans="1:18" ht="15.75" customHeight="1" x14ac:dyDescent="0.35">
      <c r="A154" s="15" t="s">
        <v>164</v>
      </c>
      <c r="B154" s="23" t="s">
        <v>182</v>
      </c>
      <c r="C154" s="17">
        <v>202</v>
      </c>
      <c r="D154" s="15"/>
      <c r="E154" s="15"/>
      <c r="F154" s="15">
        <v>75</v>
      </c>
      <c r="G154" s="18">
        <v>17.2</v>
      </c>
      <c r="H154" s="15">
        <v>28</v>
      </c>
      <c r="I154" s="15">
        <v>0</v>
      </c>
      <c r="J154" s="15">
        <v>100</v>
      </c>
      <c r="K154" s="15"/>
      <c r="L154" s="15">
        <v>100</v>
      </c>
      <c r="M154" s="17">
        <v>3</v>
      </c>
      <c r="N154" s="1">
        <v>2</v>
      </c>
      <c r="O154" s="1">
        <v>2</v>
      </c>
    </row>
    <row r="155" spans="1:18" s="44" customFormat="1" ht="15.75" customHeight="1" x14ac:dyDescent="0.35">
      <c r="A155" s="39" t="s">
        <v>164</v>
      </c>
      <c r="B155" s="40" t="s">
        <v>182</v>
      </c>
      <c r="C155" s="17">
        <v>189</v>
      </c>
      <c r="D155" s="39"/>
      <c r="E155" s="39"/>
      <c r="F155" s="39">
        <v>93</v>
      </c>
      <c r="G155" s="42">
        <v>14.5</v>
      </c>
      <c r="H155" s="39">
        <v>28.73</v>
      </c>
      <c r="I155" s="39">
        <v>0</v>
      </c>
      <c r="J155" s="39">
        <v>100</v>
      </c>
      <c r="K155" s="39">
        <v>400</v>
      </c>
      <c r="L155" s="39">
        <v>100</v>
      </c>
      <c r="M155" s="43">
        <v>3</v>
      </c>
      <c r="N155" s="44">
        <v>6</v>
      </c>
      <c r="O155" s="44">
        <v>9</v>
      </c>
      <c r="Q155" s="1"/>
      <c r="R155" s="1"/>
    </row>
    <row r="156" spans="1:18" ht="15.75" customHeight="1" x14ac:dyDescent="0.35">
      <c r="A156" s="15" t="s">
        <v>164</v>
      </c>
      <c r="B156" s="23" t="s">
        <v>182</v>
      </c>
      <c r="C156" s="17">
        <v>188</v>
      </c>
      <c r="D156" s="15"/>
      <c r="E156" s="15"/>
      <c r="F156" s="15">
        <v>74</v>
      </c>
      <c r="G156" s="18">
        <v>18</v>
      </c>
      <c r="H156" s="15">
        <v>28</v>
      </c>
      <c r="I156" s="15">
        <v>0</v>
      </c>
      <c r="J156" s="15">
        <v>2</v>
      </c>
      <c r="K156" s="15">
        <v>700</v>
      </c>
      <c r="L156" s="15">
        <v>100</v>
      </c>
      <c r="M156" s="17">
        <v>3</v>
      </c>
      <c r="N156" s="1">
        <v>2</v>
      </c>
      <c r="O156" s="1">
        <v>2</v>
      </c>
    </row>
    <row r="157" spans="1:18" ht="15.75" customHeight="1" x14ac:dyDescent="0.35">
      <c r="A157" s="15" t="s">
        <v>164</v>
      </c>
      <c r="B157" s="23" t="s">
        <v>184</v>
      </c>
      <c r="C157" s="17">
        <v>189</v>
      </c>
      <c r="D157" s="18">
        <v>11.2</v>
      </c>
      <c r="E157" s="18">
        <v>11.2</v>
      </c>
      <c r="F157" s="15">
        <v>92</v>
      </c>
      <c r="G157" s="18">
        <v>97.97</v>
      </c>
      <c r="H157" s="15">
        <v>28.73</v>
      </c>
      <c r="I157" s="15">
        <v>0.97</v>
      </c>
      <c r="J157" s="15">
        <v>100</v>
      </c>
      <c r="K157" s="15">
        <v>400</v>
      </c>
      <c r="L157" s="15">
        <v>100</v>
      </c>
      <c r="M157" s="17">
        <v>2</v>
      </c>
      <c r="N157" s="1">
        <v>0</v>
      </c>
      <c r="O157" s="1">
        <v>0</v>
      </c>
    </row>
    <row r="158" spans="1:18" ht="15.75" customHeight="1" x14ac:dyDescent="0.35">
      <c r="A158" s="15" t="s">
        <v>164</v>
      </c>
      <c r="B158" s="23" t="s">
        <v>184</v>
      </c>
      <c r="C158" s="17">
        <v>190</v>
      </c>
      <c r="D158" s="18">
        <v>11.2</v>
      </c>
      <c r="E158" s="18">
        <v>11.2</v>
      </c>
      <c r="F158" s="15">
        <v>86.5</v>
      </c>
      <c r="G158" s="18">
        <v>33.18</v>
      </c>
      <c r="H158" s="15">
        <v>25.7</v>
      </c>
      <c r="I158" s="15">
        <v>1.2</v>
      </c>
      <c r="J158" s="15">
        <v>100</v>
      </c>
      <c r="K158" s="15"/>
      <c r="L158" s="15">
        <v>100</v>
      </c>
      <c r="M158" s="17">
        <v>2</v>
      </c>
      <c r="N158" s="1">
        <v>3</v>
      </c>
      <c r="O158" s="1">
        <v>6</v>
      </c>
    </row>
    <row r="159" spans="1:18" ht="15.75" customHeight="1" x14ac:dyDescent="0.35">
      <c r="A159" s="15" t="s">
        <v>164</v>
      </c>
      <c r="B159" s="23" t="s">
        <v>184</v>
      </c>
      <c r="C159" s="17">
        <v>188</v>
      </c>
      <c r="D159" s="15"/>
      <c r="E159" s="15"/>
      <c r="F159" s="15">
        <v>70</v>
      </c>
      <c r="G159" s="18">
        <v>5.91</v>
      </c>
      <c r="H159" s="15">
        <v>20.5</v>
      </c>
      <c r="I159" s="15">
        <v>1.5</v>
      </c>
      <c r="J159" s="15">
        <v>2</v>
      </c>
      <c r="K159" s="15">
        <v>700</v>
      </c>
      <c r="L159" s="15">
        <v>100</v>
      </c>
      <c r="M159" s="17">
        <v>2</v>
      </c>
      <c r="N159" s="1">
        <v>3</v>
      </c>
      <c r="O159" s="1">
        <v>3</v>
      </c>
    </row>
    <row r="160" spans="1:18" ht="15.75" customHeight="1" x14ac:dyDescent="0.35">
      <c r="A160" s="15" t="s">
        <v>164</v>
      </c>
      <c r="B160" s="23" t="s">
        <v>183</v>
      </c>
      <c r="C160" s="17">
        <v>190</v>
      </c>
      <c r="D160" s="15"/>
      <c r="E160" s="15"/>
      <c r="F160" s="15">
        <v>89</v>
      </c>
      <c r="G160" s="18">
        <v>7.61</v>
      </c>
      <c r="H160" s="15">
        <v>23.8</v>
      </c>
      <c r="I160" s="15">
        <v>0.75</v>
      </c>
      <c r="J160" s="15">
        <v>100</v>
      </c>
      <c r="K160" s="15"/>
      <c r="L160" s="15">
        <v>100</v>
      </c>
      <c r="M160" s="17">
        <v>3</v>
      </c>
      <c r="N160" s="1">
        <v>5</v>
      </c>
      <c r="O160" s="1">
        <v>10</v>
      </c>
    </row>
    <row r="161" spans="1:15" ht="15.75" customHeight="1" x14ac:dyDescent="0.35">
      <c r="A161" s="15" t="s">
        <v>164</v>
      </c>
      <c r="B161" s="23" t="s">
        <v>183</v>
      </c>
      <c r="C161" s="17">
        <v>189</v>
      </c>
      <c r="D161" s="15"/>
      <c r="E161" s="15"/>
      <c r="F161" s="15">
        <v>81</v>
      </c>
      <c r="G161" s="18">
        <v>5.23</v>
      </c>
      <c r="H161" s="15">
        <v>27.03</v>
      </c>
      <c r="I161" s="15">
        <v>0</v>
      </c>
      <c r="J161" s="15">
        <v>100</v>
      </c>
      <c r="K161" s="15">
        <v>400</v>
      </c>
      <c r="L161" s="15">
        <v>100</v>
      </c>
      <c r="M161" s="17">
        <v>3</v>
      </c>
      <c r="N161" s="1">
        <v>4</v>
      </c>
      <c r="O161" s="1">
        <v>5</v>
      </c>
    </row>
    <row r="162" spans="1:15" ht="15.75" customHeight="1" x14ac:dyDescent="0.35">
      <c r="A162" s="15" t="s">
        <v>164</v>
      </c>
      <c r="B162" s="23" t="s">
        <v>185</v>
      </c>
      <c r="C162" s="17">
        <v>190</v>
      </c>
      <c r="D162" s="15"/>
      <c r="E162" s="15"/>
      <c r="F162" s="15">
        <v>88</v>
      </c>
      <c r="G162" s="18">
        <v>24.87</v>
      </c>
      <c r="H162" s="15">
        <v>23.25</v>
      </c>
      <c r="I162" s="15">
        <v>0.45</v>
      </c>
      <c r="J162" s="15">
        <v>100</v>
      </c>
      <c r="K162" s="15"/>
      <c r="L162" s="15">
        <v>100</v>
      </c>
      <c r="M162" s="17">
        <v>1</v>
      </c>
      <c r="N162" s="1">
        <v>1</v>
      </c>
      <c r="O162" s="1">
        <v>1</v>
      </c>
    </row>
    <row r="163" spans="1:15" ht="15.75" customHeight="1" x14ac:dyDescent="0.35">
      <c r="A163" s="15" t="s">
        <v>164</v>
      </c>
      <c r="B163" s="23" t="s">
        <v>185</v>
      </c>
      <c r="C163" s="17">
        <v>189</v>
      </c>
      <c r="D163" s="15"/>
      <c r="E163" s="15"/>
      <c r="F163" s="15">
        <v>72</v>
      </c>
      <c r="G163" s="18">
        <v>4.6399999999999997</v>
      </c>
      <c r="H163" s="15">
        <v>24.9</v>
      </c>
      <c r="I163" s="15">
        <v>3.17</v>
      </c>
      <c r="J163" s="15">
        <v>100</v>
      </c>
      <c r="K163" s="15">
        <v>400</v>
      </c>
      <c r="L163" s="15">
        <v>76.19</v>
      </c>
      <c r="M163" s="17">
        <v>1</v>
      </c>
      <c r="N163" s="1">
        <v>2</v>
      </c>
      <c r="O163" s="1">
        <v>4</v>
      </c>
    </row>
    <row r="164" spans="1:15" ht="15.75" customHeight="1" x14ac:dyDescent="0.35">
      <c r="A164" s="15" t="s">
        <v>164</v>
      </c>
      <c r="B164" s="23" t="s">
        <v>186</v>
      </c>
      <c r="C164" s="17">
        <v>190</v>
      </c>
      <c r="D164" s="15"/>
      <c r="E164" s="15"/>
      <c r="F164" s="15">
        <v>86</v>
      </c>
      <c r="G164" s="18">
        <v>0.14000000000000001</v>
      </c>
      <c r="H164" s="15">
        <v>18.55</v>
      </c>
      <c r="I164" s="15">
        <v>0</v>
      </c>
      <c r="J164" s="15">
        <v>100</v>
      </c>
      <c r="K164" s="15"/>
      <c r="L164" s="15">
        <v>100</v>
      </c>
      <c r="M164" s="17">
        <v>6</v>
      </c>
      <c r="N164" s="1">
        <v>5</v>
      </c>
      <c r="O164" s="1">
        <v>5</v>
      </c>
    </row>
    <row r="165" spans="1:15" ht="15.75" customHeight="1" x14ac:dyDescent="0.35">
      <c r="A165" s="15" t="s">
        <v>164</v>
      </c>
      <c r="B165" s="23" t="s">
        <v>186</v>
      </c>
      <c r="C165" s="17">
        <v>201</v>
      </c>
      <c r="D165" s="15"/>
      <c r="E165" s="15"/>
      <c r="F165" s="15">
        <v>87</v>
      </c>
      <c r="G165" s="18">
        <v>0.15</v>
      </c>
      <c r="H165" s="15">
        <v>15.2</v>
      </c>
      <c r="I165" s="15">
        <v>0</v>
      </c>
      <c r="J165" s="15">
        <v>100</v>
      </c>
      <c r="K165" s="15"/>
      <c r="L165" s="15">
        <v>100</v>
      </c>
      <c r="M165" s="17">
        <v>6</v>
      </c>
      <c r="N165" s="1">
        <v>3</v>
      </c>
      <c r="O165" s="1">
        <v>3</v>
      </c>
    </row>
    <row r="166" spans="1:15" ht="15.75" customHeight="1" x14ac:dyDescent="0.35">
      <c r="A166" s="15" t="s">
        <v>164</v>
      </c>
      <c r="B166" s="23" t="s">
        <v>186</v>
      </c>
      <c r="C166" s="17">
        <v>189</v>
      </c>
      <c r="D166" s="15"/>
      <c r="E166" s="15"/>
      <c r="F166" s="15">
        <v>83</v>
      </c>
      <c r="G166" s="18">
        <v>0.20499999999999999</v>
      </c>
      <c r="H166" s="15">
        <v>24.8</v>
      </c>
      <c r="I166" s="15">
        <v>0</v>
      </c>
      <c r="J166" s="15">
        <v>100</v>
      </c>
      <c r="K166" s="15">
        <v>400</v>
      </c>
      <c r="L166" s="15">
        <v>76.19</v>
      </c>
      <c r="M166" s="17">
        <v>6</v>
      </c>
      <c r="N166" s="1">
        <v>0</v>
      </c>
      <c r="O166" s="1">
        <v>0</v>
      </c>
    </row>
    <row r="167" spans="1:15" ht="15.75" customHeight="1" x14ac:dyDescent="0.35">
      <c r="A167" s="15"/>
      <c r="B167" s="15"/>
      <c r="C167" s="17"/>
      <c r="D167" s="15"/>
      <c r="E167" s="15"/>
      <c r="F167" s="15"/>
      <c r="G167" s="18"/>
      <c r="H167" s="15"/>
      <c r="I167" s="15"/>
      <c r="J167" s="15"/>
      <c r="K167" s="15"/>
      <c r="L167" s="15"/>
      <c r="M167" s="17"/>
      <c r="N167" s="1">
        <v>0</v>
      </c>
      <c r="O167" s="1">
        <v>0</v>
      </c>
    </row>
    <row r="168" spans="1:15" ht="15.75" customHeight="1" x14ac:dyDescent="0.35">
      <c r="A168" s="15" t="s">
        <v>168</v>
      </c>
      <c r="B168" s="15" t="s">
        <v>176</v>
      </c>
      <c r="C168" s="17">
        <v>228</v>
      </c>
      <c r="D168" s="15"/>
      <c r="E168" s="15"/>
      <c r="F168" s="15">
        <v>92</v>
      </c>
      <c r="G168" s="18">
        <v>0.14000000000000001</v>
      </c>
      <c r="H168" s="15">
        <v>22.5</v>
      </c>
      <c r="I168" s="15">
        <v>0</v>
      </c>
      <c r="J168" s="15">
        <v>100</v>
      </c>
      <c r="K168" s="15">
        <v>400</v>
      </c>
      <c r="L168" s="15">
        <v>95.24</v>
      </c>
      <c r="M168" s="17">
        <v>4</v>
      </c>
      <c r="N168" s="1">
        <v>6</v>
      </c>
      <c r="O168" s="1">
        <v>11</v>
      </c>
    </row>
    <row r="169" spans="1:15" ht="15.75" customHeight="1" x14ac:dyDescent="0.35">
      <c r="A169" s="15" t="s">
        <v>168</v>
      </c>
      <c r="B169" s="15" t="s">
        <v>176</v>
      </c>
      <c r="C169" s="17">
        <v>225</v>
      </c>
      <c r="D169" s="15"/>
      <c r="E169" s="15"/>
      <c r="F169" s="15">
        <v>92</v>
      </c>
      <c r="G169" s="18">
        <v>0.14000000000000001</v>
      </c>
      <c r="H169" s="15">
        <v>22.5</v>
      </c>
      <c r="I169" s="15">
        <v>0</v>
      </c>
      <c r="J169" s="15">
        <v>60</v>
      </c>
      <c r="K169" s="15"/>
      <c r="L169" s="15">
        <v>100</v>
      </c>
      <c r="M169" s="17">
        <v>4</v>
      </c>
      <c r="N169" s="1">
        <v>1</v>
      </c>
      <c r="O169" s="1">
        <v>2</v>
      </c>
    </row>
    <row r="170" spans="1:15" ht="15.75" customHeight="1" x14ac:dyDescent="0.35">
      <c r="A170" s="15" t="s">
        <v>168</v>
      </c>
      <c r="B170" s="15" t="s">
        <v>177</v>
      </c>
      <c r="C170" s="17">
        <v>228</v>
      </c>
      <c r="D170" s="15"/>
      <c r="E170" s="15"/>
      <c r="F170" s="15">
        <v>97</v>
      </c>
      <c r="G170" s="18">
        <v>4.5999999999999996</v>
      </c>
      <c r="H170" s="15">
        <v>24.3</v>
      </c>
      <c r="I170" s="15">
        <v>0</v>
      </c>
      <c r="J170" s="15">
        <v>100</v>
      </c>
      <c r="K170" s="15">
        <v>400</v>
      </c>
      <c r="L170" s="15">
        <v>95.24</v>
      </c>
      <c r="M170" s="17">
        <v>3</v>
      </c>
      <c r="N170" s="1">
        <v>17</v>
      </c>
      <c r="O170" s="1">
        <v>24</v>
      </c>
    </row>
    <row r="171" spans="1:15" ht="15.75" customHeight="1" x14ac:dyDescent="0.35">
      <c r="A171" s="15" t="s">
        <v>168</v>
      </c>
      <c r="B171" s="15" t="s">
        <v>179</v>
      </c>
      <c r="C171" s="17">
        <v>225</v>
      </c>
      <c r="D171" s="15"/>
      <c r="E171" s="15"/>
      <c r="F171" s="15">
        <v>99</v>
      </c>
      <c r="G171" s="18">
        <v>24.2</v>
      </c>
      <c r="H171" s="15">
        <v>26.1</v>
      </c>
      <c r="I171" s="15">
        <v>0</v>
      </c>
      <c r="J171" s="15">
        <v>60</v>
      </c>
      <c r="K171" s="15"/>
      <c r="L171" s="15">
        <v>100</v>
      </c>
      <c r="M171" s="17">
        <v>5</v>
      </c>
      <c r="N171" s="1">
        <v>1</v>
      </c>
      <c r="O171" s="1">
        <v>1</v>
      </c>
    </row>
    <row r="172" spans="1:15" ht="15.75" customHeight="1" x14ac:dyDescent="0.35">
      <c r="A172" s="15" t="s">
        <v>168</v>
      </c>
      <c r="B172" s="15" t="s">
        <v>179</v>
      </c>
      <c r="C172" s="17">
        <v>228</v>
      </c>
      <c r="D172" s="15"/>
      <c r="E172" s="15"/>
      <c r="F172" s="15">
        <v>99</v>
      </c>
      <c r="G172" s="18">
        <v>24.2</v>
      </c>
      <c r="H172" s="15">
        <v>26.1</v>
      </c>
      <c r="I172" s="15">
        <v>0</v>
      </c>
      <c r="J172" s="15">
        <v>35</v>
      </c>
      <c r="K172" s="15">
        <v>400</v>
      </c>
      <c r="L172" s="15">
        <v>100</v>
      </c>
      <c r="M172" s="17">
        <v>5</v>
      </c>
      <c r="N172" s="1">
        <v>11</v>
      </c>
      <c r="O172" s="1">
        <v>11</v>
      </c>
    </row>
    <row r="173" spans="1:15" ht="15.75" customHeight="1" x14ac:dyDescent="0.35">
      <c r="A173" s="15" t="s">
        <v>168</v>
      </c>
      <c r="B173" s="15" t="s">
        <v>179</v>
      </c>
      <c r="C173" s="17">
        <v>227</v>
      </c>
      <c r="D173" s="15"/>
      <c r="E173" s="15"/>
      <c r="F173" s="15">
        <v>84</v>
      </c>
      <c r="G173" s="18">
        <v>0.17</v>
      </c>
      <c r="H173" s="15">
        <v>24</v>
      </c>
      <c r="I173" s="15">
        <v>0</v>
      </c>
      <c r="J173" s="15">
        <v>100</v>
      </c>
      <c r="K173" s="15">
        <v>400</v>
      </c>
      <c r="L173" s="15">
        <v>52.38</v>
      </c>
      <c r="M173" s="17">
        <v>5</v>
      </c>
      <c r="N173" s="1">
        <v>2</v>
      </c>
      <c r="O173" s="1">
        <v>2</v>
      </c>
    </row>
    <row r="174" spans="1:15" ht="15.75" customHeight="1" x14ac:dyDescent="0.35">
      <c r="A174" s="15" t="s">
        <v>168</v>
      </c>
      <c r="B174" s="15" t="s">
        <v>180</v>
      </c>
      <c r="C174" s="17">
        <v>223</v>
      </c>
      <c r="D174" s="15"/>
      <c r="E174" s="15"/>
      <c r="F174" s="15">
        <v>97</v>
      </c>
      <c r="G174" s="18">
        <v>1.08</v>
      </c>
      <c r="H174" s="15">
        <v>25.4</v>
      </c>
      <c r="I174" s="15">
        <v>0</v>
      </c>
      <c r="J174" s="15">
        <v>100</v>
      </c>
      <c r="K174" s="15"/>
      <c r="L174" s="15">
        <v>100</v>
      </c>
      <c r="M174" s="17">
        <v>5</v>
      </c>
      <c r="N174" s="1">
        <v>6</v>
      </c>
      <c r="O174" s="1">
        <v>8</v>
      </c>
    </row>
    <row r="175" spans="1:15" ht="15.75" customHeight="1" x14ac:dyDescent="0.35">
      <c r="A175" s="15" t="s">
        <v>168</v>
      </c>
      <c r="B175" s="15" t="s">
        <v>180</v>
      </c>
      <c r="C175" s="17">
        <v>228</v>
      </c>
      <c r="D175" s="15"/>
      <c r="E175" s="15"/>
      <c r="F175" s="15">
        <v>97</v>
      </c>
      <c r="G175" s="18">
        <v>1.08</v>
      </c>
      <c r="H175" s="15">
        <v>25.4</v>
      </c>
      <c r="I175" s="15">
        <v>0</v>
      </c>
      <c r="J175" s="15">
        <v>65</v>
      </c>
      <c r="K175" s="15">
        <v>400</v>
      </c>
      <c r="L175" s="15">
        <v>100</v>
      </c>
      <c r="M175" s="17">
        <v>5</v>
      </c>
      <c r="N175" s="1">
        <v>9</v>
      </c>
      <c r="O175" s="1">
        <v>9</v>
      </c>
    </row>
    <row r="176" spans="1:15" ht="15.75" customHeight="1" x14ac:dyDescent="0.35">
      <c r="A176" s="15" t="s">
        <v>168</v>
      </c>
      <c r="B176" s="1" t="s">
        <v>180</v>
      </c>
      <c r="C176" s="2">
        <v>227</v>
      </c>
      <c r="F176" s="1">
        <v>80</v>
      </c>
      <c r="G176" s="46">
        <v>0.04</v>
      </c>
      <c r="H176" s="1">
        <v>25.3</v>
      </c>
      <c r="I176" s="1">
        <v>0</v>
      </c>
      <c r="J176" s="1">
        <v>100</v>
      </c>
      <c r="K176" s="1">
        <v>400</v>
      </c>
      <c r="L176" s="1">
        <v>52.38</v>
      </c>
      <c r="M176" s="2">
        <v>5</v>
      </c>
      <c r="N176" s="1">
        <v>0</v>
      </c>
      <c r="O176" s="1">
        <v>0</v>
      </c>
    </row>
    <row r="177" spans="1:15" ht="15.75" customHeight="1" x14ac:dyDescent="0.35">
      <c r="A177" s="15" t="s">
        <v>168</v>
      </c>
      <c r="B177" s="1" t="s">
        <v>181</v>
      </c>
      <c r="C177" s="2">
        <v>223</v>
      </c>
      <c r="F177" s="1">
        <v>87</v>
      </c>
      <c r="G177" s="46">
        <v>9.8000000000000007</v>
      </c>
      <c r="H177" s="1">
        <v>34.5</v>
      </c>
      <c r="I177" s="1">
        <v>0</v>
      </c>
      <c r="J177" s="1">
        <v>90</v>
      </c>
      <c r="L177" s="1">
        <v>100</v>
      </c>
      <c r="M177" s="2">
        <v>3</v>
      </c>
      <c r="N177" s="1">
        <v>4</v>
      </c>
      <c r="O177" s="1">
        <v>4</v>
      </c>
    </row>
    <row r="178" spans="1:15" ht="15.75" customHeight="1" x14ac:dyDescent="0.35">
      <c r="A178" s="15" t="s">
        <v>168</v>
      </c>
      <c r="B178" s="1" t="s">
        <v>181</v>
      </c>
      <c r="C178" s="2">
        <v>228</v>
      </c>
      <c r="F178" s="1">
        <v>87</v>
      </c>
      <c r="G178" s="46">
        <v>9.8000000000000007</v>
      </c>
      <c r="H178" s="1">
        <v>34.5</v>
      </c>
      <c r="I178" s="1">
        <v>0</v>
      </c>
      <c r="J178" s="1">
        <v>0</v>
      </c>
      <c r="K178" s="1">
        <v>400</v>
      </c>
      <c r="L178" s="1">
        <v>100</v>
      </c>
      <c r="M178" s="2">
        <v>3</v>
      </c>
      <c r="N178" s="1">
        <v>3</v>
      </c>
      <c r="O178" s="1">
        <v>3</v>
      </c>
    </row>
    <row r="179" spans="1:15" ht="15.75" customHeight="1" x14ac:dyDescent="0.35">
      <c r="A179" s="15" t="s">
        <v>168</v>
      </c>
      <c r="B179" s="1" t="s">
        <v>181</v>
      </c>
      <c r="C179" s="2">
        <v>227</v>
      </c>
      <c r="F179" s="1">
        <v>80</v>
      </c>
      <c r="G179" s="46">
        <v>1.5</v>
      </c>
      <c r="H179" s="1">
        <v>26.9</v>
      </c>
      <c r="I179" s="1">
        <v>0</v>
      </c>
      <c r="J179" s="1">
        <v>100</v>
      </c>
      <c r="K179" s="1">
        <v>400</v>
      </c>
      <c r="L179" s="1">
        <v>47.62</v>
      </c>
      <c r="M179" s="2">
        <v>3</v>
      </c>
      <c r="N179" s="1">
        <v>3</v>
      </c>
      <c r="O179" s="1">
        <v>4</v>
      </c>
    </row>
    <row r="180" spans="1:15" ht="15.75" customHeight="1" x14ac:dyDescent="0.35">
      <c r="A180" s="15" t="s">
        <v>168</v>
      </c>
      <c r="B180" s="1" t="s">
        <v>182</v>
      </c>
      <c r="C180" s="2">
        <v>228</v>
      </c>
      <c r="F180" s="1">
        <v>81</v>
      </c>
      <c r="G180" s="46">
        <v>36.6</v>
      </c>
      <c r="H180" s="1">
        <v>31.4</v>
      </c>
      <c r="I180" s="1">
        <v>0.8</v>
      </c>
      <c r="J180" s="1">
        <v>96</v>
      </c>
      <c r="K180" s="1">
        <v>400</v>
      </c>
      <c r="L180" s="1">
        <v>100</v>
      </c>
      <c r="M180" s="2">
        <v>3</v>
      </c>
      <c r="N180" s="1">
        <v>7</v>
      </c>
      <c r="O180" s="1">
        <v>7</v>
      </c>
    </row>
    <row r="181" spans="1:15" ht="15.75" customHeight="1" x14ac:dyDescent="0.35">
      <c r="A181" s="15" t="s">
        <v>168</v>
      </c>
      <c r="B181" s="1" t="s">
        <v>182</v>
      </c>
      <c r="C181" s="2">
        <v>227</v>
      </c>
      <c r="F181" s="1">
        <v>79</v>
      </c>
      <c r="G181" s="46">
        <v>13.35</v>
      </c>
      <c r="H181" s="1">
        <v>29.2</v>
      </c>
      <c r="I181" s="1">
        <v>0</v>
      </c>
      <c r="J181" s="1">
        <v>100</v>
      </c>
      <c r="K181" s="1">
        <v>400</v>
      </c>
      <c r="L181" s="1">
        <v>100</v>
      </c>
      <c r="M181" s="2">
        <v>3</v>
      </c>
      <c r="N181" s="1">
        <v>2</v>
      </c>
      <c r="O181" s="1">
        <v>2</v>
      </c>
    </row>
    <row r="182" spans="1:15" ht="15.75" customHeight="1" x14ac:dyDescent="0.35">
      <c r="A182" s="15" t="s">
        <v>168</v>
      </c>
      <c r="B182" s="1" t="s">
        <v>184</v>
      </c>
      <c r="C182" s="2">
        <v>227</v>
      </c>
      <c r="F182" s="1">
        <v>92</v>
      </c>
      <c r="G182" s="46">
        <v>15.6</v>
      </c>
      <c r="H182" s="1">
        <v>23.5</v>
      </c>
      <c r="I182" s="1">
        <v>0.7</v>
      </c>
      <c r="J182" s="1">
        <v>2</v>
      </c>
      <c r="K182" s="1">
        <v>400</v>
      </c>
      <c r="L182" s="1">
        <v>100</v>
      </c>
      <c r="M182" s="2">
        <v>2</v>
      </c>
      <c r="N182" s="1">
        <v>1</v>
      </c>
      <c r="O182" s="1">
        <v>1</v>
      </c>
    </row>
    <row r="183" spans="1:15" ht="15.75" customHeight="1" x14ac:dyDescent="0.35">
      <c r="A183" s="15" t="s">
        <v>168</v>
      </c>
      <c r="B183" s="1" t="s">
        <v>184</v>
      </c>
      <c r="C183" s="2">
        <v>227</v>
      </c>
      <c r="F183" s="1">
        <v>79</v>
      </c>
      <c r="G183" s="46">
        <v>7.6</v>
      </c>
      <c r="H183" s="1">
        <v>25.4</v>
      </c>
      <c r="I183" s="1">
        <v>0</v>
      </c>
      <c r="J183" s="1">
        <v>100</v>
      </c>
      <c r="K183" s="1">
        <v>400</v>
      </c>
      <c r="L183" s="1">
        <v>100</v>
      </c>
      <c r="M183" s="2">
        <v>2</v>
      </c>
      <c r="N183" s="1">
        <v>2</v>
      </c>
      <c r="O183" s="1">
        <v>5</v>
      </c>
    </row>
    <row r="184" spans="1:15" ht="15.75" customHeight="1" x14ac:dyDescent="0.35">
      <c r="A184" s="15" t="s">
        <v>168</v>
      </c>
      <c r="B184" s="1" t="s">
        <v>183</v>
      </c>
      <c r="C184" s="2">
        <v>224</v>
      </c>
      <c r="F184" s="1">
        <v>89</v>
      </c>
      <c r="G184" s="46">
        <v>1.1000000000000001</v>
      </c>
      <c r="H184" s="1">
        <v>22.3</v>
      </c>
      <c r="I184" s="1">
        <v>0</v>
      </c>
      <c r="J184" s="1">
        <v>2</v>
      </c>
      <c r="L184" s="1">
        <v>100</v>
      </c>
      <c r="M184" s="2">
        <v>3</v>
      </c>
      <c r="N184" s="1">
        <v>7</v>
      </c>
      <c r="O184" s="1">
        <v>10</v>
      </c>
    </row>
    <row r="185" spans="1:15" ht="15.75" customHeight="1" x14ac:dyDescent="0.35">
      <c r="A185" s="15" t="s">
        <v>168</v>
      </c>
      <c r="B185" s="1" t="s">
        <v>183</v>
      </c>
      <c r="C185" s="2">
        <v>227</v>
      </c>
      <c r="F185" s="1">
        <v>89</v>
      </c>
      <c r="G185" s="46">
        <v>1</v>
      </c>
      <c r="H185" s="1">
        <v>22.2</v>
      </c>
      <c r="I185" s="1">
        <v>0</v>
      </c>
      <c r="J185" s="1">
        <v>100</v>
      </c>
      <c r="K185" s="1">
        <v>400</v>
      </c>
      <c r="L185" s="1">
        <v>100</v>
      </c>
      <c r="M185" s="2">
        <v>3</v>
      </c>
      <c r="N185" s="1">
        <v>4</v>
      </c>
      <c r="O185" s="1">
        <v>4</v>
      </c>
    </row>
    <row r="186" spans="1:15" ht="15.75" customHeight="1" x14ac:dyDescent="0.35">
      <c r="A186" s="15" t="s">
        <v>168</v>
      </c>
      <c r="B186" s="1" t="s">
        <v>183</v>
      </c>
      <c r="C186" s="2">
        <v>227</v>
      </c>
      <c r="F186" s="1">
        <v>72</v>
      </c>
      <c r="G186" s="1">
        <v>0.75</v>
      </c>
      <c r="H186" s="1">
        <v>25</v>
      </c>
      <c r="I186" s="1">
        <v>0.9</v>
      </c>
      <c r="J186" s="1">
        <v>100</v>
      </c>
      <c r="K186" s="1">
        <v>400</v>
      </c>
      <c r="L186" s="1">
        <v>100</v>
      </c>
      <c r="M186" s="2">
        <v>3</v>
      </c>
      <c r="N186" s="1">
        <v>2</v>
      </c>
      <c r="O186" s="1">
        <v>3</v>
      </c>
    </row>
    <row r="187" spans="1:15" ht="15.75" customHeight="1" x14ac:dyDescent="0.35">
      <c r="A187" s="15" t="s">
        <v>168</v>
      </c>
      <c r="B187" s="1" t="s">
        <v>185</v>
      </c>
      <c r="C187" s="2">
        <v>227</v>
      </c>
      <c r="F187" s="1">
        <v>60</v>
      </c>
      <c r="G187" s="46">
        <v>44</v>
      </c>
      <c r="H187" s="1">
        <v>32.6</v>
      </c>
      <c r="I187" s="1">
        <v>0</v>
      </c>
      <c r="J187" s="1">
        <v>85</v>
      </c>
      <c r="K187" s="1">
        <v>400</v>
      </c>
      <c r="L187" s="1">
        <v>100</v>
      </c>
      <c r="M187" s="2">
        <v>1</v>
      </c>
      <c r="N187" s="1">
        <v>2</v>
      </c>
      <c r="O187" s="1">
        <v>4</v>
      </c>
    </row>
    <row r="188" spans="1:15" ht="15.75" customHeight="1" x14ac:dyDescent="0.35">
      <c r="A188" s="15" t="s">
        <v>168</v>
      </c>
      <c r="B188" s="1" t="s">
        <v>185</v>
      </c>
      <c r="C188" s="2">
        <v>227</v>
      </c>
      <c r="F188" s="1">
        <v>79</v>
      </c>
      <c r="G188" s="46">
        <v>39.200000000000003</v>
      </c>
      <c r="H188" s="1">
        <v>31.4</v>
      </c>
      <c r="I188" s="1">
        <v>0</v>
      </c>
      <c r="J188" s="1">
        <v>100</v>
      </c>
      <c r="K188" s="1">
        <v>400</v>
      </c>
      <c r="L188" s="1">
        <v>100</v>
      </c>
      <c r="M188" s="2">
        <v>1</v>
      </c>
      <c r="N188" s="1">
        <v>0</v>
      </c>
      <c r="O188" s="1">
        <v>0</v>
      </c>
    </row>
    <row r="189" spans="1:15" ht="15.75" customHeight="1" x14ac:dyDescent="0.35">
      <c r="A189" s="15" t="s">
        <v>168</v>
      </c>
      <c r="B189" s="1" t="s">
        <v>186</v>
      </c>
      <c r="C189" s="2">
        <v>227</v>
      </c>
      <c r="F189" s="1">
        <v>76</v>
      </c>
      <c r="G189" s="46">
        <v>1.53</v>
      </c>
      <c r="H189" s="1">
        <v>25.4</v>
      </c>
      <c r="I189" s="1">
        <v>0</v>
      </c>
      <c r="J189" s="1">
        <v>100</v>
      </c>
      <c r="K189" s="1">
        <v>400</v>
      </c>
      <c r="L189" s="1">
        <v>76.19</v>
      </c>
      <c r="M189" s="2">
        <v>6</v>
      </c>
      <c r="N189" s="1">
        <v>4</v>
      </c>
      <c r="O189" s="1">
        <v>5</v>
      </c>
    </row>
    <row r="190" spans="1:15" ht="15.75" customHeight="1" x14ac:dyDescent="0.35">
      <c r="G190" s="46"/>
      <c r="N190" s="1">
        <v>0</v>
      </c>
      <c r="O190" s="1">
        <v>0</v>
      </c>
    </row>
    <row r="191" spans="1:15" ht="15.75" customHeight="1" x14ac:dyDescent="0.35">
      <c r="A191" s="1" t="s">
        <v>172</v>
      </c>
      <c r="B191" s="1" t="s">
        <v>176</v>
      </c>
      <c r="C191" s="2">
        <v>250</v>
      </c>
      <c r="F191" s="1">
        <v>81</v>
      </c>
      <c r="G191" s="46">
        <v>1.6</v>
      </c>
      <c r="H191" s="1">
        <v>26.5</v>
      </c>
      <c r="I191" s="1">
        <v>0</v>
      </c>
      <c r="J191" s="1">
        <v>30</v>
      </c>
      <c r="L191" s="1">
        <v>100</v>
      </c>
      <c r="M191" s="2">
        <v>4</v>
      </c>
      <c r="N191" s="1">
        <v>12</v>
      </c>
      <c r="O191" s="1">
        <v>18</v>
      </c>
    </row>
    <row r="192" spans="1:15" ht="15.75" customHeight="1" x14ac:dyDescent="0.35">
      <c r="A192" s="1" t="s">
        <v>172</v>
      </c>
      <c r="B192" s="1" t="s">
        <v>177</v>
      </c>
      <c r="C192" s="2">
        <v>250</v>
      </c>
      <c r="F192" s="1">
        <v>96</v>
      </c>
      <c r="G192" s="46">
        <v>1.1299999999999999</v>
      </c>
      <c r="H192" s="1">
        <v>26.4</v>
      </c>
      <c r="I192" s="1">
        <v>0</v>
      </c>
      <c r="J192" s="1">
        <v>100</v>
      </c>
      <c r="L192" s="1">
        <v>100</v>
      </c>
      <c r="M192" s="2">
        <v>3</v>
      </c>
      <c r="N192" s="1">
        <v>5</v>
      </c>
      <c r="O192" s="1">
        <v>5</v>
      </c>
    </row>
    <row r="193" spans="1:15" ht="15.75" customHeight="1" x14ac:dyDescent="0.35">
      <c r="A193" s="1" t="s">
        <v>172</v>
      </c>
      <c r="B193" s="1" t="s">
        <v>179</v>
      </c>
      <c r="C193" s="2">
        <v>251</v>
      </c>
      <c r="F193" s="1">
        <v>99</v>
      </c>
      <c r="G193" s="46">
        <v>0.28000000000000003</v>
      </c>
      <c r="H193" s="1">
        <v>23.5</v>
      </c>
      <c r="I193" s="1">
        <v>0</v>
      </c>
      <c r="J193" s="1">
        <v>100</v>
      </c>
      <c r="K193" s="1">
        <v>550</v>
      </c>
      <c r="L193" s="1">
        <v>100</v>
      </c>
      <c r="M193" s="2">
        <v>5</v>
      </c>
      <c r="N193" s="1">
        <v>7</v>
      </c>
      <c r="O193" s="1">
        <v>10</v>
      </c>
    </row>
    <row r="194" spans="1:15" ht="15.75" customHeight="1" x14ac:dyDescent="0.35">
      <c r="A194" s="1" t="s">
        <v>172</v>
      </c>
      <c r="B194" s="1" t="s">
        <v>180</v>
      </c>
      <c r="C194" s="2">
        <v>251</v>
      </c>
      <c r="F194" s="1">
        <v>96</v>
      </c>
      <c r="G194" s="46">
        <v>0.64</v>
      </c>
      <c r="H194" s="1">
        <v>24.9</v>
      </c>
      <c r="I194" s="1">
        <v>0</v>
      </c>
      <c r="J194" s="1">
        <v>100</v>
      </c>
      <c r="L194" s="1">
        <v>100</v>
      </c>
      <c r="M194" s="2">
        <v>5</v>
      </c>
      <c r="N194" s="1">
        <v>9</v>
      </c>
      <c r="O194" s="1">
        <v>9</v>
      </c>
    </row>
    <row r="195" spans="1:15" ht="15.75" customHeight="1" x14ac:dyDescent="0.35">
      <c r="A195" s="1" t="s">
        <v>172</v>
      </c>
      <c r="B195" s="1" t="s">
        <v>181</v>
      </c>
      <c r="C195" s="2">
        <v>251</v>
      </c>
      <c r="F195" s="1">
        <v>98</v>
      </c>
      <c r="G195" s="46">
        <v>2.2799999999999998</v>
      </c>
      <c r="H195" s="1">
        <v>23.7</v>
      </c>
      <c r="I195" s="1">
        <v>0</v>
      </c>
      <c r="J195" s="1">
        <v>100</v>
      </c>
      <c r="K195" s="1">
        <v>550</v>
      </c>
      <c r="L195" s="1">
        <v>100</v>
      </c>
      <c r="M195" s="2">
        <v>3</v>
      </c>
      <c r="N195" s="1">
        <v>4</v>
      </c>
      <c r="O195" s="1">
        <v>4</v>
      </c>
    </row>
    <row r="196" spans="1:15" ht="15.75" customHeight="1" x14ac:dyDescent="0.35">
      <c r="A196" s="1" t="s">
        <v>172</v>
      </c>
      <c r="B196" s="1" t="s">
        <v>182</v>
      </c>
      <c r="C196" s="2">
        <v>251</v>
      </c>
      <c r="F196" s="1">
        <v>99</v>
      </c>
      <c r="G196" s="46">
        <v>7.2350000000000003</v>
      </c>
      <c r="H196" s="1">
        <v>24.6</v>
      </c>
      <c r="I196" s="1">
        <v>1.4</v>
      </c>
      <c r="J196" s="1">
        <v>100</v>
      </c>
      <c r="K196" s="1">
        <v>550</v>
      </c>
      <c r="L196" s="1">
        <v>100</v>
      </c>
      <c r="M196" s="2">
        <v>3</v>
      </c>
      <c r="N196" s="1">
        <v>10</v>
      </c>
      <c r="O196" s="1">
        <v>16</v>
      </c>
    </row>
    <row r="197" spans="1:15" ht="15.75" customHeight="1" x14ac:dyDescent="0.35">
      <c r="A197" s="1" t="s">
        <v>172</v>
      </c>
      <c r="B197" s="1" t="s">
        <v>184</v>
      </c>
      <c r="C197" s="2">
        <v>251</v>
      </c>
      <c r="F197" s="1">
        <v>78</v>
      </c>
      <c r="G197" s="46">
        <v>17.850000000000001</v>
      </c>
      <c r="H197" s="1">
        <v>26.8</v>
      </c>
      <c r="I197" s="1">
        <v>0.7</v>
      </c>
      <c r="J197" s="1">
        <v>100</v>
      </c>
      <c r="K197" s="1">
        <v>550</v>
      </c>
      <c r="L197" s="1">
        <v>100</v>
      </c>
      <c r="M197" s="2">
        <v>2</v>
      </c>
      <c r="N197" s="1">
        <v>3</v>
      </c>
      <c r="O197" s="1">
        <v>3</v>
      </c>
    </row>
    <row r="198" spans="1:15" ht="15.75" customHeight="1" x14ac:dyDescent="0.35">
      <c r="A198" s="1" t="s">
        <v>172</v>
      </c>
      <c r="B198" s="1" t="s">
        <v>183</v>
      </c>
      <c r="C198" s="2">
        <v>252</v>
      </c>
      <c r="F198" s="1">
        <v>92</v>
      </c>
      <c r="G198" s="46">
        <v>44.68</v>
      </c>
      <c r="H198" s="1">
        <v>23.2</v>
      </c>
      <c r="I198" s="1">
        <v>0.6</v>
      </c>
      <c r="J198" s="1">
        <v>0</v>
      </c>
      <c r="L198" s="1">
        <v>100</v>
      </c>
      <c r="M198" s="2">
        <v>3</v>
      </c>
      <c r="N198" s="1">
        <v>8</v>
      </c>
      <c r="O198" s="1">
        <v>9</v>
      </c>
    </row>
    <row r="199" spans="1:15" ht="15.75" customHeight="1" x14ac:dyDescent="0.35">
      <c r="A199" s="1" t="s">
        <v>172</v>
      </c>
      <c r="B199" s="1" t="s">
        <v>183</v>
      </c>
      <c r="C199" s="2">
        <v>252</v>
      </c>
      <c r="F199" s="1">
        <v>84</v>
      </c>
      <c r="G199" s="46">
        <v>0.5</v>
      </c>
      <c r="H199" s="1">
        <v>25.9</v>
      </c>
      <c r="I199" s="1">
        <v>0</v>
      </c>
      <c r="J199" s="1">
        <v>100</v>
      </c>
      <c r="L199" s="1">
        <v>100</v>
      </c>
      <c r="M199" s="2">
        <v>3</v>
      </c>
      <c r="N199" s="1">
        <v>4</v>
      </c>
      <c r="O199" s="1">
        <v>4</v>
      </c>
    </row>
    <row r="200" spans="1:15" ht="15.75" customHeight="1" x14ac:dyDescent="0.35">
      <c r="A200" s="1" t="s">
        <v>172</v>
      </c>
      <c r="B200" s="1" t="s">
        <v>186</v>
      </c>
      <c r="C200" s="2">
        <v>252</v>
      </c>
      <c r="F200" s="1">
        <v>83</v>
      </c>
      <c r="G200" s="46">
        <v>1.1299999999999999</v>
      </c>
      <c r="H200" s="1">
        <v>25.5</v>
      </c>
      <c r="I200" s="1">
        <v>0</v>
      </c>
      <c r="J200" s="1">
        <v>100</v>
      </c>
      <c r="L200" s="1">
        <v>100</v>
      </c>
      <c r="M200" s="2">
        <v>6</v>
      </c>
      <c r="N200" s="1">
        <v>9</v>
      </c>
      <c r="O200" s="1">
        <v>19</v>
      </c>
    </row>
    <row r="201" spans="1:15" ht="15.75" customHeight="1" x14ac:dyDescent="0.35">
      <c r="G201" s="46"/>
    </row>
    <row r="202" spans="1:15" ht="15.75" customHeight="1" x14ac:dyDescent="0.35">
      <c r="G202" s="46"/>
    </row>
    <row r="203" spans="1:15" ht="15.75" customHeight="1" x14ac:dyDescent="0.35">
      <c r="G203" s="46"/>
    </row>
    <row r="204" spans="1:15" ht="15.75" customHeight="1" x14ac:dyDescent="0.35">
      <c r="G204" s="46"/>
    </row>
    <row r="205" spans="1:15" ht="15.75" customHeight="1" x14ac:dyDescent="0.35">
      <c r="G205" s="46"/>
    </row>
    <row r="206" spans="1:15" ht="15.75" customHeight="1" x14ac:dyDescent="0.35">
      <c r="G206" s="46"/>
    </row>
    <row r="207" spans="1:15" ht="15.75" customHeight="1" x14ac:dyDescent="0.35">
      <c r="G207" s="46"/>
    </row>
    <row r="208" spans="1:15" ht="15.75" customHeight="1" x14ac:dyDescent="0.35">
      <c r="G208" s="46"/>
    </row>
    <row r="209" spans="7:7" ht="15.75" customHeight="1" x14ac:dyDescent="0.35">
      <c r="G209" s="46"/>
    </row>
    <row r="210" spans="7:7" ht="15.75" customHeight="1" x14ac:dyDescent="0.35">
      <c r="G210" s="46"/>
    </row>
    <row r="211" spans="7:7" ht="15.75" customHeight="1" x14ac:dyDescent="0.35">
      <c r="G211" s="46"/>
    </row>
    <row r="212" spans="7:7" ht="15.75" customHeight="1" x14ac:dyDescent="0.35">
      <c r="G212" s="46"/>
    </row>
    <row r="213" spans="7:7" ht="15.75" customHeight="1" x14ac:dyDescent="0.35">
      <c r="G213" s="46"/>
    </row>
    <row r="214" spans="7:7" ht="15.75" customHeight="1" x14ac:dyDescent="0.35">
      <c r="G214" s="46"/>
    </row>
    <row r="215" spans="7:7" ht="15.75" customHeight="1" x14ac:dyDescent="0.35">
      <c r="G215" s="46"/>
    </row>
    <row r="216" spans="7:7" ht="15.75" customHeight="1" x14ac:dyDescent="0.35">
      <c r="G216" s="46"/>
    </row>
    <row r="217" spans="7:7" ht="15.75" customHeight="1" x14ac:dyDescent="0.35">
      <c r="G217" s="46"/>
    </row>
    <row r="218" spans="7:7" ht="15.75" customHeight="1" x14ac:dyDescent="0.35">
      <c r="G218" s="46"/>
    </row>
    <row r="219" spans="7:7" ht="15.75" customHeight="1" x14ac:dyDescent="0.35">
      <c r="G219" s="46"/>
    </row>
    <row r="220" spans="7:7" ht="15.75" customHeight="1" x14ac:dyDescent="0.35">
      <c r="G220" s="46"/>
    </row>
    <row r="221" spans="7:7" ht="15.75" customHeight="1" x14ac:dyDescent="0.35">
      <c r="G221" s="46"/>
    </row>
    <row r="222" spans="7:7" ht="15.75" customHeight="1" x14ac:dyDescent="0.35">
      <c r="G222" s="46"/>
    </row>
    <row r="223" spans="7:7" ht="15.75" customHeight="1" x14ac:dyDescent="0.35">
      <c r="G223" s="46"/>
    </row>
    <row r="224" spans="7:7" ht="15.75" customHeight="1" x14ac:dyDescent="0.35">
      <c r="G224" s="46"/>
    </row>
    <row r="225" spans="7:7" ht="15.75" customHeight="1" x14ac:dyDescent="0.35">
      <c r="G225" s="46"/>
    </row>
    <row r="226" spans="7:7" ht="15.75" customHeight="1" x14ac:dyDescent="0.35">
      <c r="G226" s="46"/>
    </row>
    <row r="227" spans="7:7" ht="15.75" customHeight="1" x14ac:dyDescent="0.35">
      <c r="G227" s="46"/>
    </row>
    <row r="228" spans="7:7" ht="15.75" customHeight="1" x14ac:dyDescent="0.35">
      <c r="G228" s="46"/>
    </row>
    <row r="229" spans="7:7" ht="15.75" customHeight="1" x14ac:dyDescent="0.35">
      <c r="G229" s="46"/>
    </row>
    <row r="230" spans="7:7" ht="15.75" customHeight="1" x14ac:dyDescent="0.35">
      <c r="G230" s="46"/>
    </row>
    <row r="231" spans="7:7" ht="15.75" customHeight="1" x14ac:dyDescent="0.35">
      <c r="G231" s="46"/>
    </row>
    <row r="232" spans="7:7" ht="15.75" customHeight="1" x14ac:dyDescent="0.35">
      <c r="G232" s="46"/>
    </row>
    <row r="233" spans="7:7" ht="15.75" customHeight="1" x14ac:dyDescent="0.35">
      <c r="G233" s="46"/>
    </row>
    <row r="234" spans="7:7" ht="15.75" customHeight="1" x14ac:dyDescent="0.35">
      <c r="G234" s="46"/>
    </row>
    <row r="235" spans="7:7" ht="15.75" customHeight="1" x14ac:dyDescent="0.35">
      <c r="G235" s="46"/>
    </row>
    <row r="236" spans="7:7" ht="15.75" customHeight="1" x14ac:dyDescent="0.35">
      <c r="G236" s="46"/>
    </row>
    <row r="237" spans="7:7" ht="15.75" customHeight="1" x14ac:dyDescent="0.35">
      <c r="G237" s="46"/>
    </row>
    <row r="238" spans="7:7" ht="15.75" customHeight="1" x14ac:dyDescent="0.35">
      <c r="G238" s="46"/>
    </row>
    <row r="239" spans="7:7" ht="15.75" customHeight="1" x14ac:dyDescent="0.35">
      <c r="G239" s="46"/>
    </row>
    <row r="240" spans="7:7" ht="15.75" customHeight="1" x14ac:dyDescent="0.35">
      <c r="G240" s="46"/>
    </row>
    <row r="241" spans="7:7" ht="15.75" customHeight="1" x14ac:dyDescent="0.35">
      <c r="G241" s="46"/>
    </row>
    <row r="242" spans="7:7" ht="15.75" customHeight="1" x14ac:dyDescent="0.35">
      <c r="G242" s="46"/>
    </row>
    <row r="243" spans="7:7" ht="15.75" customHeight="1" x14ac:dyDescent="0.35">
      <c r="G243" s="46"/>
    </row>
    <row r="244" spans="7:7" ht="15.75" customHeight="1" x14ac:dyDescent="0.35">
      <c r="G244" s="46"/>
    </row>
    <row r="245" spans="7:7" ht="15.75" customHeight="1" x14ac:dyDescent="0.35">
      <c r="G245" s="46"/>
    </row>
    <row r="246" spans="7:7" ht="15.75" customHeight="1" x14ac:dyDescent="0.35">
      <c r="G246" s="46"/>
    </row>
    <row r="247" spans="7:7" ht="15.75" customHeight="1" x14ac:dyDescent="0.35">
      <c r="G247" s="46"/>
    </row>
    <row r="248" spans="7:7" ht="15.75" customHeight="1" x14ac:dyDescent="0.35">
      <c r="G248" s="46"/>
    </row>
    <row r="249" spans="7:7" ht="15.75" customHeight="1" x14ac:dyDescent="0.35">
      <c r="G249" s="46"/>
    </row>
    <row r="250" spans="7:7" ht="15.75" customHeight="1" x14ac:dyDescent="0.35">
      <c r="G250" s="46"/>
    </row>
    <row r="251" spans="7:7" ht="15.75" customHeight="1" x14ac:dyDescent="0.35">
      <c r="G251" s="46"/>
    </row>
    <row r="252" spans="7:7" ht="15.75" customHeight="1" x14ac:dyDescent="0.35">
      <c r="G252" s="46"/>
    </row>
    <row r="253" spans="7:7" ht="15.75" customHeight="1" x14ac:dyDescent="0.35">
      <c r="G253" s="46"/>
    </row>
    <row r="254" spans="7:7" ht="15.75" customHeight="1" x14ac:dyDescent="0.35">
      <c r="G254" s="46"/>
    </row>
    <row r="255" spans="7:7" ht="15.75" customHeight="1" x14ac:dyDescent="0.35">
      <c r="G255" s="46"/>
    </row>
    <row r="256" spans="7:7" ht="15.75" customHeight="1" x14ac:dyDescent="0.35">
      <c r="G256" s="46"/>
    </row>
    <row r="257" spans="7:7" ht="15.75" customHeight="1" x14ac:dyDescent="0.35">
      <c r="G257" s="46"/>
    </row>
    <row r="258" spans="7:7" ht="15.75" customHeight="1" x14ac:dyDescent="0.35">
      <c r="G258" s="46"/>
    </row>
    <row r="259" spans="7:7" ht="15.75" customHeight="1" x14ac:dyDescent="0.35">
      <c r="G259" s="46"/>
    </row>
    <row r="260" spans="7:7" ht="15.75" customHeight="1" x14ac:dyDescent="0.35">
      <c r="G260" s="46"/>
    </row>
    <row r="261" spans="7:7" ht="15.75" customHeight="1" x14ac:dyDescent="0.35">
      <c r="G261" s="46"/>
    </row>
    <row r="262" spans="7:7" ht="15.75" customHeight="1" x14ac:dyDescent="0.35">
      <c r="G262" s="46"/>
    </row>
    <row r="263" spans="7:7" ht="15.75" customHeight="1" x14ac:dyDescent="0.35">
      <c r="G263" s="46"/>
    </row>
    <row r="264" spans="7:7" ht="15.75" customHeight="1" x14ac:dyDescent="0.35">
      <c r="G264" s="46"/>
    </row>
    <row r="265" spans="7:7" ht="15.75" customHeight="1" x14ac:dyDescent="0.35">
      <c r="G265" s="46"/>
    </row>
    <row r="266" spans="7:7" ht="15.75" customHeight="1" x14ac:dyDescent="0.35">
      <c r="G266" s="46"/>
    </row>
    <row r="267" spans="7:7" ht="15.75" customHeight="1" x14ac:dyDescent="0.35">
      <c r="G267" s="46"/>
    </row>
    <row r="268" spans="7:7" ht="15.75" customHeight="1" x14ac:dyDescent="0.35">
      <c r="G268" s="46"/>
    </row>
    <row r="269" spans="7:7" ht="15.75" customHeight="1" x14ac:dyDescent="0.35">
      <c r="G269" s="46"/>
    </row>
    <row r="270" spans="7:7" ht="15.75" customHeight="1" x14ac:dyDescent="0.35">
      <c r="G270" s="46"/>
    </row>
    <row r="271" spans="7:7" ht="15.75" customHeight="1" x14ac:dyDescent="0.35">
      <c r="G271" s="46"/>
    </row>
    <row r="272" spans="7:7" ht="15.75" customHeight="1" x14ac:dyDescent="0.35">
      <c r="G272" s="46"/>
    </row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Views>
    <sheetView zoomScaleNormal="100" workbookViewId="0">
      <selection sqref="A1:K1"/>
    </sheetView>
  </sheetViews>
  <sheetFormatPr defaultRowHeight="14.5" x14ac:dyDescent="0.35"/>
  <sheetData>
    <row r="1" spans="1:11" ht="120" x14ac:dyDescent="0.35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193</v>
      </c>
      <c r="I1" s="8" t="s">
        <v>194</v>
      </c>
      <c r="J1" s="1" t="s">
        <v>195</v>
      </c>
      <c r="K1" s="1" t="s">
        <v>175</v>
      </c>
    </row>
    <row r="2" spans="1:11" x14ac:dyDescent="0.35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100</v>
      </c>
      <c r="H2" s="15">
        <v>23.81</v>
      </c>
      <c r="I2" s="17">
        <v>4</v>
      </c>
      <c r="J2" s="1">
        <v>6</v>
      </c>
      <c r="K2" s="1">
        <v>22</v>
      </c>
    </row>
    <row r="3" spans="1:11" x14ac:dyDescent="0.35">
      <c r="A3" s="15" t="s">
        <v>146</v>
      </c>
      <c r="B3" s="23" t="s">
        <v>177</v>
      </c>
      <c r="C3" s="15">
        <v>92</v>
      </c>
      <c r="D3" s="18">
        <v>0.78</v>
      </c>
      <c r="E3" s="15">
        <v>24.6</v>
      </c>
      <c r="F3" s="15">
        <v>0</v>
      </c>
      <c r="G3" s="15">
        <v>5</v>
      </c>
      <c r="H3" s="15">
        <v>100</v>
      </c>
      <c r="I3" s="17">
        <v>3</v>
      </c>
      <c r="J3" s="1">
        <v>9</v>
      </c>
      <c r="K3" s="1">
        <v>14</v>
      </c>
    </row>
    <row r="4" spans="1:11" x14ac:dyDescent="0.35">
      <c r="A4" s="15" t="s">
        <v>146</v>
      </c>
      <c r="B4" s="23" t="s">
        <v>179</v>
      </c>
      <c r="C4" s="15">
        <v>94</v>
      </c>
      <c r="D4" s="36">
        <v>0.50800000000000001</v>
      </c>
      <c r="E4" s="15">
        <v>24.8</v>
      </c>
      <c r="F4" s="15">
        <v>0</v>
      </c>
      <c r="G4" s="15">
        <v>5</v>
      </c>
      <c r="H4" s="15">
        <v>100</v>
      </c>
      <c r="I4" s="17">
        <v>5</v>
      </c>
      <c r="J4" s="1">
        <v>8</v>
      </c>
      <c r="K4" s="1">
        <v>8</v>
      </c>
    </row>
    <row r="5" spans="1:11" x14ac:dyDescent="0.35">
      <c r="A5" s="15" t="s">
        <v>146</v>
      </c>
      <c r="B5" s="23" t="s">
        <v>179</v>
      </c>
      <c r="C5" s="15">
        <v>94</v>
      </c>
      <c r="D5" s="36">
        <v>0.5</v>
      </c>
      <c r="E5" s="15">
        <v>24.8</v>
      </c>
      <c r="F5" s="15">
        <v>0</v>
      </c>
      <c r="G5" s="15">
        <v>100</v>
      </c>
      <c r="H5" s="15">
        <v>66.67</v>
      </c>
      <c r="I5" s="17">
        <v>5</v>
      </c>
      <c r="J5" s="1">
        <v>2</v>
      </c>
      <c r="K5" s="1">
        <v>6</v>
      </c>
    </row>
    <row r="6" spans="1:11" x14ac:dyDescent="0.35">
      <c r="A6" s="15" t="s">
        <v>146</v>
      </c>
      <c r="B6" s="23" t="s">
        <v>179</v>
      </c>
      <c r="C6" s="20">
        <v>94</v>
      </c>
      <c r="D6" s="36">
        <v>0.5</v>
      </c>
      <c r="E6" s="15">
        <v>23</v>
      </c>
      <c r="F6" s="15">
        <v>0</v>
      </c>
      <c r="G6" s="15">
        <v>100</v>
      </c>
      <c r="H6" s="15">
        <v>66.67</v>
      </c>
      <c r="I6" s="17">
        <v>5</v>
      </c>
      <c r="J6" s="1">
        <v>5</v>
      </c>
      <c r="K6" s="1">
        <v>5</v>
      </c>
    </row>
    <row r="7" spans="1:11" x14ac:dyDescent="0.35">
      <c r="A7" s="15" t="s">
        <v>146</v>
      </c>
      <c r="B7" s="23" t="s">
        <v>179</v>
      </c>
      <c r="C7" s="20">
        <v>94</v>
      </c>
      <c r="D7" s="36">
        <v>0.5</v>
      </c>
      <c r="E7" s="15">
        <v>22</v>
      </c>
      <c r="F7" s="15">
        <v>0</v>
      </c>
      <c r="G7" s="15">
        <v>100</v>
      </c>
      <c r="H7" s="15">
        <v>66.67</v>
      </c>
      <c r="I7" s="17">
        <v>5</v>
      </c>
      <c r="J7" s="1">
        <v>1</v>
      </c>
      <c r="K7" s="1">
        <v>1</v>
      </c>
    </row>
    <row r="8" spans="1:11" x14ac:dyDescent="0.35">
      <c r="A8" s="15" t="s">
        <v>146</v>
      </c>
      <c r="B8" s="23" t="s">
        <v>181</v>
      </c>
      <c r="C8" s="15">
        <v>99</v>
      </c>
      <c r="D8" s="18">
        <v>7.59</v>
      </c>
      <c r="E8" s="15">
        <v>23.9</v>
      </c>
      <c r="F8" s="15">
        <v>0</v>
      </c>
      <c r="G8" s="15">
        <v>100</v>
      </c>
      <c r="H8" s="15">
        <v>66.67</v>
      </c>
      <c r="I8" s="17">
        <v>3</v>
      </c>
      <c r="J8" s="1">
        <v>5</v>
      </c>
      <c r="K8" s="1">
        <v>6</v>
      </c>
    </row>
    <row r="9" spans="1:11" x14ac:dyDescent="0.35">
      <c r="A9" s="15" t="s">
        <v>146</v>
      </c>
      <c r="B9" s="23" t="s">
        <v>182</v>
      </c>
      <c r="C9" s="15">
        <v>99</v>
      </c>
      <c r="D9" s="18">
        <v>13.05</v>
      </c>
      <c r="E9" s="15">
        <v>25.9</v>
      </c>
      <c r="F9" s="15">
        <v>0.45</v>
      </c>
      <c r="G9" s="15">
        <v>100</v>
      </c>
      <c r="H9" s="15">
        <v>100</v>
      </c>
      <c r="I9" s="17">
        <v>3</v>
      </c>
      <c r="J9" s="1">
        <v>4</v>
      </c>
      <c r="K9" s="1">
        <v>4</v>
      </c>
    </row>
    <row r="10" spans="1:11" x14ac:dyDescent="0.35">
      <c r="A10" s="15" t="s">
        <v>146</v>
      </c>
      <c r="B10" s="23" t="s">
        <v>184</v>
      </c>
      <c r="C10" s="15">
        <v>93</v>
      </c>
      <c r="D10" s="18">
        <v>6.64</v>
      </c>
      <c r="E10" s="15">
        <v>26</v>
      </c>
      <c r="F10" s="15">
        <v>0</v>
      </c>
      <c r="G10" s="15">
        <v>100</v>
      </c>
      <c r="H10" s="15">
        <v>100</v>
      </c>
      <c r="I10" s="17">
        <v>2</v>
      </c>
      <c r="J10" s="1">
        <v>7</v>
      </c>
      <c r="K10" s="1">
        <v>13</v>
      </c>
    </row>
    <row r="11" spans="1:11" x14ac:dyDescent="0.35">
      <c r="A11" s="15" t="s">
        <v>146</v>
      </c>
      <c r="B11" s="23" t="s">
        <v>184</v>
      </c>
      <c r="C11" s="15">
        <v>59</v>
      </c>
      <c r="D11" s="18">
        <v>39.5</v>
      </c>
      <c r="E11" s="15">
        <v>31.13</v>
      </c>
      <c r="F11" s="15">
        <v>2.1</v>
      </c>
      <c r="G11" s="15">
        <v>100</v>
      </c>
      <c r="H11" s="15">
        <v>100</v>
      </c>
      <c r="I11" s="17">
        <v>2</v>
      </c>
      <c r="J11" s="1">
        <v>4</v>
      </c>
      <c r="K11" s="1">
        <v>9</v>
      </c>
    </row>
    <row r="12" spans="1:11" x14ac:dyDescent="0.35">
      <c r="A12" s="15" t="s">
        <v>146</v>
      </c>
      <c r="B12" s="23" t="s">
        <v>184</v>
      </c>
      <c r="C12" s="15">
        <v>80</v>
      </c>
      <c r="D12" s="18">
        <v>6.56</v>
      </c>
      <c r="E12" s="15">
        <v>23.9</v>
      </c>
      <c r="F12" s="15">
        <v>0</v>
      </c>
      <c r="G12" s="15">
        <v>100</v>
      </c>
      <c r="H12" s="15">
        <v>95.24</v>
      </c>
      <c r="I12" s="17">
        <v>2</v>
      </c>
      <c r="J12" s="1">
        <v>0</v>
      </c>
      <c r="K12" s="1">
        <v>0</v>
      </c>
    </row>
    <row r="13" spans="1:11" x14ac:dyDescent="0.35">
      <c r="A13" s="15" t="s">
        <v>146</v>
      </c>
      <c r="B13" s="23" t="s">
        <v>183</v>
      </c>
      <c r="C13" s="15">
        <v>79</v>
      </c>
      <c r="D13" s="18">
        <v>15.5</v>
      </c>
      <c r="E13" s="15">
        <v>28.3</v>
      </c>
      <c r="F13" s="15">
        <v>0</v>
      </c>
      <c r="G13" s="15">
        <v>100</v>
      </c>
      <c r="H13" s="15">
        <v>100</v>
      </c>
      <c r="I13" s="17">
        <v>3</v>
      </c>
      <c r="J13" s="1">
        <v>3</v>
      </c>
      <c r="K13" s="1">
        <v>3</v>
      </c>
    </row>
    <row r="14" spans="1:11" x14ac:dyDescent="0.35">
      <c r="A14" s="15" t="s">
        <v>146</v>
      </c>
      <c r="B14" s="23" t="s">
        <v>183</v>
      </c>
      <c r="C14" s="15">
        <v>79</v>
      </c>
      <c r="D14" s="18">
        <v>4.87</v>
      </c>
      <c r="E14" s="15">
        <v>25.2</v>
      </c>
      <c r="F14" s="15">
        <v>0</v>
      </c>
      <c r="G14" s="15">
        <v>100</v>
      </c>
      <c r="H14" s="15">
        <v>71.430000000000007</v>
      </c>
      <c r="I14" s="17">
        <v>3</v>
      </c>
      <c r="J14" s="1">
        <v>0</v>
      </c>
      <c r="K14" s="1">
        <v>0</v>
      </c>
    </row>
    <row r="15" spans="1:11" x14ac:dyDescent="0.35">
      <c r="A15" s="15" t="s">
        <v>146</v>
      </c>
      <c r="B15" s="23" t="s">
        <v>185</v>
      </c>
      <c r="C15" s="15">
        <v>86</v>
      </c>
      <c r="D15" s="18">
        <v>19.5</v>
      </c>
      <c r="E15" s="15">
        <v>27.4</v>
      </c>
      <c r="F15" s="15">
        <v>2.9</v>
      </c>
      <c r="G15" s="15">
        <v>100</v>
      </c>
      <c r="H15" s="15">
        <v>71.430000000000007</v>
      </c>
      <c r="I15" s="17">
        <v>1</v>
      </c>
      <c r="J15" s="1">
        <v>3</v>
      </c>
      <c r="K15" s="1">
        <v>5</v>
      </c>
    </row>
    <row r="16" spans="1:11" x14ac:dyDescent="0.35">
      <c r="A16" s="15" t="s">
        <v>146</v>
      </c>
      <c r="B16" s="23" t="s">
        <v>186</v>
      </c>
      <c r="C16" s="15">
        <v>79</v>
      </c>
      <c r="D16" s="18">
        <v>0.56999999999999995</v>
      </c>
      <c r="E16" s="15">
        <v>24.8</v>
      </c>
      <c r="F16" s="15">
        <v>0</v>
      </c>
      <c r="G16" s="15">
        <v>100</v>
      </c>
      <c r="H16" s="15">
        <v>100</v>
      </c>
      <c r="I16" s="17">
        <v>6</v>
      </c>
      <c r="J16" s="1">
        <v>3</v>
      </c>
      <c r="K16" s="1">
        <v>4</v>
      </c>
    </row>
    <row r="17" spans="1:11" x14ac:dyDescent="0.35">
      <c r="A17" s="15" t="s">
        <v>146</v>
      </c>
      <c r="B17" s="23" t="s">
        <v>186</v>
      </c>
      <c r="C17" s="15">
        <v>96</v>
      </c>
      <c r="D17" s="18">
        <v>15.05</v>
      </c>
      <c r="E17" s="15">
        <v>30.2</v>
      </c>
      <c r="F17" s="15">
        <v>0</v>
      </c>
      <c r="G17" s="15">
        <v>100</v>
      </c>
      <c r="H17" s="15">
        <v>66.67</v>
      </c>
      <c r="I17" s="17">
        <v>6</v>
      </c>
      <c r="J17" s="1">
        <v>2</v>
      </c>
      <c r="K17" s="1">
        <v>6</v>
      </c>
    </row>
    <row r="18" spans="1:11" x14ac:dyDescent="0.35">
      <c r="A18" s="15" t="s">
        <v>146</v>
      </c>
      <c r="B18" s="15" t="s">
        <v>186</v>
      </c>
      <c r="C18" s="15">
        <v>57</v>
      </c>
      <c r="D18" s="18">
        <v>153.19999999999999</v>
      </c>
      <c r="E18" s="15">
        <v>30.2</v>
      </c>
      <c r="F18" s="15">
        <v>0.4</v>
      </c>
      <c r="G18" s="15">
        <v>100</v>
      </c>
      <c r="H18" s="15">
        <v>71.430000000000007</v>
      </c>
      <c r="I18" s="17">
        <v>6</v>
      </c>
      <c r="J18" s="1">
        <v>2</v>
      </c>
      <c r="K18" s="1">
        <v>3</v>
      </c>
    </row>
    <row r="19" spans="1:11" x14ac:dyDescent="0.35">
      <c r="A19" s="15" t="s">
        <v>153</v>
      </c>
      <c r="B19" s="23" t="s">
        <v>176</v>
      </c>
      <c r="C19" s="15">
        <v>98</v>
      </c>
      <c r="D19" s="18">
        <v>7.54</v>
      </c>
      <c r="E19" s="15">
        <v>25.8</v>
      </c>
      <c r="F19" s="15">
        <v>0</v>
      </c>
      <c r="G19" s="15">
        <v>100</v>
      </c>
      <c r="H19" s="15">
        <v>55.4</v>
      </c>
      <c r="I19" s="17">
        <v>4</v>
      </c>
      <c r="J19" s="1">
        <v>5</v>
      </c>
      <c r="K19" s="1">
        <v>7</v>
      </c>
    </row>
    <row r="20" spans="1:11" x14ac:dyDescent="0.35">
      <c r="A20" s="15" t="s">
        <v>153</v>
      </c>
      <c r="B20" s="23" t="s">
        <v>176</v>
      </c>
      <c r="C20" s="15">
        <v>99</v>
      </c>
      <c r="D20" s="18">
        <v>6.06</v>
      </c>
      <c r="E20" s="15">
        <v>25.35</v>
      </c>
      <c r="F20" s="15">
        <v>0</v>
      </c>
      <c r="G20" s="15">
        <v>100</v>
      </c>
      <c r="H20" s="15">
        <v>95.24</v>
      </c>
      <c r="I20" s="17">
        <v>4</v>
      </c>
      <c r="J20" s="1">
        <v>9</v>
      </c>
      <c r="K20" s="1">
        <v>9</v>
      </c>
    </row>
    <row r="21" spans="1:11" x14ac:dyDescent="0.35">
      <c r="A21" s="15" t="s">
        <v>153</v>
      </c>
      <c r="B21" s="23" t="s">
        <v>177</v>
      </c>
      <c r="C21" s="15">
        <v>98</v>
      </c>
      <c r="D21" s="18">
        <v>0.77</v>
      </c>
      <c r="E21" s="15">
        <v>22.6</v>
      </c>
      <c r="F21" s="15">
        <v>0</v>
      </c>
      <c r="G21" s="15">
        <v>100</v>
      </c>
      <c r="H21" s="15">
        <v>71.430000000000007</v>
      </c>
      <c r="I21" s="17">
        <v>3</v>
      </c>
      <c r="J21" s="1">
        <v>8</v>
      </c>
      <c r="K21" s="1">
        <v>14</v>
      </c>
    </row>
    <row r="22" spans="1:11" x14ac:dyDescent="0.35">
      <c r="A22" s="15" t="s">
        <v>153</v>
      </c>
      <c r="B22" s="23" t="s">
        <v>177</v>
      </c>
      <c r="C22" s="15">
        <v>82</v>
      </c>
      <c r="D22" s="36">
        <v>0.19800000000000001</v>
      </c>
      <c r="E22" s="15">
        <v>24.3</v>
      </c>
      <c r="F22" s="15">
        <v>0</v>
      </c>
      <c r="G22" s="15">
        <v>20</v>
      </c>
      <c r="H22" s="15">
        <v>47.62</v>
      </c>
      <c r="I22" s="17">
        <v>3</v>
      </c>
      <c r="J22" s="1">
        <v>9</v>
      </c>
      <c r="K22" s="1">
        <v>12</v>
      </c>
    </row>
    <row r="23" spans="1:11" x14ac:dyDescent="0.35">
      <c r="A23" s="15" t="s">
        <v>153</v>
      </c>
      <c r="B23" s="23" t="s">
        <v>179</v>
      </c>
      <c r="C23" s="15">
        <v>98</v>
      </c>
      <c r="D23" s="18">
        <v>3.69</v>
      </c>
      <c r="E23" s="15">
        <v>22.35</v>
      </c>
      <c r="F23" s="15">
        <v>0</v>
      </c>
      <c r="G23" s="15">
        <v>0</v>
      </c>
      <c r="H23" s="15">
        <v>100</v>
      </c>
      <c r="I23" s="17">
        <v>5</v>
      </c>
      <c r="J23" s="1">
        <v>3</v>
      </c>
      <c r="K23" s="1">
        <v>7</v>
      </c>
    </row>
    <row r="24" spans="1:11" x14ac:dyDescent="0.35">
      <c r="A24" s="15" t="s">
        <v>153</v>
      </c>
      <c r="B24" s="23" t="s">
        <v>179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5">
        <v>100</v>
      </c>
      <c r="I24" s="17">
        <v>5</v>
      </c>
      <c r="J24" s="1">
        <v>13</v>
      </c>
      <c r="K24" s="1">
        <v>14</v>
      </c>
    </row>
    <row r="25" spans="1:11" x14ac:dyDescent="0.35">
      <c r="A25" s="15" t="s">
        <v>153</v>
      </c>
      <c r="B25" s="23" t="s">
        <v>179</v>
      </c>
      <c r="C25" s="15">
        <v>90</v>
      </c>
      <c r="D25" s="36">
        <v>3.5000000000000003E-2</v>
      </c>
      <c r="E25" s="15">
        <v>24.2</v>
      </c>
      <c r="F25" s="15">
        <v>0</v>
      </c>
      <c r="G25" s="15">
        <v>20</v>
      </c>
      <c r="H25" s="15">
        <v>100</v>
      </c>
      <c r="I25" s="17">
        <v>5</v>
      </c>
      <c r="J25" s="1">
        <v>1</v>
      </c>
      <c r="K25" s="1">
        <v>1</v>
      </c>
    </row>
    <row r="26" spans="1:11" x14ac:dyDescent="0.35">
      <c r="A26" s="15" t="s">
        <v>153</v>
      </c>
      <c r="B26" s="23" t="s">
        <v>179</v>
      </c>
      <c r="C26" s="15">
        <v>61</v>
      </c>
      <c r="D26" s="36">
        <v>9.4E-2</v>
      </c>
      <c r="E26" s="15">
        <v>25.5</v>
      </c>
      <c r="F26" s="15">
        <v>0</v>
      </c>
      <c r="G26" s="15">
        <v>15</v>
      </c>
      <c r="H26" s="15">
        <v>71.430000000000007</v>
      </c>
      <c r="I26" s="17">
        <v>5</v>
      </c>
      <c r="J26" s="1">
        <v>6</v>
      </c>
      <c r="K26" s="1">
        <v>8</v>
      </c>
    </row>
    <row r="27" spans="1:11" x14ac:dyDescent="0.35">
      <c r="A27" s="15" t="s">
        <v>153</v>
      </c>
      <c r="B27" s="23" t="s">
        <v>179</v>
      </c>
      <c r="C27" s="15">
        <v>65</v>
      </c>
      <c r="D27" s="36">
        <v>3.5000000000000003E-2</v>
      </c>
      <c r="E27" s="15">
        <v>25.7</v>
      </c>
      <c r="F27" s="15">
        <v>0</v>
      </c>
      <c r="G27" s="15">
        <v>100</v>
      </c>
      <c r="H27" s="15">
        <v>100</v>
      </c>
      <c r="I27" s="17">
        <v>5</v>
      </c>
      <c r="J27" s="1">
        <v>3</v>
      </c>
      <c r="K27" s="1">
        <v>3</v>
      </c>
    </row>
    <row r="28" spans="1:11" x14ac:dyDescent="0.35">
      <c r="A28" s="15" t="s">
        <v>153</v>
      </c>
      <c r="B28" s="23" t="s">
        <v>180</v>
      </c>
      <c r="C28" s="15">
        <v>85</v>
      </c>
      <c r="D28" s="18">
        <v>3.81</v>
      </c>
      <c r="E28" s="15">
        <v>25</v>
      </c>
      <c r="F28" s="15">
        <v>0</v>
      </c>
      <c r="G28" s="15">
        <v>78.33</v>
      </c>
      <c r="H28" s="15">
        <v>100</v>
      </c>
      <c r="I28" s="17">
        <v>5</v>
      </c>
      <c r="J28" s="1">
        <v>3</v>
      </c>
      <c r="K28" s="1">
        <v>3</v>
      </c>
    </row>
    <row r="29" spans="1:11" x14ac:dyDescent="0.35">
      <c r="A29" s="15" t="s">
        <v>153</v>
      </c>
      <c r="B29" s="23" t="s">
        <v>180</v>
      </c>
      <c r="C29" s="15">
        <v>61</v>
      </c>
      <c r="D29" s="18">
        <v>4.78</v>
      </c>
      <c r="E29" s="15">
        <v>28.7</v>
      </c>
      <c r="F29" s="15">
        <v>0</v>
      </c>
      <c r="G29" s="15">
        <v>100</v>
      </c>
      <c r="H29" s="15">
        <v>66.67</v>
      </c>
      <c r="I29" s="17">
        <v>5</v>
      </c>
      <c r="J29" s="1">
        <v>0</v>
      </c>
      <c r="K29" s="1">
        <v>0</v>
      </c>
    </row>
    <row r="30" spans="1:11" x14ac:dyDescent="0.35">
      <c r="A30" s="15" t="s">
        <v>153</v>
      </c>
      <c r="B30" s="23" t="s">
        <v>180</v>
      </c>
      <c r="C30" s="15">
        <v>47</v>
      </c>
      <c r="D30" s="36">
        <v>0.74399999999999999</v>
      </c>
      <c r="E30" s="15">
        <v>29.9</v>
      </c>
      <c r="F30" s="15">
        <v>0</v>
      </c>
      <c r="G30" s="15">
        <v>2</v>
      </c>
      <c r="H30" s="15">
        <v>95.24</v>
      </c>
      <c r="I30" s="17">
        <v>5</v>
      </c>
      <c r="J30" s="1">
        <v>2</v>
      </c>
      <c r="K30" s="1">
        <v>2</v>
      </c>
    </row>
    <row r="31" spans="1:11" x14ac:dyDescent="0.35">
      <c r="A31" s="15" t="s">
        <v>153</v>
      </c>
      <c r="B31" s="23" t="s">
        <v>180</v>
      </c>
      <c r="C31" s="15">
        <v>50</v>
      </c>
      <c r="D31" s="36">
        <v>0.7</v>
      </c>
      <c r="E31" s="15">
        <v>26.3</v>
      </c>
      <c r="F31" s="15">
        <v>0</v>
      </c>
      <c r="G31" s="15">
        <v>100</v>
      </c>
      <c r="H31" s="15">
        <v>47.62</v>
      </c>
      <c r="I31" s="17">
        <v>5</v>
      </c>
      <c r="J31" s="1">
        <v>2</v>
      </c>
      <c r="K31" s="1">
        <v>5</v>
      </c>
    </row>
    <row r="32" spans="1:11" x14ac:dyDescent="0.35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5">
        <v>100</v>
      </c>
      <c r="H32" s="15">
        <v>95.24</v>
      </c>
      <c r="I32" s="17">
        <v>3</v>
      </c>
      <c r="J32" s="1">
        <v>4</v>
      </c>
      <c r="K32" s="1">
        <v>6</v>
      </c>
    </row>
    <row r="33" spans="1:11" x14ac:dyDescent="0.35">
      <c r="A33" s="15" t="s">
        <v>153</v>
      </c>
      <c r="B33" s="23" t="s">
        <v>181</v>
      </c>
      <c r="C33" s="15">
        <v>55</v>
      </c>
      <c r="D33" s="18">
        <v>55.3</v>
      </c>
      <c r="E33" s="15">
        <v>30.2</v>
      </c>
      <c r="F33" s="15">
        <v>0</v>
      </c>
      <c r="G33" s="15">
        <v>100</v>
      </c>
      <c r="H33" s="15">
        <v>95.24</v>
      </c>
      <c r="I33" s="17">
        <v>3</v>
      </c>
      <c r="J33" s="1">
        <v>0</v>
      </c>
      <c r="K33" s="1">
        <v>0</v>
      </c>
    </row>
    <row r="34" spans="1:11" x14ac:dyDescent="0.35">
      <c r="A34" s="15" t="s">
        <v>153</v>
      </c>
      <c r="B34" s="23" t="s">
        <v>181</v>
      </c>
      <c r="C34" s="15">
        <v>51</v>
      </c>
      <c r="D34" s="18">
        <v>26.78</v>
      </c>
      <c r="E34" s="15">
        <v>30.7</v>
      </c>
      <c r="F34" s="15">
        <v>0</v>
      </c>
      <c r="G34" s="15">
        <v>23.33</v>
      </c>
      <c r="H34" s="15">
        <v>100</v>
      </c>
      <c r="I34" s="17">
        <v>3</v>
      </c>
      <c r="J34" s="1">
        <v>2</v>
      </c>
      <c r="K34" s="1">
        <v>2</v>
      </c>
    </row>
    <row r="35" spans="1:11" x14ac:dyDescent="0.35">
      <c r="A35" s="15" t="s">
        <v>153</v>
      </c>
      <c r="B35" s="23" t="s">
        <v>182</v>
      </c>
      <c r="C35" s="15">
        <v>90</v>
      </c>
      <c r="D35" s="18">
        <v>8.44</v>
      </c>
      <c r="E35" s="15">
        <v>27.4</v>
      </c>
      <c r="F35" s="15">
        <v>0.8</v>
      </c>
      <c r="G35" s="15">
        <v>100</v>
      </c>
      <c r="H35" s="15">
        <v>100</v>
      </c>
      <c r="I35" s="17">
        <v>3</v>
      </c>
      <c r="J35" s="1">
        <v>12</v>
      </c>
      <c r="K35" s="1">
        <v>17</v>
      </c>
    </row>
    <row r="36" spans="1:11" x14ac:dyDescent="0.35">
      <c r="A36" s="15" t="s">
        <v>153</v>
      </c>
      <c r="B36" s="16" t="s">
        <v>182</v>
      </c>
      <c r="C36" s="15">
        <v>58</v>
      </c>
      <c r="D36" s="18">
        <v>30.1</v>
      </c>
      <c r="E36" s="15">
        <v>29.1</v>
      </c>
      <c r="F36" s="15">
        <v>0</v>
      </c>
      <c r="G36" s="15">
        <v>98.75</v>
      </c>
      <c r="H36" s="15">
        <v>100</v>
      </c>
      <c r="I36" s="17">
        <v>3</v>
      </c>
      <c r="J36" s="1">
        <v>2</v>
      </c>
      <c r="K36" s="1">
        <v>2</v>
      </c>
    </row>
    <row r="37" spans="1:11" x14ac:dyDescent="0.35">
      <c r="A37" s="15" t="s">
        <v>153</v>
      </c>
      <c r="B37" s="23" t="s">
        <v>184</v>
      </c>
      <c r="C37" s="15">
        <v>77</v>
      </c>
      <c r="D37" s="36">
        <v>1.79</v>
      </c>
      <c r="E37" s="15">
        <v>23.98</v>
      </c>
      <c r="F37" s="15">
        <v>0.83</v>
      </c>
      <c r="G37" s="15">
        <v>100</v>
      </c>
      <c r="H37" s="15">
        <v>76.19</v>
      </c>
      <c r="I37" s="17">
        <v>2</v>
      </c>
      <c r="J37" s="1">
        <v>3</v>
      </c>
      <c r="K37" s="1">
        <v>3</v>
      </c>
    </row>
    <row r="38" spans="1:11" x14ac:dyDescent="0.35">
      <c r="A38" s="15" t="s">
        <v>153</v>
      </c>
      <c r="B38" s="23" t="s">
        <v>184</v>
      </c>
      <c r="C38" s="15">
        <v>78</v>
      </c>
      <c r="D38" s="36">
        <v>20.350000000000001</v>
      </c>
      <c r="E38" s="15">
        <v>22.55</v>
      </c>
      <c r="F38" s="15">
        <v>0</v>
      </c>
      <c r="G38" s="15">
        <v>38.33</v>
      </c>
      <c r="H38" s="15">
        <v>100</v>
      </c>
      <c r="I38" s="17">
        <v>2</v>
      </c>
      <c r="J38" s="1">
        <v>6</v>
      </c>
      <c r="K38" s="1">
        <v>14</v>
      </c>
    </row>
    <row r="39" spans="1:11" x14ac:dyDescent="0.35">
      <c r="A39" s="15" t="s">
        <v>153</v>
      </c>
      <c r="B39" s="23" t="s">
        <v>184</v>
      </c>
      <c r="C39" s="15">
        <v>98</v>
      </c>
      <c r="D39" s="36">
        <v>3.05</v>
      </c>
      <c r="E39" s="15">
        <v>21.7</v>
      </c>
      <c r="F39" s="15">
        <v>0.9</v>
      </c>
      <c r="G39" s="15">
        <v>100</v>
      </c>
      <c r="H39" s="15">
        <v>100</v>
      </c>
      <c r="I39" s="17">
        <v>2</v>
      </c>
      <c r="J39" s="1">
        <v>1</v>
      </c>
      <c r="K39" s="1">
        <v>1</v>
      </c>
    </row>
    <row r="40" spans="1:11" x14ac:dyDescent="0.35">
      <c r="A40" s="15" t="s">
        <v>153</v>
      </c>
      <c r="B40" s="23" t="s">
        <v>184</v>
      </c>
      <c r="C40" s="15">
        <v>77</v>
      </c>
      <c r="D40" s="36">
        <v>12.54</v>
      </c>
      <c r="E40" s="15">
        <v>25.3</v>
      </c>
      <c r="F40" s="15">
        <v>1</v>
      </c>
      <c r="G40" s="15">
        <v>100</v>
      </c>
      <c r="H40" s="15">
        <v>100</v>
      </c>
      <c r="I40" s="17">
        <v>2</v>
      </c>
      <c r="J40" s="1">
        <v>1</v>
      </c>
      <c r="K40" s="1">
        <v>5</v>
      </c>
    </row>
    <row r="41" spans="1:11" x14ac:dyDescent="0.35">
      <c r="A41" s="15" t="s">
        <v>153</v>
      </c>
      <c r="B41" s="23" t="s">
        <v>183</v>
      </c>
      <c r="C41" s="15">
        <v>95</v>
      </c>
      <c r="D41" s="18">
        <v>10.69</v>
      </c>
      <c r="E41" s="15">
        <v>22.8</v>
      </c>
      <c r="F41" s="15">
        <v>1.2</v>
      </c>
      <c r="G41" s="15">
        <v>100</v>
      </c>
      <c r="H41" s="15">
        <v>100</v>
      </c>
      <c r="I41" s="17">
        <v>3</v>
      </c>
      <c r="J41" s="1">
        <v>4</v>
      </c>
      <c r="K41" s="1">
        <v>7</v>
      </c>
    </row>
    <row r="42" spans="1:11" x14ac:dyDescent="0.35">
      <c r="A42" s="15" t="s">
        <v>153</v>
      </c>
      <c r="B42" s="23" t="s">
        <v>183</v>
      </c>
      <c r="C42" s="15">
        <v>95</v>
      </c>
      <c r="D42" s="18">
        <v>5.99</v>
      </c>
      <c r="E42" s="15">
        <v>25.7</v>
      </c>
      <c r="F42" s="15">
        <v>0</v>
      </c>
      <c r="G42" s="15">
        <v>100</v>
      </c>
      <c r="H42" s="15">
        <v>100</v>
      </c>
      <c r="I42" s="17">
        <v>3</v>
      </c>
      <c r="J42" s="1">
        <v>5</v>
      </c>
      <c r="K42" s="1">
        <v>7</v>
      </c>
    </row>
    <row r="43" spans="1:11" x14ac:dyDescent="0.35">
      <c r="A43" s="15" t="s">
        <v>153</v>
      </c>
      <c r="B43" s="16" t="s">
        <v>183</v>
      </c>
      <c r="C43" s="15">
        <v>98</v>
      </c>
      <c r="D43" s="18">
        <v>3.61</v>
      </c>
      <c r="E43" s="15">
        <v>23</v>
      </c>
      <c r="F43" s="15">
        <v>0</v>
      </c>
      <c r="G43" s="15">
        <v>100</v>
      </c>
      <c r="H43" s="15">
        <v>76.19</v>
      </c>
      <c r="I43" s="17">
        <v>3</v>
      </c>
      <c r="J43" s="1">
        <v>0</v>
      </c>
      <c r="K43" s="1">
        <v>0</v>
      </c>
    </row>
    <row r="44" spans="1:11" x14ac:dyDescent="0.35">
      <c r="A44" s="15" t="s">
        <v>153</v>
      </c>
      <c r="B44" s="23" t="s">
        <v>183</v>
      </c>
      <c r="C44" s="15">
        <v>80</v>
      </c>
      <c r="D44" s="18">
        <v>6.89</v>
      </c>
      <c r="E44" s="15">
        <v>24.3</v>
      </c>
      <c r="F44" s="15">
        <v>0.87</v>
      </c>
      <c r="G44" s="15">
        <v>100</v>
      </c>
      <c r="H44" s="15">
        <v>100</v>
      </c>
      <c r="I44" s="17">
        <v>3</v>
      </c>
      <c r="J44" s="1">
        <v>2</v>
      </c>
      <c r="K44" s="1">
        <v>2</v>
      </c>
    </row>
    <row r="45" spans="1:11" x14ac:dyDescent="0.35">
      <c r="A45" s="15" t="s">
        <v>153</v>
      </c>
      <c r="B45" s="23" t="s">
        <v>185</v>
      </c>
      <c r="C45" s="15">
        <v>80</v>
      </c>
      <c r="D45" s="36">
        <v>14.7</v>
      </c>
      <c r="E45" s="15">
        <v>24.13</v>
      </c>
      <c r="F45" s="15">
        <v>2.1</v>
      </c>
      <c r="G45" s="15">
        <v>100</v>
      </c>
      <c r="H45" s="15">
        <v>100</v>
      </c>
      <c r="I45" s="17">
        <v>1</v>
      </c>
      <c r="J45" s="1">
        <v>3</v>
      </c>
      <c r="K45" s="1">
        <v>11</v>
      </c>
    </row>
    <row r="46" spans="1:11" x14ac:dyDescent="0.35">
      <c r="A46" s="15" t="s">
        <v>153</v>
      </c>
      <c r="B46" s="23" t="s">
        <v>185</v>
      </c>
      <c r="C46" s="15">
        <v>99</v>
      </c>
      <c r="D46" s="36">
        <v>12.46</v>
      </c>
      <c r="E46" s="15">
        <v>22.9</v>
      </c>
      <c r="F46" s="15">
        <v>0</v>
      </c>
      <c r="G46" s="15">
        <v>100</v>
      </c>
      <c r="H46" s="15">
        <v>95.24</v>
      </c>
      <c r="I46" s="17">
        <v>1</v>
      </c>
      <c r="J46" s="1">
        <v>4</v>
      </c>
      <c r="K46" s="1">
        <v>5</v>
      </c>
    </row>
    <row r="47" spans="1:11" x14ac:dyDescent="0.35">
      <c r="A47" s="15" t="s">
        <v>153</v>
      </c>
      <c r="B47" s="16" t="s">
        <v>185</v>
      </c>
      <c r="C47" s="15">
        <v>99</v>
      </c>
      <c r="D47" s="18">
        <v>8.2799999999999994</v>
      </c>
      <c r="E47" s="15">
        <v>24.2</v>
      </c>
      <c r="F47" s="15">
        <v>0</v>
      </c>
      <c r="G47" s="15">
        <v>100</v>
      </c>
      <c r="H47" s="15">
        <v>76.19</v>
      </c>
      <c r="I47" s="17">
        <v>1</v>
      </c>
      <c r="J47" s="1">
        <v>0</v>
      </c>
      <c r="K47" s="1">
        <v>0</v>
      </c>
    </row>
    <row r="48" spans="1:11" x14ac:dyDescent="0.35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15">
        <v>100</v>
      </c>
      <c r="H48" s="15">
        <v>76.19</v>
      </c>
      <c r="I48" s="17">
        <v>1</v>
      </c>
      <c r="J48" s="1">
        <v>0</v>
      </c>
      <c r="K48" s="1">
        <v>0</v>
      </c>
    </row>
    <row r="49" spans="1:11" x14ac:dyDescent="0.35">
      <c r="A49" s="15" t="s">
        <v>153</v>
      </c>
      <c r="B49" s="23" t="s">
        <v>186</v>
      </c>
      <c r="C49" s="15">
        <v>95</v>
      </c>
      <c r="D49" s="18">
        <v>1.44</v>
      </c>
      <c r="E49" s="15">
        <v>25.1</v>
      </c>
      <c r="F49" s="15">
        <v>0</v>
      </c>
      <c r="G49" s="15">
        <v>100</v>
      </c>
      <c r="H49" s="15">
        <v>76.19</v>
      </c>
      <c r="I49" s="17">
        <v>6</v>
      </c>
      <c r="J49" s="1">
        <v>2</v>
      </c>
      <c r="K49" s="1">
        <v>7</v>
      </c>
    </row>
    <row r="50" spans="1:11" x14ac:dyDescent="0.35">
      <c r="A50" s="15" t="s">
        <v>153</v>
      </c>
      <c r="B50" s="23" t="s">
        <v>186</v>
      </c>
      <c r="C50" s="15">
        <v>99</v>
      </c>
      <c r="D50" s="18">
        <v>0.54</v>
      </c>
      <c r="E50" s="15">
        <v>21.9</v>
      </c>
      <c r="F50" s="15">
        <v>0</v>
      </c>
      <c r="G50" s="15">
        <v>100</v>
      </c>
      <c r="H50" s="15">
        <v>76.19</v>
      </c>
      <c r="I50" s="17">
        <v>6</v>
      </c>
      <c r="J50" s="1">
        <v>3</v>
      </c>
      <c r="K50" s="1">
        <v>3</v>
      </c>
    </row>
    <row r="51" spans="1:11" x14ac:dyDescent="0.35">
      <c r="A51" s="15" t="s">
        <v>153</v>
      </c>
      <c r="B51" s="23" t="s">
        <v>186</v>
      </c>
      <c r="C51" s="15">
        <v>99</v>
      </c>
      <c r="D51" s="18">
        <v>0.63</v>
      </c>
      <c r="E51" s="15">
        <v>25.1</v>
      </c>
      <c r="F51" s="15">
        <v>0</v>
      </c>
      <c r="G51" s="15">
        <v>100</v>
      </c>
      <c r="H51" s="15">
        <v>95.24</v>
      </c>
      <c r="I51" s="17">
        <v>6</v>
      </c>
      <c r="J51" s="1">
        <v>3</v>
      </c>
      <c r="K51" s="1">
        <v>8</v>
      </c>
    </row>
    <row r="52" spans="1:11" x14ac:dyDescent="0.35">
      <c r="A52" s="15" t="s">
        <v>153</v>
      </c>
      <c r="B52" s="23" t="s">
        <v>186</v>
      </c>
      <c r="C52" s="15">
        <v>99</v>
      </c>
      <c r="D52" s="18">
        <v>1.67</v>
      </c>
      <c r="E52" s="15">
        <v>25.2</v>
      </c>
      <c r="F52" s="15">
        <v>0</v>
      </c>
      <c r="G52" s="15">
        <v>100</v>
      </c>
      <c r="H52" s="15">
        <v>14.29</v>
      </c>
      <c r="I52" s="17">
        <v>6</v>
      </c>
      <c r="J52" s="1">
        <v>3</v>
      </c>
      <c r="K52" s="1">
        <v>4</v>
      </c>
    </row>
    <row r="53" spans="1:11" x14ac:dyDescent="0.35">
      <c r="A53" s="15" t="s">
        <v>158</v>
      </c>
      <c r="B53" s="23" t="s">
        <v>176</v>
      </c>
      <c r="C53" s="15">
        <v>96</v>
      </c>
      <c r="D53" s="18">
        <v>1.1399999999999999</v>
      </c>
      <c r="E53" s="15">
        <v>26.4</v>
      </c>
      <c r="F53" s="15">
        <v>0</v>
      </c>
      <c r="G53" s="15">
        <v>22</v>
      </c>
      <c r="H53" s="15">
        <v>71.42</v>
      </c>
      <c r="I53" s="17">
        <v>4</v>
      </c>
      <c r="J53" s="1">
        <v>4</v>
      </c>
      <c r="K53" s="1">
        <v>7</v>
      </c>
    </row>
    <row r="54" spans="1:11" x14ac:dyDescent="0.35">
      <c r="A54" s="15" t="s">
        <v>158</v>
      </c>
      <c r="B54" s="23" t="s">
        <v>176</v>
      </c>
      <c r="C54" s="15">
        <v>99</v>
      </c>
      <c r="D54" s="18">
        <v>8.51</v>
      </c>
      <c r="E54" s="15">
        <v>26.5</v>
      </c>
      <c r="F54" s="15">
        <v>0</v>
      </c>
      <c r="G54" s="15">
        <v>36.659999999999997</v>
      </c>
      <c r="H54" s="15">
        <v>95.24</v>
      </c>
      <c r="I54" s="17">
        <v>4</v>
      </c>
      <c r="J54" s="1">
        <v>9</v>
      </c>
      <c r="K54" s="1">
        <v>9</v>
      </c>
    </row>
    <row r="55" spans="1:11" x14ac:dyDescent="0.35">
      <c r="A55" s="15" t="s">
        <v>158</v>
      </c>
      <c r="B55" s="23" t="s">
        <v>176</v>
      </c>
      <c r="C55" s="15">
        <v>99</v>
      </c>
      <c r="D55" s="18">
        <v>8.52</v>
      </c>
      <c r="E55" s="15">
        <v>26.5</v>
      </c>
      <c r="F55" s="15">
        <v>0</v>
      </c>
      <c r="G55" s="15">
        <v>100</v>
      </c>
      <c r="H55" s="15">
        <v>95.24</v>
      </c>
      <c r="I55" s="17">
        <v>4</v>
      </c>
      <c r="J55" s="1">
        <v>5</v>
      </c>
      <c r="K55" s="1">
        <v>6</v>
      </c>
    </row>
    <row r="56" spans="1:11" x14ac:dyDescent="0.35">
      <c r="A56" s="15" t="s">
        <v>158</v>
      </c>
      <c r="B56" s="23" t="s">
        <v>178</v>
      </c>
      <c r="C56" s="15">
        <v>99</v>
      </c>
      <c r="D56" s="18">
        <v>6.93</v>
      </c>
      <c r="E56" s="15">
        <v>23.5</v>
      </c>
      <c r="F56" s="15">
        <v>0</v>
      </c>
      <c r="G56" s="15">
        <v>98</v>
      </c>
      <c r="H56" s="15">
        <v>95.24</v>
      </c>
      <c r="I56" s="17">
        <v>3</v>
      </c>
      <c r="J56" s="1">
        <v>7</v>
      </c>
      <c r="K56" s="1">
        <v>7</v>
      </c>
    </row>
    <row r="57" spans="1:11" x14ac:dyDescent="0.35">
      <c r="A57" s="15" t="s">
        <v>158</v>
      </c>
      <c r="B57" s="23" t="s">
        <v>178</v>
      </c>
      <c r="C57" s="15">
        <v>99</v>
      </c>
      <c r="D57" s="18">
        <v>6.8</v>
      </c>
      <c r="E57" s="15">
        <v>23.5</v>
      </c>
      <c r="F57" s="15">
        <v>0</v>
      </c>
      <c r="G57" s="15">
        <v>100</v>
      </c>
      <c r="H57" s="15">
        <v>95.24</v>
      </c>
      <c r="I57" s="17">
        <v>3</v>
      </c>
      <c r="J57" s="1">
        <v>1</v>
      </c>
      <c r="K57" s="1">
        <v>1</v>
      </c>
    </row>
    <row r="58" spans="1:11" x14ac:dyDescent="0.35">
      <c r="A58" s="15" t="s">
        <v>158</v>
      </c>
      <c r="B58" s="23" t="s">
        <v>179</v>
      </c>
      <c r="C58" s="15">
        <v>89</v>
      </c>
      <c r="D58" s="18">
        <v>2.74</v>
      </c>
      <c r="E58" s="15">
        <v>23.5</v>
      </c>
      <c r="F58" s="15">
        <v>0</v>
      </c>
      <c r="G58" s="15">
        <v>0</v>
      </c>
      <c r="H58" s="15">
        <v>95.24</v>
      </c>
      <c r="I58" s="17">
        <v>5</v>
      </c>
      <c r="J58" s="1">
        <v>13</v>
      </c>
      <c r="K58" s="1">
        <v>16</v>
      </c>
    </row>
    <row r="59" spans="1:11" x14ac:dyDescent="0.35">
      <c r="A59" s="15" t="s">
        <v>158</v>
      </c>
      <c r="B59" s="23" t="s">
        <v>179</v>
      </c>
      <c r="C59" s="15">
        <v>99</v>
      </c>
      <c r="D59" s="18">
        <v>0.32</v>
      </c>
      <c r="E59" s="15">
        <v>21.5</v>
      </c>
      <c r="F59" s="15">
        <v>0</v>
      </c>
      <c r="G59" s="15">
        <v>100</v>
      </c>
      <c r="H59" s="1">
        <v>100</v>
      </c>
      <c r="I59" s="17">
        <v>5</v>
      </c>
      <c r="J59" s="1">
        <v>3</v>
      </c>
      <c r="K59" s="1">
        <v>3</v>
      </c>
    </row>
    <row r="60" spans="1:11" x14ac:dyDescent="0.35">
      <c r="A60" s="15" t="s">
        <v>158</v>
      </c>
      <c r="B60" s="23" t="s">
        <v>179</v>
      </c>
      <c r="C60" s="15">
        <v>87</v>
      </c>
      <c r="D60" s="18">
        <v>0.03</v>
      </c>
      <c r="E60" s="15">
        <v>23.2</v>
      </c>
      <c r="F60" s="15">
        <v>0</v>
      </c>
      <c r="G60" s="15">
        <v>100</v>
      </c>
      <c r="H60" s="15">
        <v>71.42</v>
      </c>
      <c r="I60" s="17">
        <v>5</v>
      </c>
      <c r="J60" s="1">
        <v>3</v>
      </c>
      <c r="K60" s="1">
        <v>3</v>
      </c>
    </row>
    <row r="61" spans="1:11" x14ac:dyDescent="0.35">
      <c r="A61" s="15" t="s">
        <v>158</v>
      </c>
      <c r="B61" s="23" t="s">
        <v>179</v>
      </c>
      <c r="C61" s="15">
        <v>85</v>
      </c>
      <c r="D61" s="18">
        <v>0.04</v>
      </c>
      <c r="E61" s="15">
        <v>23.2</v>
      </c>
      <c r="F61" s="15">
        <v>0</v>
      </c>
      <c r="G61" s="15">
        <v>50</v>
      </c>
      <c r="H61" s="15">
        <v>100</v>
      </c>
      <c r="I61" s="17">
        <v>5</v>
      </c>
      <c r="J61" s="1">
        <v>1</v>
      </c>
      <c r="K61" s="1">
        <v>1</v>
      </c>
    </row>
    <row r="62" spans="1:11" x14ac:dyDescent="0.35">
      <c r="A62" s="15" t="s">
        <v>158</v>
      </c>
      <c r="B62" s="23" t="s">
        <v>180</v>
      </c>
      <c r="C62" s="15">
        <v>88</v>
      </c>
      <c r="D62" s="18">
        <v>0.69</v>
      </c>
      <c r="E62" s="15">
        <v>23.4</v>
      </c>
      <c r="F62" s="15">
        <v>6</v>
      </c>
      <c r="G62" s="15">
        <v>100</v>
      </c>
      <c r="H62" s="15">
        <v>100</v>
      </c>
      <c r="I62" s="17">
        <v>5</v>
      </c>
      <c r="J62" s="1">
        <v>8</v>
      </c>
      <c r="K62" s="1">
        <v>9</v>
      </c>
    </row>
    <row r="63" spans="1:11" x14ac:dyDescent="0.35">
      <c r="A63" s="15" t="s">
        <v>158</v>
      </c>
      <c r="B63" s="23" t="s">
        <v>180</v>
      </c>
      <c r="C63" s="15">
        <v>88</v>
      </c>
      <c r="D63" s="18">
        <v>1.86</v>
      </c>
      <c r="E63" s="15">
        <v>27.2</v>
      </c>
      <c r="F63" s="15">
        <v>0.6</v>
      </c>
      <c r="G63" s="15">
        <v>100</v>
      </c>
      <c r="H63" s="15">
        <v>100</v>
      </c>
      <c r="I63" s="17">
        <v>5</v>
      </c>
      <c r="J63" s="1">
        <v>4</v>
      </c>
      <c r="K63" s="1">
        <v>4</v>
      </c>
    </row>
    <row r="64" spans="1:11" x14ac:dyDescent="0.35">
      <c r="A64" s="15" t="s">
        <v>158</v>
      </c>
      <c r="B64" s="23" t="s">
        <v>181</v>
      </c>
      <c r="C64" s="15">
        <v>80</v>
      </c>
      <c r="D64" s="18">
        <v>51.6</v>
      </c>
      <c r="E64" s="15">
        <v>28.7</v>
      </c>
      <c r="F64" s="15">
        <v>2.5</v>
      </c>
      <c r="G64" s="15">
        <v>0</v>
      </c>
      <c r="H64" s="15">
        <v>100</v>
      </c>
      <c r="I64" s="17">
        <v>3</v>
      </c>
      <c r="J64" s="1">
        <v>5</v>
      </c>
      <c r="K64" s="1">
        <v>5</v>
      </c>
    </row>
    <row r="65" spans="1:11" x14ac:dyDescent="0.35">
      <c r="A65" s="15" t="s">
        <v>158</v>
      </c>
      <c r="B65" s="23" t="s">
        <v>182</v>
      </c>
      <c r="C65" s="15">
        <v>71</v>
      </c>
      <c r="D65" s="18">
        <v>7.17</v>
      </c>
      <c r="E65" s="15">
        <v>26.1</v>
      </c>
      <c r="F65" s="15">
        <v>1.9</v>
      </c>
      <c r="G65" s="15">
        <v>0</v>
      </c>
      <c r="H65" s="15">
        <v>100</v>
      </c>
      <c r="I65" s="17">
        <v>3</v>
      </c>
      <c r="J65" s="1">
        <v>9</v>
      </c>
      <c r="K65" s="1">
        <v>11</v>
      </c>
    </row>
    <row r="66" spans="1:11" x14ac:dyDescent="0.35">
      <c r="A66" s="15" t="s">
        <v>158</v>
      </c>
      <c r="B66" s="23" t="s">
        <v>182</v>
      </c>
      <c r="C66" s="15">
        <v>74</v>
      </c>
      <c r="D66" s="18">
        <v>7.5</v>
      </c>
      <c r="E66" s="15">
        <v>26</v>
      </c>
      <c r="F66" s="15">
        <v>0</v>
      </c>
      <c r="G66" s="15">
        <v>100</v>
      </c>
      <c r="H66" s="15">
        <v>100</v>
      </c>
      <c r="I66" s="17">
        <v>3</v>
      </c>
      <c r="J66" s="1">
        <v>1</v>
      </c>
      <c r="K66" s="1">
        <v>1</v>
      </c>
    </row>
    <row r="67" spans="1:11" x14ac:dyDescent="0.35">
      <c r="A67" s="15" t="s">
        <v>158</v>
      </c>
      <c r="B67" s="23" t="s">
        <v>182</v>
      </c>
      <c r="C67" s="15">
        <v>54</v>
      </c>
      <c r="D67" s="18">
        <v>10.85</v>
      </c>
      <c r="E67" s="15">
        <v>28.3</v>
      </c>
      <c r="F67" s="15">
        <v>1.45</v>
      </c>
      <c r="G67" s="15">
        <v>35</v>
      </c>
      <c r="H67" s="15">
        <v>100</v>
      </c>
      <c r="I67" s="17">
        <v>3</v>
      </c>
      <c r="J67" s="1">
        <v>4</v>
      </c>
      <c r="K67" s="1">
        <v>4</v>
      </c>
    </row>
    <row r="68" spans="1:11" x14ac:dyDescent="0.35">
      <c r="A68" s="15" t="s">
        <v>158</v>
      </c>
      <c r="B68" s="23" t="s">
        <v>184</v>
      </c>
      <c r="C68" s="1">
        <v>72</v>
      </c>
      <c r="D68" s="1">
        <v>17.850000000000001</v>
      </c>
      <c r="E68" s="1">
        <v>26.9</v>
      </c>
      <c r="F68" s="1">
        <v>1.6</v>
      </c>
      <c r="G68" s="1">
        <v>90</v>
      </c>
      <c r="H68" s="1">
        <v>100</v>
      </c>
      <c r="I68" s="17">
        <v>2</v>
      </c>
      <c r="J68" s="1">
        <v>2</v>
      </c>
      <c r="K68" s="1">
        <v>3</v>
      </c>
    </row>
    <row r="69" spans="1:11" x14ac:dyDescent="0.35">
      <c r="A69" s="15" t="s">
        <v>158</v>
      </c>
      <c r="B69" s="23" t="s">
        <v>184</v>
      </c>
      <c r="C69" s="15">
        <v>66</v>
      </c>
      <c r="D69" s="18">
        <v>6.27</v>
      </c>
      <c r="E69" s="15">
        <v>26.2</v>
      </c>
      <c r="F69" s="15">
        <v>0.8</v>
      </c>
      <c r="G69" s="15">
        <v>100</v>
      </c>
      <c r="H69" s="15">
        <v>71.42</v>
      </c>
      <c r="I69" s="17">
        <v>2</v>
      </c>
      <c r="J69" s="1">
        <v>1</v>
      </c>
      <c r="K69" s="1">
        <v>1</v>
      </c>
    </row>
    <row r="70" spans="1:11" x14ac:dyDescent="0.35">
      <c r="A70" s="15" t="s">
        <v>158</v>
      </c>
      <c r="B70" s="23" t="s">
        <v>183</v>
      </c>
      <c r="C70" s="15">
        <v>77</v>
      </c>
      <c r="D70" s="18">
        <v>19</v>
      </c>
      <c r="E70" s="15">
        <v>23.9</v>
      </c>
      <c r="F70" s="15">
        <v>0</v>
      </c>
      <c r="G70" s="15">
        <v>100</v>
      </c>
      <c r="H70" s="15">
        <v>76.19</v>
      </c>
      <c r="I70" s="17">
        <v>3</v>
      </c>
      <c r="J70" s="1">
        <v>4</v>
      </c>
      <c r="K70" s="1">
        <v>13</v>
      </c>
    </row>
    <row r="71" spans="1:11" x14ac:dyDescent="0.35">
      <c r="A71" s="15" t="s">
        <v>158</v>
      </c>
      <c r="B71" s="23" t="s">
        <v>183</v>
      </c>
      <c r="C71" s="15">
        <v>99</v>
      </c>
      <c r="D71" s="18">
        <v>29.59</v>
      </c>
      <c r="E71" s="15">
        <v>24.9</v>
      </c>
      <c r="F71" s="15">
        <v>0.65</v>
      </c>
      <c r="G71" s="15">
        <v>99</v>
      </c>
      <c r="H71" s="15">
        <v>95.24</v>
      </c>
      <c r="I71" s="17">
        <v>3</v>
      </c>
      <c r="J71" s="1">
        <v>4</v>
      </c>
      <c r="K71" s="1">
        <v>7</v>
      </c>
    </row>
    <row r="72" spans="1:11" x14ac:dyDescent="0.35">
      <c r="A72" s="15" t="s">
        <v>158</v>
      </c>
      <c r="B72" s="23" t="s">
        <v>183</v>
      </c>
      <c r="C72" s="15">
        <v>74</v>
      </c>
      <c r="D72" s="18">
        <v>1.52</v>
      </c>
      <c r="E72" s="15">
        <v>19.829999999999998</v>
      </c>
      <c r="F72" s="15">
        <v>0.85</v>
      </c>
      <c r="G72" s="15">
        <v>100</v>
      </c>
      <c r="H72" s="15">
        <v>95.24</v>
      </c>
      <c r="I72" s="17">
        <v>3</v>
      </c>
      <c r="J72" s="1">
        <v>2</v>
      </c>
      <c r="K72" s="1">
        <v>2</v>
      </c>
    </row>
    <row r="73" spans="1:11" x14ac:dyDescent="0.35">
      <c r="A73" s="15" t="s">
        <v>158</v>
      </c>
      <c r="B73" s="23" t="s">
        <v>185</v>
      </c>
      <c r="C73" s="15">
        <v>99</v>
      </c>
      <c r="D73" s="18">
        <v>27.94</v>
      </c>
      <c r="E73" s="15">
        <v>22.3</v>
      </c>
      <c r="F73" s="15">
        <v>1.2</v>
      </c>
      <c r="G73" s="15">
        <v>100</v>
      </c>
      <c r="H73" s="15">
        <v>95.24</v>
      </c>
      <c r="I73" s="17">
        <v>1</v>
      </c>
      <c r="J73" s="1">
        <v>5</v>
      </c>
      <c r="K73" s="1">
        <v>15</v>
      </c>
    </row>
    <row r="74" spans="1:11" x14ac:dyDescent="0.35">
      <c r="A74" s="15" t="s">
        <v>158</v>
      </c>
      <c r="B74" s="23" t="s">
        <v>185</v>
      </c>
      <c r="C74" s="15">
        <v>80</v>
      </c>
      <c r="D74" s="18">
        <v>6.81</v>
      </c>
      <c r="E74" s="15">
        <v>19.03</v>
      </c>
      <c r="F74" s="15">
        <v>1.8</v>
      </c>
      <c r="G74" s="15">
        <v>100</v>
      </c>
      <c r="H74" s="15">
        <v>100</v>
      </c>
      <c r="I74" s="17">
        <v>1</v>
      </c>
      <c r="J74" s="1">
        <v>2</v>
      </c>
      <c r="K74" s="1">
        <v>4</v>
      </c>
    </row>
    <row r="75" spans="1:11" x14ac:dyDescent="0.35">
      <c r="A75" s="15" t="s">
        <v>158</v>
      </c>
      <c r="B75" s="23" t="s">
        <v>186</v>
      </c>
      <c r="C75" s="15">
        <v>95</v>
      </c>
      <c r="D75" s="18">
        <v>0.4</v>
      </c>
      <c r="E75" s="15">
        <v>17.100000000000001</v>
      </c>
      <c r="F75" s="15">
        <v>0</v>
      </c>
      <c r="G75" s="15">
        <v>0</v>
      </c>
      <c r="H75" s="15">
        <v>100</v>
      </c>
      <c r="I75" s="17">
        <v>6</v>
      </c>
      <c r="J75" s="1">
        <v>10</v>
      </c>
      <c r="K75" s="1">
        <v>33</v>
      </c>
    </row>
    <row r="76" spans="1:11" x14ac:dyDescent="0.35">
      <c r="A76" s="15" t="s">
        <v>158</v>
      </c>
      <c r="B76" s="23" t="s">
        <v>186</v>
      </c>
      <c r="C76" s="15">
        <v>95</v>
      </c>
      <c r="D76" s="18">
        <v>0.42</v>
      </c>
      <c r="E76" s="15">
        <v>17.2</v>
      </c>
      <c r="F76" s="15">
        <v>0</v>
      </c>
      <c r="G76" s="15">
        <v>100</v>
      </c>
      <c r="H76" s="15">
        <v>100</v>
      </c>
      <c r="I76" s="17">
        <v>6</v>
      </c>
      <c r="J76" s="1">
        <v>1</v>
      </c>
      <c r="K76" s="1">
        <v>1</v>
      </c>
    </row>
    <row r="77" spans="1:11" x14ac:dyDescent="0.35">
      <c r="A77" s="15" t="s">
        <v>158</v>
      </c>
      <c r="B77" s="23" t="s">
        <v>186</v>
      </c>
      <c r="C77" s="15">
        <v>95</v>
      </c>
      <c r="D77" s="18">
        <v>0.41</v>
      </c>
      <c r="E77" s="15">
        <v>17.100000000000001</v>
      </c>
      <c r="F77" s="15">
        <v>0</v>
      </c>
      <c r="G77" s="15">
        <v>100</v>
      </c>
      <c r="H77" s="15">
        <v>95.24</v>
      </c>
      <c r="I77" s="17">
        <v>6</v>
      </c>
      <c r="J77" s="1">
        <v>8</v>
      </c>
      <c r="K77" s="1">
        <v>11</v>
      </c>
    </row>
    <row r="78" spans="1:11" x14ac:dyDescent="0.35">
      <c r="A78" s="15" t="s">
        <v>158</v>
      </c>
      <c r="B78" s="23" t="s">
        <v>186</v>
      </c>
      <c r="C78" s="15">
        <v>87</v>
      </c>
      <c r="D78" s="18">
        <v>0.16</v>
      </c>
      <c r="E78" s="15">
        <v>20.2</v>
      </c>
      <c r="F78" s="15">
        <v>0</v>
      </c>
      <c r="G78" s="15">
        <v>100</v>
      </c>
      <c r="H78" s="15">
        <v>100</v>
      </c>
      <c r="I78" s="17">
        <v>6</v>
      </c>
      <c r="J78" s="1">
        <v>6</v>
      </c>
      <c r="K78" s="1">
        <v>6</v>
      </c>
    </row>
    <row r="79" spans="1:11" x14ac:dyDescent="0.35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15">
        <v>100</v>
      </c>
      <c r="H79" s="15">
        <v>100</v>
      </c>
      <c r="I79" s="17">
        <v>4</v>
      </c>
      <c r="J79" s="1">
        <v>8</v>
      </c>
      <c r="K79" s="1">
        <v>11</v>
      </c>
    </row>
    <row r="80" spans="1:11" x14ac:dyDescent="0.35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15">
        <v>100</v>
      </c>
      <c r="H80" s="15">
        <v>100</v>
      </c>
      <c r="I80" s="17">
        <v>3</v>
      </c>
      <c r="J80" s="1">
        <v>6</v>
      </c>
      <c r="K80" s="1">
        <v>8</v>
      </c>
    </row>
    <row r="81" spans="1:11" x14ac:dyDescent="0.35">
      <c r="A81" s="15" t="s">
        <v>164</v>
      </c>
      <c r="B81" s="23" t="s">
        <v>177</v>
      </c>
      <c r="C81" s="15">
        <v>90</v>
      </c>
      <c r="D81" s="18">
        <v>1.5</v>
      </c>
      <c r="E81" s="15">
        <v>23.4</v>
      </c>
      <c r="F81" s="15">
        <v>0</v>
      </c>
      <c r="G81" s="15">
        <v>100</v>
      </c>
      <c r="H81" s="15">
        <v>100</v>
      </c>
      <c r="I81" s="17">
        <v>3</v>
      </c>
      <c r="J81" s="1">
        <v>1</v>
      </c>
      <c r="K81" s="1">
        <v>1</v>
      </c>
    </row>
    <row r="82" spans="1:11" x14ac:dyDescent="0.35">
      <c r="A82" s="15" t="s">
        <v>164</v>
      </c>
      <c r="B82" s="23" t="s">
        <v>179</v>
      </c>
      <c r="C82" s="15">
        <v>91</v>
      </c>
      <c r="D82" s="18">
        <v>1.1499999999999999</v>
      </c>
      <c r="E82" s="15">
        <v>24.4</v>
      </c>
      <c r="F82" s="15">
        <v>0</v>
      </c>
      <c r="G82" s="15">
        <v>100</v>
      </c>
      <c r="H82" s="15">
        <v>95.24</v>
      </c>
      <c r="I82" s="17">
        <v>5</v>
      </c>
      <c r="J82" s="1">
        <v>8</v>
      </c>
      <c r="K82" s="1">
        <v>8</v>
      </c>
    </row>
    <row r="83" spans="1:11" x14ac:dyDescent="0.35">
      <c r="A83" s="15" t="s">
        <v>164</v>
      </c>
      <c r="B83" s="23" t="s">
        <v>179</v>
      </c>
      <c r="C83" s="15">
        <v>94</v>
      </c>
      <c r="D83" s="18">
        <v>1.2</v>
      </c>
      <c r="E83" s="15">
        <v>24.4</v>
      </c>
      <c r="F83" s="15">
        <v>0</v>
      </c>
      <c r="G83" s="15">
        <v>100</v>
      </c>
      <c r="H83" s="15">
        <v>100</v>
      </c>
      <c r="I83" s="17">
        <v>5</v>
      </c>
      <c r="J83" s="1">
        <v>1</v>
      </c>
      <c r="K83" s="1">
        <v>1</v>
      </c>
    </row>
    <row r="84" spans="1:11" x14ac:dyDescent="0.35">
      <c r="A84" s="15" t="s">
        <v>164</v>
      </c>
      <c r="B84" s="23" t="s">
        <v>179</v>
      </c>
      <c r="C84" s="15">
        <v>85</v>
      </c>
      <c r="D84" s="18">
        <v>1.3</v>
      </c>
      <c r="E84" s="15">
        <v>24.4</v>
      </c>
      <c r="F84" s="15">
        <v>0</v>
      </c>
      <c r="G84" s="15">
        <v>100</v>
      </c>
      <c r="H84" s="15">
        <v>100</v>
      </c>
      <c r="I84" s="17">
        <v>5</v>
      </c>
      <c r="J84" s="1">
        <v>8</v>
      </c>
      <c r="K84" s="1">
        <v>8</v>
      </c>
    </row>
    <row r="85" spans="1:11" x14ac:dyDescent="0.35">
      <c r="A85" s="15" t="s">
        <v>164</v>
      </c>
      <c r="B85" s="23" t="s">
        <v>180</v>
      </c>
      <c r="C85" s="15">
        <v>91</v>
      </c>
      <c r="D85" s="18">
        <v>0.57999999999999996</v>
      </c>
      <c r="E85" s="15">
        <v>26.4</v>
      </c>
      <c r="F85" s="15">
        <v>0</v>
      </c>
      <c r="G85" s="15">
        <v>100</v>
      </c>
      <c r="H85" s="15">
        <v>76.19</v>
      </c>
      <c r="I85" s="17">
        <v>5</v>
      </c>
      <c r="J85" s="1">
        <v>10</v>
      </c>
      <c r="K85" s="1">
        <v>10</v>
      </c>
    </row>
    <row r="86" spans="1:11" x14ac:dyDescent="0.35">
      <c r="A86" s="15" t="s">
        <v>164</v>
      </c>
      <c r="B86" s="23" t="s">
        <v>180</v>
      </c>
      <c r="C86" s="15">
        <v>91</v>
      </c>
      <c r="D86" s="18">
        <v>0.81</v>
      </c>
      <c r="E86" s="15">
        <v>23.28</v>
      </c>
      <c r="F86" s="15">
        <v>0</v>
      </c>
      <c r="G86" s="15">
        <v>100</v>
      </c>
      <c r="H86" s="15">
        <v>100</v>
      </c>
      <c r="I86" s="17">
        <v>5</v>
      </c>
      <c r="J86" s="1">
        <v>5</v>
      </c>
      <c r="K86" s="1">
        <v>5</v>
      </c>
    </row>
    <row r="87" spans="1:11" x14ac:dyDescent="0.35">
      <c r="A87" s="15" t="s">
        <v>164</v>
      </c>
      <c r="B87" s="23" t="s">
        <v>181</v>
      </c>
      <c r="C87" s="15">
        <v>91</v>
      </c>
      <c r="D87" s="18">
        <v>0.81</v>
      </c>
      <c r="E87" s="15">
        <v>23.3</v>
      </c>
      <c r="F87" s="15">
        <v>0</v>
      </c>
      <c r="G87" s="15">
        <v>100</v>
      </c>
      <c r="H87" s="15">
        <v>100</v>
      </c>
      <c r="I87" s="17">
        <v>3</v>
      </c>
      <c r="J87" s="1">
        <v>1</v>
      </c>
      <c r="K87" s="1">
        <v>2</v>
      </c>
    </row>
    <row r="88" spans="1:11" x14ac:dyDescent="0.35">
      <c r="A88" s="15" t="s">
        <v>164</v>
      </c>
      <c r="B88" s="23" t="s">
        <v>181</v>
      </c>
      <c r="C88" s="15">
        <v>99</v>
      </c>
      <c r="D88" s="18">
        <v>85.6</v>
      </c>
      <c r="E88" s="15">
        <v>28.5</v>
      </c>
      <c r="F88" s="15">
        <v>1.2</v>
      </c>
      <c r="G88" s="15">
        <v>100</v>
      </c>
      <c r="H88" s="15">
        <v>95.24</v>
      </c>
      <c r="I88" s="17">
        <v>3</v>
      </c>
      <c r="J88" s="1">
        <v>1</v>
      </c>
      <c r="K88" s="1">
        <v>1</v>
      </c>
    </row>
    <row r="89" spans="1:11" x14ac:dyDescent="0.35">
      <c r="A89" s="15" t="s">
        <v>164</v>
      </c>
      <c r="B89" s="23" t="s">
        <v>181</v>
      </c>
      <c r="C89" s="15">
        <v>91</v>
      </c>
      <c r="D89" s="18">
        <v>13.15</v>
      </c>
      <c r="E89" s="15">
        <v>26.13</v>
      </c>
      <c r="F89" s="15">
        <v>0</v>
      </c>
      <c r="G89" s="15">
        <v>100</v>
      </c>
      <c r="H89" s="15">
        <v>95.24</v>
      </c>
      <c r="I89" s="17">
        <v>3</v>
      </c>
      <c r="J89" s="1">
        <v>3</v>
      </c>
      <c r="K89" s="1">
        <v>3</v>
      </c>
    </row>
    <row r="90" spans="1:11" x14ac:dyDescent="0.35">
      <c r="A90" s="15" t="s">
        <v>164</v>
      </c>
      <c r="B90" s="23" t="s">
        <v>182</v>
      </c>
      <c r="C90" s="15">
        <v>75</v>
      </c>
      <c r="D90" s="18">
        <v>17.2</v>
      </c>
      <c r="E90" s="15">
        <v>28</v>
      </c>
      <c r="F90" s="15">
        <v>0</v>
      </c>
      <c r="G90" s="15">
        <v>100</v>
      </c>
      <c r="H90" s="15">
        <v>100</v>
      </c>
      <c r="I90" s="17">
        <v>3</v>
      </c>
      <c r="J90" s="1">
        <v>2</v>
      </c>
      <c r="K90" s="1">
        <v>2</v>
      </c>
    </row>
    <row r="91" spans="1:11" x14ac:dyDescent="0.35">
      <c r="A91" s="39" t="s">
        <v>164</v>
      </c>
      <c r="B91" s="40" t="s">
        <v>182</v>
      </c>
      <c r="C91" s="39">
        <v>93</v>
      </c>
      <c r="D91" s="42">
        <v>14.5</v>
      </c>
      <c r="E91" s="39">
        <v>28.73</v>
      </c>
      <c r="F91" s="39">
        <v>0</v>
      </c>
      <c r="G91" s="39">
        <v>100</v>
      </c>
      <c r="H91" s="39">
        <v>100</v>
      </c>
      <c r="I91" s="43">
        <v>3</v>
      </c>
      <c r="J91" s="44">
        <v>6</v>
      </c>
      <c r="K91" s="44">
        <v>9</v>
      </c>
    </row>
    <row r="92" spans="1:11" x14ac:dyDescent="0.35">
      <c r="A92" s="15" t="s">
        <v>164</v>
      </c>
      <c r="B92" s="23" t="s">
        <v>182</v>
      </c>
      <c r="C92" s="15">
        <v>74</v>
      </c>
      <c r="D92" s="18">
        <v>18</v>
      </c>
      <c r="E92" s="15">
        <v>28</v>
      </c>
      <c r="F92" s="15">
        <v>0</v>
      </c>
      <c r="G92" s="15">
        <v>2</v>
      </c>
      <c r="H92" s="15">
        <v>100</v>
      </c>
      <c r="I92" s="17">
        <v>3</v>
      </c>
      <c r="J92" s="1">
        <v>2</v>
      </c>
      <c r="K92" s="1">
        <v>2</v>
      </c>
    </row>
    <row r="93" spans="1:11" x14ac:dyDescent="0.35">
      <c r="A93" s="15" t="s">
        <v>164</v>
      </c>
      <c r="B93" s="23" t="s">
        <v>184</v>
      </c>
      <c r="C93" s="15">
        <v>92</v>
      </c>
      <c r="D93" s="18">
        <v>97.97</v>
      </c>
      <c r="E93" s="15">
        <v>28.73</v>
      </c>
      <c r="F93" s="15">
        <v>0.97</v>
      </c>
      <c r="G93" s="15">
        <v>100</v>
      </c>
      <c r="H93" s="15">
        <v>100</v>
      </c>
      <c r="I93" s="17">
        <v>2</v>
      </c>
      <c r="J93" s="1">
        <v>0</v>
      </c>
      <c r="K93" s="1">
        <v>0</v>
      </c>
    </row>
    <row r="94" spans="1:11" x14ac:dyDescent="0.35">
      <c r="A94" s="15" t="s">
        <v>164</v>
      </c>
      <c r="B94" s="23" t="s">
        <v>184</v>
      </c>
      <c r="C94" s="15">
        <v>86.5</v>
      </c>
      <c r="D94" s="18">
        <v>33.18</v>
      </c>
      <c r="E94" s="15">
        <v>25.7</v>
      </c>
      <c r="F94" s="15">
        <v>1.2</v>
      </c>
      <c r="G94" s="15">
        <v>100</v>
      </c>
      <c r="H94" s="15">
        <v>100</v>
      </c>
      <c r="I94" s="17">
        <v>2</v>
      </c>
      <c r="J94" s="1">
        <v>3</v>
      </c>
      <c r="K94" s="1">
        <v>6</v>
      </c>
    </row>
    <row r="95" spans="1:11" x14ac:dyDescent="0.35">
      <c r="A95" s="15" t="s">
        <v>164</v>
      </c>
      <c r="B95" s="23" t="s">
        <v>184</v>
      </c>
      <c r="C95" s="15">
        <v>70</v>
      </c>
      <c r="D95" s="18">
        <v>5.91</v>
      </c>
      <c r="E95" s="15">
        <v>20.5</v>
      </c>
      <c r="F95" s="15">
        <v>1.5</v>
      </c>
      <c r="G95" s="15">
        <v>2</v>
      </c>
      <c r="H95" s="15">
        <v>100</v>
      </c>
      <c r="I95" s="17">
        <v>2</v>
      </c>
      <c r="J95" s="1">
        <v>3</v>
      </c>
      <c r="K95" s="1">
        <v>3</v>
      </c>
    </row>
    <row r="96" spans="1:11" x14ac:dyDescent="0.35">
      <c r="A96" s="15" t="s">
        <v>164</v>
      </c>
      <c r="B96" s="23" t="s">
        <v>183</v>
      </c>
      <c r="C96" s="15">
        <v>89</v>
      </c>
      <c r="D96" s="18">
        <v>7.61</v>
      </c>
      <c r="E96" s="15">
        <v>23.8</v>
      </c>
      <c r="F96" s="15">
        <v>0.75</v>
      </c>
      <c r="G96" s="15">
        <v>100</v>
      </c>
      <c r="H96" s="15">
        <v>100</v>
      </c>
      <c r="I96" s="17">
        <v>3</v>
      </c>
      <c r="J96" s="1">
        <v>5</v>
      </c>
      <c r="K96" s="1">
        <v>10</v>
      </c>
    </row>
    <row r="97" spans="1:11" x14ac:dyDescent="0.35">
      <c r="A97" s="15" t="s">
        <v>164</v>
      </c>
      <c r="B97" s="23" t="s">
        <v>183</v>
      </c>
      <c r="C97" s="15">
        <v>81</v>
      </c>
      <c r="D97" s="18">
        <v>5.23</v>
      </c>
      <c r="E97" s="15">
        <v>27.03</v>
      </c>
      <c r="F97" s="15">
        <v>0</v>
      </c>
      <c r="G97" s="15">
        <v>100</v>
      </c>
      <c r="H97" s="15">
        <v>100</v>
      </c>
      <c r="I97" s="17">
        <v>3</v>
      </c>
      <c r="J97" s="1">
        <v>4</v>
      </c>
      <c r="K97" s="1">
        <v>5</v>
      </c>
    </row>
    <row r="98" spans="1:11" x14ac:dyDescent="0.35">
      <c r="A98" s="15" t="s">
        <v>164</v>
      </c>
      <c r="B98" s="23" t="s">
        <v>185</v>
      </c>
      <c r="C98" s="15">
        <v>88</v>
      </c>
      <c r="D98" s="18">
        <v>24.87</v>
      </c>
      <c r="E98" s="15">
        <v>23.25</v>
      </c>
      <c r="F98" s="15">
        <v>0.45</v>
      </c>
      <c r="G98" s="15">
        <v>100</v>
      </c>
      <c r="H98" s="15">
        <v>100</v>
      </c>
      <c r="I98" s="17">
        <v>1</v>
      </c>
      <c r="J98" s="1">
        <v>1</v>
      </c>
      <c r="K98" s="1">
        <v>1</v>
      </c>
    </row>
    <row r="99" spans="1:11" x14ac:dyDescent="0.35">
      <c r="A99" s="15" t="s">
        <v>164</v>
      </c>
      <c r="B99" s="23" t="s">
        <v>185</v>
      </c>
      <c r="C99" s="15">
        <v>72</v>
      </c>
      <c r="D99" s="18">
        <v>4.6399999999999997</v>
      </c>
      <c r="E99" s="15">
        <v>24.9</v>
      </c>
      <c r="F99" s="15">
        <v>3.17</v>
      </c>
      <c r="G99" s="15">
        <v>100</v>
      </c>
      <c r="H99" s="15">
        <v>76.19</v>
      </c>
      <c r="I99" s="17">
        <v>1</v>
      </c>
      <c r="J99" s="1">
        <v>2</v>
      </c>
      <c r="K99" s="1">
        <v>4</v>
      </c>
    </row>
    <row r="100" spans="1:11" x14ac:dyDescent="0.35">
      <c r="A100" s="15" t="s">
        <v>164</v>
      </c>
      <c r="B100" s="23" t="s">
        <v>186</v>
      </c>
      <c r="C100" s="15">
        <v>86</v>
      </c>
      <c r="D100" s="18">
        <v>0.14000000000000001</v>
      </c>
      <c r="E100" s="15">
        <v>18.55</v>
      </c>
      <c r="F100" s="15">
        <v>0</v>
      </c>
      <c r="G100" s="15">
        <v>100</v>
      </c>
      <c r="H100" s="15">
        <v>100</v>
      </c>
      <c r="I100" s="17">
        <v>6</v>
      </c>
      <c r="J100" s="1">
        <v>5</v>
      </c>
      <c r="K100" s="1">
        <v>5</v>
      </c>
    </row>
    <row r="101" spans="1:11" x14ac:dyDescent="0.35">
      <c r="A101" s="15" t="s">
        <v>164</v>
      </c>
      <c r="B101" s="23" t="s">
        <v>186</v>
      </c>
      <c r="C101" s="15">
        <v>87</v>
      </c>
      <c r="D101" s="18">
        <v>0.15</v>
      </c>
      <c r="E101" s="15">
        <v>15.2</v>
      </c>
      <c r="F101" s="15">
        <v>0</v>
      </c>
      <c r="G101" s="15">
        <v>100</v>
      </c>
      <c r="H101" s="15">
        <v>100</v>
      </c>
      <c r="I101" s="17">
        <v>6</v>
      </c>
      <c r="J101" s="1">
        <v>3</v>
      </c>
      <c r="K101" s="1">
        <v>3</v>
      </c>
    </row>
    <row r="102" spans="1:11" x14ac:dyDescent="0.35">
      <c r="A102" s="15" t="s">
        <v>164</v>
      </c>
      <c r="B102" s="23" t="s">
        <v>186</v>
      </c>
      <c r="C102" s="15">
        <v>83</v>
      </c>
      <c r="D102" s="18">
        <v>0.20499999999999999</v>
      </c>
      <c r="E102" s="15">
        <v>24.8</v>
      </c>
      <c r="F102" s="15">
        <v>0</v>
      </c>
      <c r="G102" s="15">
        <v>100</v>
      </c>
      <c r="H102" s="15">
        <v>76.19</v>
      </c>
      <c r="I102" s="17">
        <v>6</v>
      </c>
      <c r="J102" s="1">
        <v>0</v>
      </c>
      <c r="K102" s="1">
        <v>0</v>
      </c>
    </row>
    <row r="103" spans="1:11" x14ac:dyDescent="0.35">
      <c r="A103" s="15" t="s">
        <v>168</v>
      </c>
      <c r="B103" s="15" t="s">
        <v>176</v>
      </c>
      <c r="C103" s="15">
        <v>92</v>
      </c>
      <c r="D103" s="18">
        <v>0.14000000000000001</v>
      </c>
      <c r="E103" s="15">
        <v>22.5</v>
      </c>
      <c r="F103" s="15">
        <v>0</v>
      </c>
      <c r="G103" s="15">
        <v>100</v>
      </c>
      <c r="H103" s="15">
        <v>95.24</v>
      </c>
      <c r="I103" s="17">
        <v>4</v>
      </c>
      <c r="J103" s="1">
        <v>6</v>
      </c>
      <c r="K103" s="1">
        <v>11</v>
      </c>
    </row>
    <row r="104" spans="1:11" x14ac:dyDescent="0.35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60</v>
      </c>
      <c r="H104" s="15">
        <v>100</v>
      </c>
      <c r="I104" s="17">
        <v>4</v>
      </c>
      <c r="J104" s="1">
        <v>1</v>
      </c>
      <c r="K104" s="1">
        <v>2</v>
      </c>
    </row>
    <row r="105" spans="1:11" x14ac:dyDescent="0.35">
      <c r="A105" s="15" t="s">
        <v>168</v>
      </c>
      <c r="B105" s="15" t="s">
        <v>177</v>
      </c>
      <c r="C105" s="15">
        <v>97</v>
      </c>
      <c r="D105" s="18">
        <v>4.5999999999999996</v>
      </c>
      <c r="E105" s="15">
        <v>24.3</v>
      </c>
      <c r="F105" s="15">
        <v>0</v>
      </c>
      <c r="G105" s="15">
        <v>100</v>
      </c>
      <c r="H105" s="15">
        <v>95.24</v>
      </c>
      <c r="I105" s="17">
        <v>3</v>
      </c>
      <c r="J105" s="1">
        <v>17</v>
      </c>
      <c r="K105" s="1">
        <v>24</v>
      </c>
    </row>
    <row r="106" spans="1:11" x14ac:dyDescent="0.35">
      <c r="A106" s="15" t="s">
        <v>168</v>
      </c>
      <c r="B106" s="15" t="s">
        <v>179</v>
      </c>
      <c r="C106" s="15">
        <v>99</v>
      </c>
      <c r="D106" s="18">
        <v>24.2</v>
      </c>
      <c r="E106" s="15">
        <v>26.1</v>
      </c>
      <c r="F106" s="15">
        <v>0</v>
      </c>
      <c r="G106" s="15">
        <v>60</v>
      </c>
      <c r="H106" s="15">
        <v>100</v>
      </c>
      <c r="I106" s="17">
        <v>5</v>
      </c>
      <c r="J106" s="1">
        <v>1</v>
      </c>
      <c r="K106" s="1">
        <v>1</v>
      </c>
    </row>
    <row r="107" spans="1:11" x14ac:dyDescent="0.35">
      <c r="A107" s="15" t="s">
        <v>168</v>
      </c>
      <c r="B107" s="15" t="s">
        <v>179</v>
      </c>
      <c r="C107" s="15">
        <v>99</v>
      </c>
      <c r="D107" s="18">
        <v>24.2</v>
      </c>
      <c r="E107" s="15">
        <v>26.1</v>
      </c>
      <c r="F107" s="15">
        <v>0</v>
      </c>
      <c r="G107" s="15">
        <v>35</v>
      </c>
      <c r="H107" s="15">
        <v>100</v>
      </c>
      <c r="I107" s="17">
        <v>5</v>
      </c>
      <c r="J107" s="1">
        <v>11</v>
      </c>
      <c r="K107" s="1">
        <v>11</v>
      </c>
    </row>
    <row r="108" spans="1:11" x14ac:dyDescent="0.35">
      <c r="A108" s="15" t="s">
        <v>168</v>
      </c>
      <c r="B108" s="15" t="s">
        <v>179</v>
      </c>
      <c r="C108" s="15">
        <v>84</v>
      </c>
      <c r="D108" s="18">
        <v>0.17</v>
      </c>
      <c r="E108" s="15">
        <v>24</v>
      </c>
      <c r="F108" s="15">
        <v>0</v>
      </c>
      <c r="G108" s="15">
        <v>100</v>
      </c>
      <c r="H108" s="15">
        <v>52.38</v>
      </c>
      <c r="I108" s="17">
        <v>5</v>
      </c>
      <c r="J108" s="1">
        <v>2</v>
      </c>
      <c r="K108" s="1">
        <v>2</v>
      </c>
    </row>
    <row r="109" spans="1:11" x14ac:dyDescent="0.35">
      <c r="A109" s="15" t="s">
        <v>168</v>
      </c>
      <c r="B109" s="15" t="s">
        <v>180</v>
      </c>
      <c r="C109" s="15">
        <v>97</v>
      </c>
      <c r="D109" s="18">
        <v>1.08</v>
      </c>
      <c r="E109" s="15">
        <v>25.4</v>
      </c>
      <c r="F109" s="15">
        <v>0</v>
      </c>
      <c r="G109" s="15">
        <v>100</v>
      </c>
      <c r="H109" s="15">
        <v>100</v>
      </c>
      <c r="I109" s="17">
        <v>5</v>
      </c>
      <c r="J109" s="1">
        <v>6</v>
      </c>
      <c r="K109" s="1">
        <v>8</v>
      </c>
    </row>
    <row r="110" spans="1:11" x14ac:dyDescent="0.35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65</v>
      </c>
      <c r="H110" s="15">
        <v>100</v>
      </c>
      <c r="I110" s="17">
        <v>5</v>
      </c>
      <c r="J110" s="1">
        <v>9</v>
      </c>
      <c r="K110" s="1">
        <v>9</v>
      </c>
    </row>
    <row r="111" spans="1:11" x14ac:dyDescent="0.35">
      <c r="A111" s="15" t="s">
        <v>168</v>
      </c>
      <c r="B111" s="1" t="s">
        <v>180</v>
      </c>
      <c r="C111" s="1">
        <v>80</v>
      </c>
      <c r="D111" s="46">
        <v>0.04</v>
      </c>
      <c r="E111" s="1">
        <v>25.3</v>
      </c>
      <c r="F111" s="1">
        <v>0</v>
      </c>
      <c r="G111" s="1">
        <v>100</v>
      </c>
      <c r="H111" s="1">
        <v>52.38</v>
      </c>
      <c r="I111" s="2">
        <v>5</v>
      </c>
      <c r="J111" s="1">
        <v>0</v>
      </c>
      <c r="K111" s="1">
        <v>0</v>
      </c>
    </row>
    <row r="112" spans="1:11" x14ac:dyDescent="0.35">
      <c r="A112" s="15" t="s">
        <v>168</v>
      </c>
      <c r="B112" s="1" t="s">
        <v>181</v>
      </c>
      <c r="C112" s="1">
        <v>87</v>
      </c>
      <c r="D112" s="46">
        <v>9.8000000000000007</v>
      </c>
      <c r="E112" s="1">
        <v>34.5</v>
      </c>
      <c r="F112" s="1">
        <v>0</v>
      </c>
      <c r="G112" s="1">
        <v>90</v>
      </c>
      <c r="H112" s="1">
        <v>100</v>
      </c>
      <c r="I112" s="2">
        <v>3</v>
      </c>
      <c r="J112" s="1">
        <v>4</v>
      </c>
      <c r="K112" s="1">
        <v>4</v>
      </c>
    </row>
    <row r="113" spans="1:11" x14ac:dyDescent="0.35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0</v>
      </c>
      <c r="H113" s="1">
        <v>100</v>
      </c>
      <c r="I113" s="2">
        <v>3</v>
      </c>
      <c r="J113" s="1">
        <v>3</v>
      </c>
      <c r="K113" s="1">
        <v>3</v>
      </c>
    </row>
    <row r="114" spans="1:11" x14ac:dyDescent="0.35">
      <c r="A114" s="15" t="s">
        <v>168</v>
      </c>
      <c r="B114" s="1" t="s">
        <v>181</v>
      </c>
      <c r="C114" s="1">
        <v>80</v>
      </c>
      <c r="D114" s="46">
        <v>1.5</v>
      </c>
      <c r="E114" s="1">
        <v>26.9</v>
      </c>
      <c r="F114" s="1">
        <v>0</v>
      </c>
      <c r="G114" s="1">
        <v>100</v>
      </c>
      <c r="H114" s="1">
        <v>47.62</v>
      </c>
      <c r="I114" s="2">
        <v>3</v>
      </c>
      <c r="J114" s="1">
        <v>3</v>
      </c>
      <c r="K114" s="1">
        <v>4</v>
      </c>
    </row>
    <row r="115" spans="1:11" x14ac:dyDescent="0.35">
      <c r="A115" s="15" t="s">
        <v>168</v>
      </c>
      <c r="B115" s="1" t="s">
        <v>182</v>
      </c>
      <c r="C115" s="1">
        <v>81</v>
      </c>
      <c r="D115" s="46">
        <v>36.6</v>
      </c>
      <c r="E115" s="1">
        <v>31.4</v>
      </c>
      <c r="F115" s="1">
        <v>0.8</v>
      </c>
      <c r="G115" s="1">
        <v>96</v>
      </c>
      <c r="H115" s="1">
        <v>100</v>
      </c>
      <c r="I115" s="2">
        <v>3</v>
      </c>
      <c r="J115" s="1">
        <v>7</v>
      </c>
      <c r="K115" s="1">
        <v>7</v>
      </c>
    </row>
    <row r="116" spans="1:11" x14ac:dyDescent="0.35">
      <c r="A116" s="15" t="s">
        <v>168</v>
      </c>
      <c r="B116" s="1" t="s">
        <v>182</v>
      </c>
      <c r="C116" s="1">
        <v>79</v>
      </c>
      <c r="D116" s="46">
        <v>13.35</v>
      </c>
      <c r="E116" s="1">
        <v>29.2</v>
      </c>
      <c r="F116" s="1">
        <v>0</v>
      </c>
      <c r="G116" s="1">
        <v>100</v>
      </c>
      <c r="H116" s="1">
        <v>100</v>
      </c>
      <c r="I116" s="2">
        <v>3</v>
      </c>
      <c r="J116" s="1">
        <v>2</v>
      </c>
      <c r="K116" s="1">
        <v>2</v>
      </c>
    </row>
    <row r="117" spans="1:11" x14ac:dyDescent="0.35">
      <c r="A117" s="15" t="s">
        <v>168</v>
      </c>
      <c r="B117" s="1" t="s">
        <v>184</v>
      </c>
      <c r="C117" s="1">
        <v>92</v>
      </c>
      <c r="D117" s="46">
        <v>15.6</v>
      </c>
      <c r="E117" s="1">
        <v>23.5</v>
      </c>
      <c r="F117" s="1">
        <v>0.7</v>
      </c>
      <c r="G117" s="1">
        <v>2</v>
      </c>
      <c r="H117" s="1">
        <v>100</v>
      </c>
      <c r="I117" s="2">
        <v>2</v>
      </c>
      <c r="J117" s="1">
        <v>1</v>
      </c>
      <c r="K117" s="1">
        <v>1</v>
      </c>
    </row>
    <row r="118" spans="1:11" x14ac:dyDescent="0.35">
      <c r="A118" s="15" t="s">
        <v>168</v>
      </c>
      <c r="B118" s="1" t="s">
        <v>184</v>
      </c>
      <c r="C118" s="1">
        <v>79</v>
      </c>
      <c r="D118" s="46">
        <v>7.6</v>
      </c>
      <c r="E118" s="1">
        <v>25.4</v>
      </c>
      <c r="F118" s="1">
        <v>0</v>
      </c>
      <c r="G118" s="1">
        <v>100</v>
      </c>
      <c r="H118" s="1">
        <v>100</v>
      </c>
      <c r="I118" s="2">
        <v>2</v>
      </c>
      <c r="J118" s="1">
        <v>2</v>
      </c>
      <c r="K118" s="1">
        <v>5</v>
      </c>
    </row>
    <row r="119" spans="1:11" x14ac:dyDescent="0.35">
      <c r="A119" s="15" t="s">
        <v>168</v>
      </c>
      <c r="B119" s="1" t="s">
        <v>183</v>
      </c>
      <c r="C119" s="1">
        <v>89</v>
      </c>
      <c r="D119" s="46">
        <v>1.1000000000000001</v>
      </c>
      <c r="E119" s="1">
        <v>22.3</v>
      </c>
      <c r="F119" s="1">
        <v>0</v>
      </c>
      <c r="G119" s="1">
        <v>2</v>
      </c>
      <c r="H119" s="1">
        <v>100</v>
      </c>
      <c r="I119" s="2">
        <v>3</v>
      </c>
      <c r="J119" s="1">
        <v>7</v>
      </c>
      <c r="K119" s="1">
        <v>10</v>
      </c>
    </row>
    <row r="120" spans="1:11" x14ac:dyDescent="0.35">
      <c r="A120" s="15" t="s">
        <v>168</v>
      </c>
      <c r="B120" s="1" t="s">
        <v>183</v>
      </c>
      <c r="C120" s="1">
        <v>89</v>
      </c>
      <c r="D120" s="46">
        <v>1</v>
      </c>
      <c r="E120" s="1">
        <v>22.2</v>
      </c>
      <c r="F120" s="1">
        <v>0</v>
      </c>
      <c r="G120" s="1">
        <v>100</v>
      </c>
      <c r="H120" s="1">
        <v>100</v>
      </c>
      <c r="I120" s="2">
        <v>3</v>
      </c>
      <c r="J120" s="1">
        <v>4</v>
      </c>
      <c r="K120" s="1">
        <v>4</v>
      </c>
    </row>
    <row r="121" spans="1:11" x14ac:dyDescent="0.35">
      <c r="A121" s="15" t="s">
        <v>168</v>
      </c>
      <c r="B121" s="1" t="s">
        <v>183</v>
      </c>
      <c r="C121" s="1">
        <v>72</v>
      </c>
      <c r="D121" s="1">
        <v>0.75</v>
      </c>
      <c r="E121" s="1">
        <v>25</v>
      </c>
      <c r="F121" s="1">
        <v>0.9</v>
      </c>
      <c r="G121" s="1">
        <v>100</v>
      </c>
      <c r="H121" s="1">
        <v>100</v>
      </c>
      <c r="I121" s="2">
        <v>3</v>
      </c>
      <c r="J121" s="1">
        <v>2</v>
      </c>
      <c r="K121" s="1">
        <v>3</v>
      </c>
    </row>
    <row r="122" spans="1:11" x14ac:dyDescent="0.35">
      <c r="A122" s="15" t="s">
        <v>168</v>
      </c>
      <c r="B122" s="1" t="s">
        <v>185</v>
      </c>
      <c r="C122" s="1">
        <v>60</v>
      </c>
      <c r="D122" s="46">
        <v>44</v>
      </c>
      <c r="E122" s="1">
        <v>32.6</v>
      </c>
      <c r="F122" s="1">
        <v>0</v>
      </c>
      <c r="G122" s="1">
        <v>85</v>
      </c>
      <c r="H122" s="1">
        <v>100</v>
      </c>
      <c r="I122" s="2">
        <v>1</v>
      </c>
      <c r="J122" s="1">
        <v>2</v>
      </c>
      <c r="K122" s="1">
        <v>4</v>
      </c>
    </row>
    <row r="123" spans="1:11" x14ac:dyDescent="0.35">
      <c r="A123" s="15" t="s">
        <v>168</v>
      </c>
      <c r="B123" s="1" t="s">
        <v>185</v>
      </c>
      <c r="C123" s="1">
        <v>79</v>
      </c>
      <c r="D123" s="46">
        <v>39.200000000000003</v>
      </c>
      <c r="E123" s="1">
        <v>31.4</v>
      </c>
      <c r="F123" s="1">
        <v>0</v>
      </c>
      <c r="G123" s="1">
        <v>100</v>
      </c>
      <c r="H123" s="1">
        <v>100</v>
      </c>
      <c r="I123" s="2">
        <v>1</v>
      </c>
      <c r="J123" s="1">
        <v>0</v>
      </c>
      <c r="K123" s="1">
        <v>0</v>
      </c>
    </row>
    <row r="124" spans="1:11" x14ac:dyDescent="0.35">
      <c r="A124" s="15" t="s">
        <v>168</v>
      </c>
      <c r="B124" s="1" t="s">
        <v>186</v>
      </c>
      <c r="C124" s="1">
        <v>76</v>
      </c>
      <c r="D124" s="46">
        <v>1.53</v>
      </c>
      <c r="E124" s="1">
        <v>25.4</v>
      </c>
      <c r="F124" s="1">
        <v>0</v>
      </c>
      <c r="G124" s="1">
        <v>100</v>
      </c>
      <c r="H124" s="1">
        <v>76.19</v>
      </c>
      <c r="I124" s="2">
        <v>6</v>
      </c>
      <c r="J124" s="1">
        <v>4</v>
      </c>
      <c r="K124" s="1">
        <v>5</v>
      </c>
    </row>
    <row r="125" spans="1:11" x14ac:dyDescent="0.35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1">
        <v>30</v>
      </c>
      <c r="H125" s="1">
        <v>100</v>
      </c>
      <c r="I125" s="2">
        <v>4</v>
      </c>
      <c r="J125" s="1">
        <v>12</v>
      </c>
      <c r="K125" s="1">
        <v>18</v>
      </c>
    </row>
    <row r="126" spans="1:11" x14ac:dyDescent="0.35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1">
        <v>100</v>
      </c>
      <c r="H126" s="1">
        <v>100</v>
      </c>
      <c r="I126" s="2">
        <v>3</v>
      </c>
      <c r="J126" s="1">
        <v>5</v>
      </c>
      <c r="K126" s="1">
        <v>5</v>
      </c>
    </row>
    <row r="127" spans="1:11" x14ac:dyDescent="0.35">
      <c r="A127" s="1" t="s">
        <v>172</v>
      </c>
      <c r="B127" s="1" t="s">
        <v>179</v>
      </c>
      <c r="C127" s="1">
        <v>99</v>
      </c>
      <c r="D127" s="46">
        <v>0.28000000000000003</v>
      </c>
      <c r="E127" s="1">
        <v>23.5</v>
      </c>
      <c r="F127" s="1">
        <v>0</v>
      </c>
      <c r="G127" s="1">
        <v>100</v>
      </c>
      <c r="H127" s="1">
        <v>100</v>
      </c>
      <c r="I127" s="2">
        <v>5</v>
      </c>
      <c r="J127" s="1">
        <v>7</v>
      </c>
      <c r="K127" s="1">
        <v>10</v>
      </c>
    </row>
    <row r="128" spans="1:11" x14ac:dyDescent="0.35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1">
        <v>100</v>
      </c>
      <c r="H128" s="1">
        <v>100</v>
      </c>
      <c r="I128" s="2">
        <v>5</v>
      </c>
      <c r="J128" s="1">
        <v>9</v>
      </c>
      <c r="K128" s="1">
        <v>9</v>
      </c>
    </row>
    <row r="129" spans="1:11" x14ac:dyDescent="0.35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1">
        <v>100</v>
      </c>
      <c r="H129" s="1">
        <v>100</v>
      </c>
      <c r="I129" s="2">
        <v>3</v>
      </c>
      <c r="J129" s="1">
        <v>4</v>
      </c>
      <c r="K129" s="1">
        <v>4</v>
      </c>
    </row>
    <row r="130" spans="1:11" x14ac:dyDescent="0.35">
      <c r="A130" s="1" t="s">
        <v>172</v>
      </c>
      <c r="B130" s="1" t="s">
        <v>182</v>
      </c>
      <c r="C130" s="1">
        <v>99</v>
      </c>
      <c r="D130" s="46">
        <v>7.2350000000000003</v>
      </c>
      <c r="E130" s="1">
        <v>24.6</v>
      </c>
      <c r="F130" s="1">
        <v>1.4</v>
      </c>
      <c r="G130" s="1">
        <v>100</v>
      </c>
      <c r="H130" s="1">
        <v>100</v>
      </c>
      <c r="I130" s="2">
        <v>3</v>
      </c>
      <c r="J130" s="1">
        <v>10</v>
      </c>
      <c r="K130" s="1">
        <v>16</v>
      </c>
    </row>
    <row r="131" spans="1:11" x14ac:dyDescent="0.35">
      <c r="A131" s="1" t="s">
        <v>172</v>
      </c>
      <c r="B131" s="1" t="s">
        <v>184</v>
      </c>
      <c r="C131" s="1">
        <v>78</v>
      </c>
      <c r="D131" s="46">
        <v>17.850000000000001</v>
      </c>
      <c r="E131" s="1">
        <v>26.8</v>
      </c>
      <c r="F131" s="1">
        <v>0.7</v>
      </c>
      <c r="G131" s="1">
        <v>100</v>
      </c>
      <c r="H131" s="1">
        <v>100</v>
      </c>
      <c r="I131" s="2">
        <v>2</v>
      </c>
      <c r="J131" s="1">
        <v>3</v>
      </c>
      <c r="K131" s="1">
        <v>3</v>
      </c>
    </row>
    <row r="132" spans="1:11" x14ac:dyDescent="0.35">
      <c r="A132" s="1" t="s">
        <v>172</v>
      </c>
      <c r="B132" s="1" t="s">
        <v>183</v>
      </c>
      <c r="C132" s="1">
        <v>92</v>
      </c>
      <c r="D132" s="46">
        <v>44.68</v>
      </c>
      <c r="E132" s="1">
        <v>23.2</v>
      </c>
      <c r="F132" s="1">
        <v>0.6</v>
      </c>
      <c r="G132" s="1">
        <v>0</v>
      </c>
      <c r="H132" s="1">
        <v>100</v>
      </c>
      <c r="I132" s="2">
        <v>3</v>
      </c>
      <c r="J132" s="1">
        <v>8</v>
      </c>
      <c r="K132" s="1">
        <v>9</v>
      </c>
    </row>
    <row r="133" spans="1:11" x14ac:dyDescent="0.35">
      <c r="A133" s="1" t="s">
        <v>172</v>
      </c>
      <c r="B133" s="1" t="s">
        <v>183</v>
      </c>
      <c r="C133" s="1">
        <v>84</v>
      </c>
      <c r="D133" s="46">
        <v>0.5</v>
      </c>
      <c r="E133" s="1">
        <v>25.9</v>
      </c>
      <c r="F133" s="1">
        <v>0</v>
      </c>
      <c r="G133" s="1">
        <v>100</v>
      </c>
      <c r="H133" s="1">
        <v>100</v>
      </c>
      <c r="I133" s="2">
        <v>3</v>
      </c>
      <c r="J133" s="1">
        <v>4</v>
      </c>
      <c r="K133" s="1">
        <v>4</v>
      </c>
    </row>
    <row r="134" spans="1:11" x14ac:dyDescent="0.35">
      <c r="A134" s="1" t="s">
        <v>172</v>
      </c>
      <c r="B134" s="1" t="s">
        <v>186</v>
      </c>
      <c r="C134" s="1">
        <v>83</v>
      </c>
      <c r="D134" s="46">
        <v>1.1299999999999999</v>
      </c>
      <c r="E134" s="1">
        <v>25.5</v>
      </c>
      <c r="F134" s="1">
        <v>0</v>
      </c>
      <c r="G134" s="1">
        <v>100</v>
      </c>
      <c r="H134" s="1">
        <v>100</v>
      </c>
      <c r="I134" s="2">
        <v>6</v>
      </c>
      <c r="J134" s="1">
        <v>9</v>
      </c>
      <c r="K134" s="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"/>
  <sheetViews>
    <sheetView workbookViewId="0">
      <selection sqref="A1:D1"/>
    </sheetView>
  </sheetViews>
  <sheetFormatPr defaultRowHeight="14.5" x14ac:dyDescent="0.35"/>
  <sheetData>
    <row r="1" spans="1:9" ht="120" x14ac:dyDescent="0.35">
      <c r="A1" s="6" t="s">
        <v>187</v>
      </c>
      <c r="B1" s="7" t="s">
        <v>188</v>
      </c>
      <c r="C1" s="9" t="s">
        <v>189</v>
      </c>
      <c r="D1" s="7" t="s">
        <v>190</v>
      </c>
      <c r="E1" s="7" t="s">
        <v>191</v>
      </c>
      <c r="F1" s="7" t="s">
        <v>193</v>
      </c>
      <c r="G1" s="8" t="s">
        <v>194</v>
      </c>
      <c r="H1" s="1" t="s">
        <v>195</v>
      </c>
      <c r="I1" s="1" t="s">
        <v>175</v>
      </c>
    </row>
    <row r="2" spans="1:9" x14ac:dyDescent="0.35">
      <c r="A2" s="16" t="s">
        <v>176</v>
      </c>
      <c r="B2" s="15">
        <v>79</v>
      </c>
      <c r="C2" s="18">
        <v>0.309</v>
      </c>
      <c r="D2" s="15">
        <v>23.3</v>
      </c>
      <c r="E2" s="15">
        <v>0.5</v>
      </c>
      <c r="F2" s="15">
        <v>76.67</v>
      </c>
      <c r="G2" s="17">
        <v>4</v>
      </c>
      <c r="H2" s="1">
        <v>10</v>
      </c>
      <c r="I2" s="1">
        <v>10</v>
      </c>
    </row>
    <row r="3" spans="1:9" x14ac:dyDescent="0.35">
      <c r="A3" s="16" t="s">
        <v>176</v>
      </c>
      <c r="B3" s="15">
        <v>80</v>
      </c>
      <c r="C3" s="18">
        <v>0.32</v>
      </c>
      <c r="D3" s="15">
        <v>24</v>
      </c>
      <c r="E3" s="15">
        <v>0</v>
      </c>
      <c r="F3" s="15">
        <v>76.67</v>
      </c>
      <c r="G3" s="17">
        <v>4</v>
      </c>
      <c r="H3" s="1">
        <v>7</v>
      </c>
      <c r="I3" s="1">
        <v>7</v>
      </c>
    </row>
    <row r="4" spans="1:9" x14ac:dyDescent="0.35">
      <c r="A4" s="16" t="s">
        <v>177</v>
      </c>
      <c r="B4" s="15">
        <v>80</v>
      </c>
      <c r="C4" s="18">
        <v>1.85</v>
      </c>
      <c r="D4" s="15">
        <v>25.3</v>
      </c>
      <c r="E4" s="15">
        <v>0.8</v>
      </c>
      <c r="F4" s="15">
        <v>93.33</v>
      </c>
      <c r="G4" s="17">
        <v>3</v>
      </c>
      <c r="H4" s="1">
        <v>14</v>
      </c>
      <c r="I4" s="1">
        <v>17</v>
      </c>
    </row>
    <row r="5" spans="1:9" x14ac:dyDescent="0.35">
      <c r="A5" s="23" t="s">
        <v>177</v>
      </c>
      <c r="B5" s="15">
        <v>58</v>
      </c>
      <c r="C5" s="18">
        <v>0.27</v>
      </c>
      <c r="D5" s="15">
        <v>26.8</v>
      </c>
      <c r="E5" s="15">
        <v>0.5</v>
      </c>
      <c r="F5" s="15">
        <v>88.87</v>
      </c>
      <c r="G5" s="17">
        <v>3</v>
      </c>
      <c r="H5" s="1">
        <v>5</v>
      </c>
      <c r="I5" s="1">
        <v>5</v>
      </c>
    </row>
    <row r="6" spans="1:9" x14ac:dyDescent="0.35">
      <c r="A6" s="23" t="s">
        <v>179</v>
      </c>
      <c r="B6" s="20">
        <v>77</v>
      </c>
      <c r="C6" s="18">
        <v>0.28999999999999998</v>
      </c>
      <c r="D6" s="15">
        <v>22</v>
      </c>
      <c r="E6" s="15">
        <v>0</v>
      </c>
      <c r="F6" s="15">
        <v>88.87</v>
      </c>
      <c r="G6" s="17">
        <v>5</v>
      </c>
      <c r="H6" s="1">
        <v>2</v>
      </c>
      <c r="I6" s="1">
        <v>2</v>
      </c>
    </row>
    <row r="7" spans="1:9" x14ac:dyDescent="0.35">
      <c r="A7" s="23" t="s">
        <v>179</v>
      </c>
      <c r="B7" s="15">
        <v>77</v>
      </c>
      <c r="C7" s="18">
        <v>0.28999999999999998</v>
      </c>
      <c r="D7" s="15">
        <v>25.9</v>
      </c>
      <c r="E7" s="15">
        <v>0</v>
      </c>
      <c r="F7" s="15">
        <v>98.33</v>
      </c>
      <c r="G7" s="17">
        <v>5</v>
      </c>
      <c r="H7" s="1">
        <v>12</v>
      </c>
      <c r="I7" s="1">
        <v>12</v>
      </c>
    </row>
    <row r="8" spans="1:9" x14ac:dyDescent="0.35">
      <c r="A8" s="23" t="s">
        <v>179</v>
      </c>
      <c r="B8" s="15">
        <v>55</v>
      </c>
      <c r="C8" s="18">
        <v>4.9000000000000002E-2</v>
      </c>
      <c r="D8" s="15">
        <v>27.2</v>
      </c>
      <c r="E8" s="15">
        <v>0</v>
      </c>
      <c r="F8" s="15">
        <v>84.47</v>
      </c>
      <c r="G8" s="17">
        <v>5</v>
      </c>
      <c r="H8" s="1">
        <v>3</v>
      </c>
      <c r="I8" s="1">
        <v>3</v>
      </c>
    </row>
    <row r="9" spans="1:9" x14ac:dyDescent="0.35">
      <c r="A9" s="23" t="s">
        <v>180</v>
      </c>
      <c r="B9" s="15">
        <v>76</v>
      </c>
      <c r="C9" s="18">
        <v>0.30399999999999999</v>
      </c>
      <c r="D9" s="15">
        <v>24.9</v>
      </c>
      <c r="E9" s="15">
        <v>2</v>
      </c>
      <c r="F9" s="15">
        <v>100</v>
      </c>
      <c r="G9" s="17">
        <v>5</v>
      </c>
      <c r="H9" s="1">
        <v>0</v>
      </c>
      <c r="I9" s="1">
        <v>0</v>
      </c>
    </row>
    <row r="10" spans="1:9" x14ac:dyDescent="0.35">
      <c r="A10" s="23" t="s">
        <v>180</v>
      </c>
      <c r="B10" s="15">
        <v>47</v>
      </c>
      <c r="C10" s="18">
        <v>0.13600000000000001</v>
      </c>
      <c r="D10" s="15">
        <v>29.3</v>
      </c>
      <c r="E10" s="15">
        <v>0.7</v>
      </c>
      <c r="F10" s="15">
        <v>100</v>
      </c>
      <c r="G10" s="17">
        <v>5</v>
      </c>
      <c r="H10" s="1">
        <v>2</v>
      </c>
      <c r="I10" s="1">
        <v>3</v>
      </c>
    </row>
    <row r="11" spans="1:9" x14ac:dyDescent="0.35">
      <c r="A11" s="23" t="s">
        <v>181</v>
      </c>
      <c r="B11" s="20">
        <v>63</v>
      </c>
      <c r="C11" s="18">
        <v>0.08</v>
      </c>
      <c r="D11" s="15">
        <v>21</v>
      </c>
      <c r="E11" s="15">
        <v>0</v>
      </c>
      <c r="F11" s="15">
        <v>100</v>
      </c>
      <c r="G11" s="17">
        <v>3</v>
      </c>
      <c r="H11" s="1">
        <v>1</v>
      </c>
      <c r="I11" s="1">
        <v>1</v>
      </c>
    </row>
    <row r="12" spans="1:9" x14ac:dyDescent="0.35">
      <c r="A12" s="23" t="s">
        <v>181</v>
      </c>
      <c r="B12" s="15">
        <v>63</v>
      </c>
      <c r="C12" s="18">
        <v>6.6900000000000001E-2</v>
      </c>
      <c r="D12" s="15">
        <v>33.700000000000003</v>
      </c>
      <c r="E12" s="15">
        <v>2.4</v>
      </c>
      <c r="F12" s="15">
        <v>100</v>
      </c>
      <c r="G12" s="17">
        <v>3</v>
      </c>
      <c r="H12" s="1">
        <v>4</v>
      </c>
      <c r="I12" s="1">
        <v>4</v>
      </c>
    </row>
    <row r="13" spans="1:9" x14ac:dyDescent="0.35">
      <c r="A13" s="23" t="s">
        <v>181</v>
      </c>
      <c r="B13" s="15">
        <v>44</v>
      </c>
      <c r="C13" s="18">
        <v>21.4</v>
      </c>
      <c r="D13" s="15">
        <v>34.4</v>
      </c>
      <c r="E13" s="15">
        <v>2</v>
      </c>
      <c r="F13" s="15">
        <v>100</v>
      </c>
      <c r="G13" s="17">
        <v>3</v>
      </c>
      <c r="H13" s="1">
        <v>4</v>
      </c>
      <c r="I13" s="1">
        <v>4</v>
      </c>
    </row>
    <row r="14" spans="1:9" x14ac:dyDescent="0.35">
      <c r="A14" s="23" t="s">
        <v>182</v>
      </c>
      <c r="B14" s="15">
        <v>57</v>
      </c>
      <c r="C14" s="18">
        <v>32.799999999999997</v>
      </c>
      <c r="D14" s="15">
        <v>30.4</v>
      </c>
      <c r="E14" s="15">
        <v>3.9</v>
      </c>
      <c r="F14" s="15">
        <v>100</v>
      </c>
      <c r="G14" s="17">
        <v>3</v>
      </c>
      <c r="H14" s="1">
        <v>1</v>
      </c>
      <c r="I14" s="1">
        <v>1</v>
      </c>
    </row>
    <row r="15" spans="1:9" x14ac:dyDescent="0.35">
      <c r="A15" s="15" t="s">
        <v>182</v>
      </c>
      <c r="B15" s="15">
        <v>28</v>
      </c>
      <c r="C15" s="18">
        <v>31.5</v>
      </c>
      <c r="D15" s="15">
        <v>43.8</v>
      </c>
      <c r="E15" s="15">
        <v>1.1000000000000001</v>
      </c>
      <c r="F15" s="15">
        <v>100</v>
      </c>
      <c r="G15" s="17">
        <v>3</v>
      </c>
      <c r="H15" s="1">
        <v>2</v>
      </c>
      <c r="I15" s="1">
        <v>2</v>
      </c>
    </row>
    <row r="16" spans="1:9" x14ac:dyDescent="0.35">
      <c r="A16" s="26" t="s">
        <v>176</v>
      </c>
      <c r="B16" s="30">
        <v>95</v>
      </c>
      <c r="C16" s="29">
        <v>0.59</v>
      </c>
      <c r="D16" s="30">
        <v>23.4</v>
      </c>
      <c r="E16" s="30">
        <v>0</v>
      </c>
      <c r="F16" s="15">
        <v>70</v>
      </c>
      <c r="G16" s="21">
        <v>4</v>
      </c>
      <c r="H16" s="1">
        <v>9</v>
      </c>
      <c r="I16" s="1">
        <v>18</v>
      </c>
    </row>
    <row r="17" spans="1:9" x14ac:dyDescent="0.35">
      <c r="A17" s="26" t="s">
        <v>177</v>
      </c>
      <c r="B17" s="30">
        <v>99</v>
      </c>
      <c r="C17" s="29">
        <v>34.6</v>
      </c>
      <c r="D17" s="30">
        <v>25.4</v>
      </c>
      <c r="E17" s="30">
        <v>2.2999999999999998</v>
      </c>
      <c r="F17" s="15">
        <v>93.33</v>
      </c>
      <c r="G17" s="21">
        <v>3</v>
      </c>
      <c r="H17" s="1">
        <v>11</v>
      </c>
      <c r="I17" s="1">
        <v>11</v>
      </c>
    </row>
    <row r="18" spans="1:9" x14ac:dyDescent="0.35">
      <c r="A18" s="26" t="s">
        <v>179</v>
      </c>
      <c r="B18" s="33">
        <v>99</v>
      </c>
      <c r="C18" s="29">
        <v>0.42</v>
      </c>
      <c r="D18" s="30">
        <v>22</v>
      </c>
      <c r="E18" s="30">
        <v>0</v>
      </c>
      <c r="F18" s="15">
        <v>52.38</v>
      </c>
      <c r="G18" s="21">
        <v>5</v>
      </c>
      <c r="H18" s="1">
        <v>7</v>
      </c>
      <c r="I18" s="1">
        <v>10</v>
      </c>
    </row>
    <row r="19" spans="1:9" x14ac:dyDescent="0.35">
      <c r="A19" s="26" t="s">
        <v>179</v>
      </c>
      <c r="B19" s="30">
        <v>99</v>
      </c>
      <c r="C19" s="34">
        <v>0.47249999999999998</v>
      </c>
      <c r="D19" s="30">
        <v>25.7</v>
      </c>
      <c r="E19" s="26">
        <v>0</v>
      </c>
      <c r="F19" s="15">
        <v>90</v>
      </c>
      <c r="G19" s="21">
        <v>5</v>
      </c>
      <c r="H19" s="1">
        <v>8</v>
      </c>
      <c r="I19" s="1">
        <v>9</v>
      </c>
    </row>
    <row r="20" spans="1:9" x14ac:dyDescent="0.35">
      <c r="A20" s="26" t="s">
        <v>179</v>
      </c>
      <c r="B20" s="30">
        <v>99</v>
      </c>
      <c r="C20" s="29">
        <v>32.6</v>
      </c>
      <c r="D20" s="30">
        <v>23.7</v>
      </c>
      <c r="E20" s="26">
        <v>0</v>
      </c>
      <c r="F20" s="15">
        <v>73.33</v>
      </c>
      <c r="G20" s="21">
        <v>5</v>
      </c>
      <c r="H20" s="1">
        <v>3</v>
      </c>
      <c r="I20" s="1">
        <v>3</v>
      </c>
    </row>
    <row r="21" spans="1:9" x14ac:dyDescent="0.35">
      <c r="A21" s="26" t="s">
        <v>180</v>
      </c>
      <c r="B21" s="30">
        <v>97</v>
      </c>
      <c r="C21" s="35">
        <v>0.53600000000000003</v>
      </c>
      <c r="D21" s="30">
        <v>24.9</v>
      </c>
      <c r="E21" s="30">
        <v>0</v>
      </c>
      <c r="F21" s="15">
        <v>90</v>
      </c>
      <c r="G21" s="21">
        <v>5</v>
      </c>
      <c r="H21" s="1">
        <v>5</v>
      </c>
      <c r="I21" s="1">
        <v>9</v>
      </c>
    </row>
    <row r="22" spans="1:9" x14ac:dyDescent="0.35">
      <c r="A22" s="26" t="s">
        <v>180</v>
      </c>
      <c r="B22" s="30">
        <v>99</v>
      </c>
      <c r="C22" s="29">
        <v>47.9</v>
      </c>
      <c r="D22" s="30">
        <v>24.1</v>
      </c>
      <c r="E22" s="30">
        <v>0.5</v>
      </c>
      <c r="F22" s="15">
        <v>80</v>
      </c>
      <c r="G22" s="21">
        <v>5</v>
      </c>
      <c r="H22" s="1">
        <v>1</v>
      </c>
      <c r="I22" s="1">
        <v>1</v>
      </c>
    </row>
    <row r="23" spans="1:9" x14ac:dyDescent="0.35">
      <c r="A23" s="26" t="s">
        <v>181</v>
      </c>
      <c r="B23" s="30">
        <v>99</v>
      </c>
      <c r="C23" s="29">
        <v>53.2</v>
      </c>
      <c r="D23" s="30">
        <v>27.5</v>
      </c>
      <c r="E23" s="30">
        <v>0</v>
      </c>
      <c r="F23" s="15">
        <v>93.33</v>
      </c>
      <c r="G23" s="21">
        <v>3</v>
      </c>
      <c r="H23" s="1">
        <v>4</v>
      </c>
      <c r="I23" s="1">
        <v>7</v>
      </c>
    </row>
    <row r="24" spans="1:9" x14ac:dyDescent="0.35">
      <c r="A24" s="26" t="s">
        <v>181</v>
      </c>
      <c r="B24" s="30">
        <v>99</v>
      </c>
      <c r="C24" s="29">
        <v>8.23</v>
      </c>
      <c r="D24" s="30">
        <v>23.7</v>
      </c>
      <c r="E24" s="30">
        <v>0</v>
      </c>
      <c r="F24" s="15">
        <v>93.33</v>
      </c>
      <c r="G24" s="21">
        <v>3</v>
      </c>
      <c r="H24" s="1">
        <v>2</v>
      </c>
      <c r="I24" s="1">
        <v>4</v>
      </c>
    </row>
    <row r="25" spans="1:9" x14ac:dyDescent="0.35">
      <c r="A25" s="26" t="s">
        <v>182</v>
      </c>
      <c r="B25" s="30">
        <v>77</v>
      </c>
      <c r="C25" s="29">
        <v>8.5399999999999991</v>
      </c>
      <c r="D25" s="30">
        <v>28</v>
      </c>
      <c r="E25" s="30">
        <v>1.75</v>
      </c>
      <c r="F25" s="15">
        <v>93.33</v>
      </c>
      <c r="G25" s="21">
        <v>3</v>
      </c>
      <c r="H25" s="1">
        <v>6</v>
      </c>
      <c r="I25" s="1">
        <v>12</v>
      </c>
    </row>
    <row r="26" spans="1:9" x14ac:dyDescent="0.35">
      <c r="A26" s="26" t="s">
        <v>182</v>
      </c>
      <c r="B26" s="30">
        <v>99</v>
      </c>
      <c r="C26" s="29">
        <v>7.51</v>
      </c>
      <c r="D26" s="30">
        <v>23.7</v>
      </c>
      <c r="E26" s="30">
        <v>0</v>
      </c>
      <c r="F26" s="15">
        <v>93.33</v>
      </c>
      <c r="G26" s="21">
        <v>3</v>
      </c>
      <c r="H26" s="1">
        <v>4</v>
      </c>
      <c r="I26" s="1">
        <v>15</v>
      </c>
    </row>
    <row r="27" spans="1:9" x14ac:dyDescent="0.35">
      <c r="A27" s="27" t="s">
        <v>183</v>
      </c>
      <c r="B27" s="30">
        <v>79</v>
      </c>
      <c r="C27" s="29">
        <v>73.7</v>
      </c>
      <c r="D27" s="30">
        <v>29.1</v>
      </c>
      <c r="E27" s="30">
        <v>1</v>
      </c>
      <c r="F27" s="15">
        <v>80</v>
      </c>
      <c r="G27" s="21">
        <v>3</v>
      </c>
      <c r="H27" s="1">
        <v>0</v>
      </c>
      <c r="I27" s="1">
        <v>0</v>
      </c>
    </row>
    <row r="28" spans="1:9" x14ac:dyDescent="0.35">
      <c r="A28" s="27" t="s">
        <v>185</v>
      </c>
      <c r="B28" s="33">
        <v>73</v>
      </c>
      <c r="C28" s="29">
        <v>50.3</v>
      </c>
      <c r="D28" s="30">
        <v>17</v>
      </c>
      <c r="E28" s="30">
        <v>0</v>
      </c>
      <c r="F28" s="15">
        <v>80</v>
      </c>
      <c r="G28" s="21">
        <v>1</v>
      </c>
      <c r="H28" s="1">
        <v>2</v>
      </c>
      <c r="I28" s="1">
        <v>2</v>
      </c>
    </row>
    <row r="29" spans="1:9" x14ac:dyDescent="0.35">
      <c r="A29" s="27" t="s">
        <v>185</v>
      </c>
      <c r="B29" s="30">
        <v>72</v>
      </c>
      <c r="C29" s="29">
        <v>50.4</v>
      </c>
      <c r="D29" s="30">
        <v>30.4</v>
      </c>
      <c r="E29" s="30">
        <v>0</v>
      </c>
      <c r="F29" s="15">
        <v>80</v>
      </c>
      <c r="G29" s="21">
        <v>1</v>
      </c>
      <c r="H29" s="1">
        <v>3</v>
      </c>
      <c r="I29" s="1">
        <v>7</v>
      </c>
    </row>
    <row r="30" spans="1:9" x14ac:dyDescent="0.35">
      <c r="A30" s="27" t="s">
        <v>186</v>
      </c>
      <c r="B30" s="30">
        <v>75</v>
      </c>
      <c r="C30" s="35">
        <v>0.71899999999999997</v>
      </c>
      <c r="D30" s="30">
        <v>25.8</v>
      </c>
      <c r="E30" s="30">
        <v>0</v>
      </c>
      <c r="F30" s="15">
        <v>80</v>
      </c>
      <c r="G30" s="21">
        <v>6</v>
      </c>
      <c r="H30" s="1">
        <v>0</v>
      </c>
      <c r="I30" s="1">
        <v>0</v>
      </c>
    </row>
    <row r="31" spans="1:9" x14ac:dyDescent="0.35">
      <c r="A31" s="23" t="s">
        <v>176</v>
      </c>
      <c r="B31" s="15">
        <v>99</v>
      </c>
      <c r="C31" s="36">
        <v>0.27700000000000002</v>
      </c>
      <c r="D31" s="15">
        <v>26.4</v>
      </c>
      <c r="E31" s="15">
        <v>0</v>
      </c>
      <c r="F31" s="15">
        <v>23.81</v>
      </c>
      <c r="G31" s="17">
        <v>4</v>
      </c>
      <c r="H31" s="1">
        <v>6</v>
      </c>
      <c r="I31" s="1">
        <v>22</v>
      </c>
    </row>
    <row r="32" spans="1:9" x14ac:dyDescent="0.35">
      <c r="A32" s="23" t="s">
        <v>177</v>
      </c>
      <c r="B32" s="15">
        <v>92</v>
      </c>
      <c r="C32" s="18">
        <v>0.78</v>
      </c>
      <c r="D32" s="15">
        <v>24.6</v>
      </c>
      <c r="E32" s="15">
        <v>0</v>
      </c>
      <c r="F32" s="15">
        <v>100</v>
      </c>
      <c r="G32" s="17">
        <v>3</v>
      </c>
      <c r="H32" s="1">
        <v>9</v>
      </c>
      <c r="I32" s="1">
        <v>14</v>
      </c>
    </row>
    <row r="33" spans="1:9" x14ac:dyDescent="0.35">
      <c r="A33" s="23" t="s">
        <v>179</v>
      </c>
      <c r="B33" s="15">
        <v>94</v>
      </c>
      <c r="C33" s="36">
        <v>0.50800000000000001</v>
      </c>
      <c r="D33" s="15">
        <v>24.8</v>
      </c>
      <c r="E33" s="15">
        <v>0</v>
      </c>
      <c r="F33" s="15">
        <v>100</v>
      </c>
      <c r="G33" s="17">
        <v>5</v>
      </c>
      <c r="H33" s="1">
        <v>8</v>
      </c>
      <c r="I33" s="1">
        <v>8</v>
      </c>
    </row>
    <row r="34" spans="1:9" x14ac:dyDescent="0.35">
      <c r="A34" s="23" t="s">
        <v>179</v>
      </c>
      <c r="B34" s="15">
        <v>94</v>
      </c>
      <c r="C34" s="36">
        <v>0.5</v>
      </c>
      <c r="D34" s="15">
        <v>24.8</v>
      </c>
      <c r="E34" s="15">
        <v>0</v>
      </c>
      <c r="F34" s="15">
        <v>66.67</v>
      </c>
      <c r="G34" s="17">
        <v>5</v>
      </c>
      <c r="H34" s="1">
        <v>2</v>
      </c>
      <c r="I34" s="1">
        <v>6</v>
      </c>
    </row>
    <row r="35" spans="1:9" x14ac:dyDescent="0.35">
      <c r="A35" s="23" t="s">
        <v>179</v>
      </c>
      <c r="B35" s="20">
        <v>94</v>
      </c>
      <c r="C35" s="36">
        <v>0.5</v>
      </c>
      <c r="D35" s="15">
        <v>23</v>
      </c>
      <c r="E35" s="15">
        <v>0</v>
      </c>
      <c r="F35" s="15">
        <v>66.67</v>
      </c>
      <c r="G35" s="17">
        <v>5</v>
      </c>
      <c r="H35" s="1">
        <v>5</v>
      </c>
      <c r="I35" s="1">
        <v>5</v>
      </c>
    </row>
    <row r="36" spans="1:9" x14ac:dyDescent="0.35">
      <c r="A36" s="23" t="s">
        <v>179</v>
      </c>
      <c r="B36" s="20">
        <v>94</v>
      </c>
      <c r="C36" s="36">
        <v>0.5</v>
      </c>
      <c r="D36" s="15">
        <v>22</v>
      </c>
      <c r="E36" s="15">
        <v>0</v>
      </c>
      <c r="F36" s="15">
        <v>66.67</v>
      </c>
      <c r="G36" s="17">
        <v>5</v>
      </c>
      <c r="H36" s="1">
        <v>1</v>
      </c>
      <c r="I36" s="1">
        <v>1</v>
      </c>
    </row>
    <row r="37" spans="1:9" x14ac:dyDescent="0.35">
      <c r="A37" s="23" t="s">
        <v>181</v>
      </c>
      <c r="B37" s="15">
        <v>99</v>
      </c>
      <c r="C37" s="18">
        <v>7.59</v>
      </c>
      <c r="D37" s="15">
        <v>23.9</v>
      </c>
      <c r="E37" s="15">
        <v>0</v>
      </c>
      <c r="F37" s="15">
        <v>66.67</v>
      </c>
      <c r="G37" s="17">
        <v>3</v>
      </c>
      <c r="H37" s="1">
        <v>5</v>
      </c>
      <c r="I37" s="1">
        <v>6</v>
      </c>
    </row>
    <row r="38" spans="1:9" x14ac:dyDescent="0.35">
      <c r="A38" s="23" t="s">
        <v>182</v>
      </c>
      <c r="B38" s="15">
        <v>99</v>
      </c>
      <c r="C38" s="18">
        <v>13.05</v>
      </c>
      <c r="D38" s="15">
        <v>25.9</v>
      </c>
      <c r="E38" s="15">
        <v>0.45</v>
      </c>
      <c r="F38" s="15">
        <v>100</v>
      </c>
      <c r="G38" s="17">
        <v>3</v>
      </c>
      <c r="H38" s="1">
        <v>4</v>
      </c>
      <c r="I38" s="1">
        <v>4</v>
      </c>
    </row>
    <row r="39" spans="1:9" x14ac:dyDescent="0.35">
      <c r="A39" s="23" t="s">
        <v>184</v>
      </c>
      <c r="B39" s="15">
        <v>93</v>
      </c>
      <c r="C39" s="18">
        <v>6.64</v>
      </c>
      <c r="D39" s="15">
        <v>26</v>
      </c>
      <c r="E39" s="15">
        <v>0</v>
      </c>
      <c r="F39" s="15">
        <v>100</v>
      </c>
      <c r="G39" s="17">
        <v>2</v>
      </c>
      <c r="H39" s="1">
        <v>7</v>
      </c>
      <c r="I39" s="1">
        <v>13</v>
      </c>
    </row>
    <row r="40" spans="1:9" x14ac:dyDescent="0.35">
      <c r="A40" s="23" t="s">
        <v>184</v>
      </c>
      <c r="B40" s="15">
        <v>59</v>
      </c>
      <c r="C40" s="18">
        <v>39.5</v>
      </c>
      <c r="D40" s="15">
        <v>31.13</v>
      </c>
      <c r="E40" s="15">
        <v>2.1</v>
      </c>
      <c r="F40" s="15">
        <v>100</v>
      </c>
      <c r="G40" s="17">
        <v>2</v>
      </c>
      <c r="H40" s="1">
        <v>4</v>
      </c>
      <c r="I40" s="1">
        <v>9</v>
      </c>
    </row>
    <row r="41" spans="1:9" x14ac:dyDescent="0.35">
      <c r="A41" s="23" t="s">
        <v>184</v>
      </c>
      <c r="B41" s="15">
        <v>80</v>
      </c>
      <c r="C41" s="18">
        <v>6.56</v>
      </c>
      <c r="D41" s="15">
        <v>23.9</v>
      </c>
      <c r="E41" s="15">
        <v>0</v>
      </c>
      <c r="F41" s="15">
        <v>95.24</v>
      </c>
      <c r="G41" s="17">
        <v>2</v>
      </c>
      <c r="H41" s="1">
        <v>0</v>
      </c>
      <c r="I41" s="1">
        <v>0</v>
      </c>
    </row>
    <row r="42" spans="1:9" x14ac:dyDescent="0.35">
      <c r="A42" s="23" t="s">
        <v>183</v>
      </c>
      <c r="B42" s="15">
        <v>79</v>
      </c>
      <c r="C42" s="18">
        <v>15.5</v>
      </c>
      <c r="D42" s="15">
        <v>28.3</v>
      </c>
      <c r="E42" s="15">
        <v>0</v>
      </c>
      <c r="F42" s="15">
        <v>100</v>
      </c>
      <c r="G42" s="17">
        <v>3</v>
      </c>
      <c r="H42" s="1">
        <v>3</v>
      </c>
      <c r="I42" s="1">
        <v>3</v>
      </c>
    </row>
    <row r="43" spans="1:9" x14ac:dyDescent="0.35">
      <c r="A43" s="23" t="s">
        <v>183</v>
      </c>
      <c r="B43" s="15">
        <v>79</v>
      </c>
      <c r="C43" s="18">
        <v>4.87</v>
      </c>
      <c r="D43" s="15">
        <v>25.2</v>
      </c>
      <c r="E43" s="15">
        <v>0</v>
      </c>
      <c r="F43" s="15">
        <v>71.430000000000007</v>
      </c>
      <c r="G43" s="17">
        <v>3</v>
      </c>
      <c r="H43" s="1">
        <v>0</v>
      </c>
      <c r="I43" s="1">
        <v>0</v>
      </c>
    </row>
    <row r="44" spans="1:9" x14ac:dyDescent="0.35">
      <c r="A44" s="23" t="s">
        <v>185</v>
      </c>
      <c r="B44" s="15">
        <v>86</v>
      </c>
      <c r="C44" s="18">
        <v>19.5</v>
      </c>
      <c r="D44" s="15">
        <v>27.4</v>
      </c>
      <c r="E44" s="15">
        <v>2.9</v>
      </c>
      <c r="F44" s="15">
        <v>71.430000000000007</v>
      </c>
      <c r="G44" s="17">
        <v>1</v>
      </c>
      <c r="H44" s="1">
        <v>3</v>
      </c>
      <c r="I44" s="1">
        <v>5</v>
      </c>
    </row>
    <row r="45" spans="1:9" x14ac:dyDescent="0.35">
      <c r="A45" s="23" t="s">
        <v>186</v>
      </c>
      <c r="B45" s="15">
        <v>79</v>
      </c>
      <c r="C45" s="18">
        <v>0.56999999999999995</v>
      </c>
      <c r="D45" s="15">
        <v>24.8</v>
      </c>
      <c r="E45" s="15">
        <v>0</v>
      </c>
      <c r="F45" s="15">
        <v>100</v>
      </c>
      <c r="G45" s="17">
        <v>6</v>
      </c>
      <c r="H45" s="1">
        <v>3</v>
      </c>
      <c r="I45" s="1">
        <v>4</v>
      </c>
    </row>
    <row r="46" spans="1:9" x14ac:dyDescent="0.35">
      <c r="A46" s="23" t="s">
        <v>186</v>
      </c>
      <c r="B46" s="15">
        <v>96</v>
      </c>
      <c r="C46" s="18">
        <v>15.05</v>
      </c>
      <c r="D46" s="15">
        <v>30.2</v>
      </c>
      <c r="E46" s="15">
        <v>0</v>
      </c>
      <c r="F46" s="15">
        <v>66.67</v>
      </c>
      <c r="G46" s="17">
        <v>6</v>
      </c>
      <c r="H46" s="1">
        <v>2</v>
      </c>
      <c r="I46" s="1">
        <v>6</v>
      </c>
    </row>
    <row r="47" spans="1:9" x14ac:dyDescent="0.35">
      <c r="A47" s="15" t="s">
        <v>186</v>
      </c>
      <c r="B47" s="15">
        <v>57</v>
      </c>
      <c r="C47" s="18">
        <v>153.19999999999999</v>
      </c>
      <c r="D47" s="15">
        <v>30.2</v>
      </c>
      <c r="E47" s="15">
        <v>0.4</v>
      </c>
      <c r="F47" s="15">
        <v>71.430000000000007</v>
      </c>
      <c r="G47" s="17">
        <v>6</v>
      </c>
      <c r="H47" s="1">
        <v>2</v>
      </c>
      <c r="I47" s="1">
        <v>3</v>
      </c>
    </row>
    <row r="48" spans="1:9" x14ac:dyDescent="0.35">
      <c r="A48" s="23" t="s">
        <v>176</v>
      </c>
      <c r="B48" s="15">
        <v>98</v>
      </c>
      <c r="C48" s="18">
        <v>7.54</v>
      </c>
      <c r="D48" s="15">
        <v>25.8</v>
      </c>
      <c r="E48" s="15">
        <v>0</v>
      </c>
      <c r="F48" s="15">
        <v>55.4</v>
      </c>
      <c r="G48" s="17">
        <v>4</v>
      </c>
      <c r="H48" s="1">
        <v>5</v>
      </c>
      <c r="I48" s="1">
        <v>7</v>
      </c>
    </row>
    <row r="49" spans="1:9" x14ac:dyDescent="0.35">
      <c r="A49" s="23" t="s">
        <v>176</v>
      </c>
      <c r="B49" s="15">
        <v>99</v>
      </c>
      <c r="C49" s="18">
        <v>6.06</v>
      </c>
      <c r="D49" s="15">
        <v>25.35</v>
      </c>
      <c r="E49" s="15">
        <v>0</v>
      </c>
      <c r="F49" s="15">
        <v>95.24</v>
      </c>
      <c r="G49" s="17">
        <v>4</v>
      </c>
      <c r="H49" s="1">
        <v>9</v>
      </c>
      <c r="I49" s="1">
        <v>9</v>
      </c>
    </row>
    <row r="50" spans="1:9" x14ac:dyDescent="0.35">
      <c r="A50" s="23" t="s">
        <v>177</v>
      </c>
      <c r="B50" s="15">
        <v>98</v>
      </c>
      <c r="C50" s="18">
        <v>0.77</v>
      </c>
      <c r="D50" s="15">
        <v>22.6</v>
      </c>
      <c r="E50" s="15">
        <v>0</v>
      </c>
      <c r="F50" s="15">
        <v>71.430000000000007</v>
      </c>
      <c r="G50" s="17">
        <v>3</v>
      </c>
      <c r="H50" s="1">
        <v>8</v>
      </c>
      <c r="I50" s="1">
        <v>14</v>
      </c>
    </row>
    <row r="51" spans="1:9" x14ac:dyDescent="0.35">
      <c r="A51" s="23" t="s">
        <v>177</v>
      </c>
      <c r="B51" s="15">
        <v>82</v>
      </c>
      <c r="C51" s="36">
        <v>0.19800000000000001</v>
      </c>
      <c r="D51" s="15">
        <v>24.3</v>
      </c>
      <c r="E51" s="15">
        <v>0</v>
      </c>
      <c r="F51" s="15">
        <v>47.62</v>
      </c>
      <c r="G51" s="17">
        <v>3</v>
      </c>
      <c r="H51" s="1">
        <v>9</v>
      </c>
      <c r="I51" s="1">
        <v>12</v>
      </c>
    </row>
    <row r="52" spans="1:9" x14ac:dyDescent="0.35">
      <c r="A52" s="23" t="s">
        <v>179</v>
      </c>
      <c r="B52" s="15">
        <v>98</v>
      </c>
      <c r="C52" s="18">
        <v>3.69</v>
      </c>
      <c r="D52" s="15">
        <v>22.35</v>
      </c>
      <c r="E52" s="15">
        <v>0</v>
      </c>
      <c r="F52" s="15">
        <v>100</v>
      </c>
      <c r="G52" s="17">
        <v>5</v>
      </c>
      <c r="H52" s="1">
        <v>3</v>
      </c>
      <c r="I52" s="1">
        <v>7</v>
      </c>
    </row>
    <row r="53" spans="1:9" x14ac:dyDescent="0.35">
      <c r="A53" s="23" t="s">
        <v>179</v>
      </c>
      <c r="B53" s="15">
        <v>98</v>
      </c>
      <c r="C53" s="18">
        <v>3.69</v>
      </c>
      <c r="D53" s="15">
        <v>22.35</v>
      </c>
      <c r="E53" s="15">
        <v>0</v>
      </c>
      <c r="F53" s="15">
        <v>100</v>
      </c>
      <c r="G53" s="17">
        <v>5</v>
      </c>
      <c r="H53" s="1">
        <v>13</v>
      </c>
      <c r="I53" s="1">
        <v>14</v>
      </c>
    </row>
    <row r="54" spans="1:9" x14ac:dyDescent="0.35">
      <c r="A54" s="23" t="s">
        <v>179</v>
      </c>
      <c r="B54" s="15">
        <v>90</v>
      </c>
      <c r="C54" s="36">
        <v>3.5000000000000003E-2</v>
      </c>
      <c r="D54" s="15">
        <v>24.2</v>
      </c>
      <c r="E54" s="15">
        <v>0</v>
      </c>
      <c r="F54" s="15">
        <v>100</v>
      </c>
      <c r="G54" s="17">
        <v>5</v>
      </c>
      <c r="H54" s="1">
        <v>1</v>
      </c>
      <c r="I54" s="1">
        <v>1</v>
      </c>
    </row>
    <row r="55" spans="1:9" x14ac:dyDescent="0.35">
      <c r="A55" s="23" t="s">
        <v>179</v>
      </c>
      <c r="B55" s="15">
        <v>61</v>
      </c>
      <c r="C55" s="36">
        <v>9.4E-2</v>
      </c>
      <c r="D55" s="15">
        <v>25.5</v>
      </c>
      <c r="E55" s="15">
        <v>0</v>
      </c>
      <c r="F55" s="15">
        <v>71.430000000000007</v>
      </c>
      <c r="G55" s="17">
        <v>5</v>
      </c>
      <c r="H55" s="1">
        <v>6</v>
      </c>
      <c r="I55" s="1">
        <v>8</v>
      </c>
    </row>
    <row r="56" spans="1:9" x14ac:dyDescent="0.35">
      <c r="A56" s="23" t="s">
        <v>179</v>
      </c>
      <c r="B56" s="15">
        <v>65</v>
      </c>
      <c r="C56" s="36">
        <v>3.5000000000000003E-2</v>
      </c>
      <c r="D56" s="15">
        <v>25.7</v>
      </c>
      <c r="E56" s="15">
        <v>0</v>
      </c>
      <c r="F56" s="15">
        <v>100</v>
      </c>
      <c r="G56" s="17">
        <v>5</v>
      </c>
      <c r="H56" s="1">
        <v>3</v>
      </c>
      <c r="I56" s="1">
        <v>3</v>
      </c>
    </row>
    <row r="57" spans="1:9" x14ac:dyDescent="0.35">
      <c r="A57" s="23" t="s">
        <v>180</v>
      </c>
      <c r="B57" s="15">
        <v>85</v>
      </c>
      <c r="C57" s="18">
        <v>3.81</v>
      </c>
      <c r="D57" s="15">
        <v>25</v>
      </c>
      <c r="E57" s="15">
        <v>0</v>
      </c>
      <c r="F57" s="15">
        <v>100</v>
      </c>
      <c r="G57" s="17">
        <v>5</v>
      </c>
      <c r="H57" s="1">
        <v>3</v>
      </c>
      <c r="I57" s="1">
        <v>3</v>
      </c>
    </row>
    <row r="58" spans="1:9" x14ac:dyDescent="0.35">
      <c r="A58" s="23" t="s">
        <v>180</v>
      </c>
      <c r="B58" s="15">
        <v>61</v>
      </c>
      <c r="C58" s="18">
        <v>4.78</v>
      </c>
      <c r="D58" s="15">
        <v>28.7</v>
      </c>
      <c r="E58" s="15">
        <v>0</v>
      </c>
      <c r="F58" s="15">
        <v>66.67</v>
      </c>
      <c r="G58" s="17">
        <v>5</v>
      </c>
      <c r="H58" s="1">
        <v>0</v>
      </c>
      <c r="I58" s="1">
        <v>0</v>
      </c>
    </row>
    <row r="59" spans="1:9" x14ac:dyDescent="0.35">
      <c r="A59" s="23" t="s">
        <v>180</v>
      </c>
      <c r="B59" s="15">
        <v>47</v>
      </c>
      <c r="C59" s="36">
        <v>0.74399999999999999</v>
      </c>
      <c r="D59" s="15">
        <v>29.9</v>
      </c>
      <c r="E59" s="15">
        <v>0</v>
      </c>
      <c r="F59" s="15">
        <v>95.24</v>
      </c>
      <c r="G59" s="17">
        <v>5</v>
      </c>
      <c r="H59" s="1">
        <v>2</v>
      </c>
      <c r="I59" s="1">
        <v>2</v>
      </c>
    </row>
    <row r="60" spans="1:9" x14ac:dyDescent="0.35">
      <c r="A60" s="23" t="s">
        <v>180</v>
      </c>
      <c r="B60" s="15">
        <v>50</v>
      </c>
      <c r="C60" s="36">
        <v>0.7</v>
      </c>
      <c r="D60" s="15">
        <v>26.3</v>
      </c>
      <c r="E60" s="15">
        <v>0</v>
      </c>
      <c r="F60" s="15">
        <v>47.62</v>
      </c>
      <c r="G60" s="17">
        <v>5</v>
      </c>
      <c r="H60" s="1">
        <v>2</v>
      </c>
      <c r="I60" s="1">
        <v>5</v>
      </c>
    </row>
    <row r="61" spans="1:9" x14ac:dyDescent="0.35">
      <c r="A61" s="23" t="s">
        <v>181</v>
      </c>
      <c r="B61" s="15">
        <v>85</v>
      </c>
      <c r="C61" s="18">
        <v>13.84</v>
      </c>
      <c r="D61" s="15">
        <v>26.7</v>
      </c>
      <c r="E61" s="15">
        <v>0</v>
      </c>
      <c r="F61" s="15">
        <v>95.24</v>
      </c>
      <c r="G61" s="17">
        <v>3</v>
      </c>
      <c r="H61" s="1">
        <v>4</v>
      </c>
      <c r="I61" s="1">
        <v>6</v>
      </c>
    </row>
    <row r="62" spans="1:9" x14ac:dyDescent="0.35">
      <c r="A62" s="23" t="s">
        <v>181</v>
      </c>
      <c r="B62" s="15">
        <v>55</v>
      </c>
      <c r="C62" s="18">
        <v>55.3</v>
      </c>
      <c r="D62" s="15">
        <v>30.2</v>
      </c>
      <c r="E62" s="15">
        <v>0</v>
      </c>
      <c r="F62" s="15">
        <v>95.24</v>
      </c>
      <c r="G62" s="17">
        <v>3</v>
      </c>
      <c r="H62" s="1">
        <v>0</v>
      </c>
      <c r="I62" s="1">
        <v>0</v>
      </c>
    </row>
    <row r="63" spans="1:9" x14ac:dyDescent="0.35">
      <c r="A63" s="23" t="s">
        <v>181</v>
      </c>
      <c r="B63" s="15">
        <v>51</v>
      </c>
      <c r="C63" s="18">
        <v>26.78</v>
      </c>
      <c r="D63" s="15">
        <v>30.7</v>
      </c>
      <c r="E63" s="15">
        <v>0</v>
      </c>
      <c r="F63" s="15">
        <v>100</v>
      </c>
      <c r="G63" s="17">
        <v>3</v>
      </c>
      <c r="H63" s="1">
        <v>2</v>
      </c>
      <c r="I63" s="1">
        <v>2</v>
      </c>
    </row>
    <row r="64" spans="1:9" x14ac:dyDescent="0.35">
      <c r="A64" s="23" t="s">
        <v>182</v>
      </c>
      <c r="B64" s="15">
        <v>90</v>
      </c>
      <c r="C64" s="18">
        <v>8.44</v>
      </c>
      <c r="D64" s="15">
        <v>27.4</v>
      </c>
      <c r="E64" s="15">
        <v>0.8</v>
      </c>
      <c r="F64" s="15">
        <v>100</v>
      </c>
      <c r="G64" s="17">
        <v>3</v>
      </c>
      <c r="H64" s="1">
        <v>12</v>
      </c>
      <c r="I64" s="1">
        <v>17</v>
      </c>
    </row>
    <row r="65" spans="1:9" x14ac:dyDescent="0.35">
      <c r="A65" s="16" t="s">
        <v>182</v>
      </c>
      <c r="B65" s="15">
        <v>58</v>
      </c>
      <c r="C65" s="18">
        <v>30.1</v>
      </c>
      <c r="D65" s="15">
        <v>29.1</v>
      </c>
      <c r="E65" s="15">
        <v>0</v>
      </c>
      <c r="F65" s="15">
        <v>100</v>
      </c>
      <c r="G65" s="17">
        <v>3</v>
      </c>
      <c r="H65" s="1">
        <v>2</v>
      </c>
      <c r="I65" s="1">
        <v>2</v>
      </c>
    </row>
    <row r="66" spans="1:9" x14ac:dyDescent="0.35">
      <c r="A66" s="23" t="s">
        <v>184</v>
      </c>
      <c r="B66" s="15">
        <v>77</v>
      </c>
      <c r="C66" s="36">
        <v>1.79</v>
      </c>
      <c r="D66" s="15">
        <v>23.98</v>
      </c>
      <c r="E66" s="15">
        <v>0.83</v>
      </c>
      <c r="F66" s="15">
        <v>76.19</v>
      </c>
      <c r="G66" s="17">
        <v>2</v>
      </c>
      <c r="H66" s="1">
        <v>3</v>
      </c>
      <c r="I66" s="1">
        <v>3</v>
      </c>
    </row>
    <row r="67" spans="1:9" x14ac:dyDescent="0.35">
      <c r="A67" s="23" t="s">
        <v>184</v>
      </c>
      <c r="B67" s="15">
        <v>78</v>
      </c>
      <c r="C67" s="36">
        <v>20.350000000000001</v>
      </c>
      <c r="D67" s="15">
        <v>22.55</v>
      </c>
      <c r="E67" s="15">
        <v>0</v>
      </c>
      <c r="F67" s="15">
        <v>100</v>
      </c>
      <c r="G67" s="17">
        <v>2</v>
      </c>
      <c r="H67" s="1">
        <v>6</v>
      </c>
      <c r="I67" s="1">
        <v>14</v>
      </c>
    </row>
    <row r="68" spans="1:9" x14ac:dyDescent="0.35">
      <c r="A68" s="23" t="s">
        <v>184</v>
      </c>
      <c r="B68" s="15">
        <v>98</v>
      </c>
      <c r="C68" s="36">
        <v>3.05</v>
      </c>
      <c r="D68" s="15">
        <v>21.7</v>
      </c>
      <c r="E68" s="15">
        <v>0.9</v>
      </c>
      <c r="F68" s="15">
        <v>100</v>
      </c>
      <c r="G68" s="17">
        <v>2</v>
      </c>
      <c r="H68" s="1">
        <v>1</v>
      </c>
      <c r="I68" s="1">
        <v>1</v>
      </c>
    </row>
    <row r="69" spans="1:9" x14ac:dyDescent="0.35">
      <c r="A69" s="23" t="s">
        <v>184</v>
      </c>
      <c r="B69" s="15">
        <v>77</v>
      </c>
      <c r="C69" s="36">
        <v>12.54</v>
      </c>
      <c r="D69" s="15">
        <v>25.3</v>
      </c>
      <c r="E69" s="15">
        <v>1</v>
      </c>
      <c r="F69" s="15">
        <v>100</v>
      </c>
      <c r="G69" s="17">
        <v>2</v>
      </c>
      <c r="H69" s="1">
        <v>1</v>
      </c>
      <c r="I69" s="1">
        <v>5</v>
      </c>
    </row>
    <row r="70" spans="1:9" x14ac:dyDescent="0.35">
      <c r="A70" s="23" t="s">
        <v>183</v>
      </c>
      <c r="B70" s="15">
        <v>95</v>
      </c>
      <c r="C70" s="18">
        <v>10.69</v>
      </c>
      <c r="D70" s="15">
        <v>22.8</v>
      </c>
      <c r="E70" s="15">
        <v>1.2</v>
      </c>
      <c r="F70" s="15">
        <v>100</v>
      </c>
      <c r="G70" s="17">
        <v>3</v>
      </c>
      <c r="H70" s="1">
        <v>4</v>
      </c>
      <c r="I70" s="1">
        <v>7</v>
      </c>
    </row>
    <row r="71" spans="1:9" x14ac:dyDescent="0.35">
      <c r="A71" s="23" t="s">
        <v>183</v>
      </c>
      <c r="B71" s="15">
        <v>95</v>
      </c>
      <c r="C71" s="18">
        <v>5.99</v>
      </c>
      <c r="D71" s="15">
        <v>25.7</v>
      </c>
      <c r="E71" s="15">
        <v>0</v>
      </c>
      <c r="F71" s="15">
        <v>100</v>
      </c>
      <c r="G71" s="17">
        <v>3</v>
      </c>
      <c r="H71" s="1">
        <v>5</v>
      </c>
      <c r="I71" s="1">
        <v>7</v>
      </c>
    </row>
    <row r="72" spans="1:9" x14ac:dyDescent="0.35">
      <c r="A72" s="16" t="s">
        <v>183</v>
      </c>
      <c r="B72" s="15">
        <v>98</v>
      </c>
      <c r="C72" s="18">
        <v>3.61</v>
      </c>
      <c r="D72" s="15">
        <v>23</v>
      </c>
      <c r="E72" s="15">
        <v>0</v>
      </c>
      <c r="F72" s="15">
        <v>76.19</v>
      </c>
      <c r="G72" s="17">
        <v>3</v>
      </c>
      <c r="H72" s="1">
        <v>0</v>
      </c>
      <c r="I72" s="1">
        <v>0</v>
      </c>
    </row>
    <row r="73" spans="1:9" x14ac:dyDescent="0.35">
      <c r="A73" s="23" t="s">
        <v>183</v>
      </c>
      <c r="B73" s="15">
        <v>80</v>
      </c>
      <c r="C73" s="18">
        <v>6.89</v>
      </c>
      <c r="D73" s="15">
        <v>24.3</v>
      </c>
      <c r="E73" s="15">
        <v>0.87</v>
      </c>
      <c r="F73" s="15">
        <v>100</v>
      </c>
      <c r="G73" s="17">
        <v>3</v>
      </c>
      <c r="H73" s="1">
        <v>2</v>
      </c>
      <c r="I73" s="1">
        <v>2</v>
      </c>
    </row>
    <row r="74" spans="1:9" x14ac:dyDescent="0.35">
      <c r="A74" s="23" t="s">
        <v>185</v>
      </c>
      <c r="B74" s="15">
        <v>80</v>
      </c>
      <c r="C74" s="36">
        <v>14.7</v>
      </c>
      <c r="D74" s="15">
        <v>24.13</v>
      </c>
      <c r="E74" s="15">
        <v>2.1</v>
      </c>
      <c r="F74" s="15">
        <v>100</v>
      </c>
      <c r="G74" s="17">
        <v>1</v>
      </c>
      <c r="H74" s="1">
        <v>3</v>
      </c>
      <c r="I74" s="1">
        <v>11</v>
      </c>
    </row>
    <row r="75" spans="1:9" x14ac:dyDescent="0.35">
      <c r="A75" s="23" t="s">
        <v>185</v>
      </c>
      <c r="B75" s="15">
        <v>99</v>
      </c>
      <c r="C75" s="36">
        <v>12.46</v>
      </c>
      <c r="D75" s="15">
        <v>22.9</v>
      </c>
      <c r="E75" s="15">
        <v>0</v>
      </c>
      <c r="F75" s="15">
        <v>95.24</v>
      </c>
      <c r="G75" s="17">
        <v>1</v>
      </c>
      <c r="H75" s="1">
        <v>4</v>
      </c>
      <c r="I75" s="1">
        <v>5</v>
      </c>
    </row>
    <row r="76" spans="1:9" x14ac:dyDescent="0.35">
      <c r="A76" s="16" t="s">
        <v>185</v>
      </c>
      <c r="B76" s="15">
        <v>99</v>
      </c>
      <c r="C76" s="18">
        <v>8.2799999999999994</v>
      </c>
      <c r="D76" s="15">
        <v>24.2</v>
      </c>
      <c r="E76" s="15">
        <v>0</v>
      </c>
      <c r="F76" s="15">
        <v>76.19</v>
      </c>
      <c r="G76" s="17">
        <v>1</v>
      </c>
      <c r="H76" s="1">
        <v>0</v>
      </c>
      <c r="I76" s="1">
        <v>0</v>
      </c>
    </row>
    <row r="77" spans="1:9" x14ac:dyDescent="0.35">
      <c r="A77" s="16" t="s">
        <v>185</v>
      </c>
      <c r="B77" s="15">
        <v>99</v>
      </c>
      <c r="C77" s="18">
        <v>7.19</v>
      </c>
      <c r="D77" s="15">
        <v>23.4</v>
      </c>
      <c r="E77" s="15">
        <v>1.5</v>
      </c>
      <c r="F77" s="15">
        <v>76.19</v>
      </c>
      <c r="G77" s="17">
        <v>1</v>
      </c>
      <c r="H77" s="1">
        <v>0</v>
      </c>
      <c r="I77" s="1">
        <v>0</v>
      </c>
    </row>
    <row r="78" spans="1:9" x14ac:dyDescent="0.35">
      <c r="A78" s="23" t="s">
        <v>186</v>
      </c>
      <c r="B78" s="15">
        <v>95</v>
      </c>
      <c r="C78" s="18">
        <v>1.44</v>
      </c>
      <c r="D78" s="15">
        <v>25.1</v>
      </c>
      <c r="E78" s="15">
        <v>0</v>
      </c>
      <c r="F78" s="15">
        <v>76.19</v>
      </c>
      <c r="G78" s="17">
        <v>6</v>
      </c>
      <c r="H78" s="1">
        <v>2</v>
      </c>
      <c r="I78" s="1">
        <v>7</v>
      </c>
    </row>
    <row r="79" spans="1:9" x14ac:dyDescent="0.35">
      <c r="A79" s="23" t="s">
        <v>186</v>
      </c>
      <c r="B79" s="15">
        <v>99</v>
      </c>
      <c r="C79" s="18">
        <v>0.54</v>
      </c>
      <c r="D79" s="15">
        <v>21.9</v>
      </c>
      <c r="E79" s="15">
        <v>0</v>
      </c>
      <c r="F79" s="15">
        <v>76.19</v>
      </c>
      <c r="G79" s="17">
        <v>6</v>
      </c>
      <c r="H79" s="1">
        <v>3</v>
      </c>
      <c r="I79" s="1">
        <v>3</v>
      </c>
    </row>
    <row r="80" spans="1:9" x14ac:dyDescent="0.35">
      <c r="A80" s="23" t="s">
        <v>186</v>
      </c>
      <c r="B80" s="15">
        <v>99</v>
      </c>
      <c r="C80" s="18">
        <v>0.63</v>
      </c>
      <c r="D80" s="15">
        <v>25.1</v>
      </c>
      <c r="E80" s="15">
        <v>0</v>
      </c>
      <c r="F80" s="15">
        <v>95.24</v>
      </c>
      <c r="G80" s="17">
        <v>6</v>
      </c>
      <c r="H80" s="1">
        <v>3</v>
      </c>
      <c r="I80" s="1">
        <v>8</v>
      </c>
    </row>
    <row r="81" spans="1:9" x14ac:dyDescent="0.35">
      <c r="A81" s="23" t="s">
        <v>186</v>
      </c>
      <c r="B81" s="15">
        <v>99</v>
      </c>
      <c r="C81" s="18">
        <v>1.67</v>
      </c>
      <c r="D81" s="15">
        <v>25.2</v>
      </c>
      <c r="E81" s="15">
        <v>0</v>
      </c>
      <c r="F81" s="15">
        <v>14.29</v>
      </c>
      <c r="G81" s="17">
        <v>6</v>
      </c>
      <c r="H81" s="1">
        <v>3</v>
      </c>
      <c r="I81" s="1">
        <v>4</v>
      </c>
    </row>
    <row r="82" spans="1:9" x14ac:dyDescent="0.35">
      <c r="A82" s="23" t="s">
        <v>176</v>
      </c>
      <c r="B82" s="15">
        <v>96</v>
      </c>
      <c r="C82" s="18">
        <v>1.1399999999999999</v>
      </c>
      <c r="D82" s="15">
        <v>26.4</v>
      </c>
      <c r="E82" s="15">
        <v>0</v>
      </c>
      <c r="F82" s="15">
        <v>71.42</v>
      </c>
      <c r="G82" s="17">
        <v>4</v>
      </c>
      <c r="H82" s="1">
        <v>4</v>
      </c>
      <c r="I82" s="1">
        <v>7</v>
      </c>
    </row>
    <row r="83" spans="1:9" x14ac:dyDescent="0.35">
      <c r="A83" s="23" t="s">
        <v>176</v>
      </c>
      <c r="B83" s="15">
        <v>99</v>
      </c>
      <c r="C83" s="18">
        <v>8.51</v>
      </c>
      <c r="D83" s="15">
        <v>26.5</v>
      </c>
      <c r="E83" s="15">
        <v>0</v>
      </c>
      <c r="F83" s="15">
        <v>95.24</v>
      </c>
      <c r="G83" s="17">
        <v>4</v>
      </c>
      <c r="H83" s="1">
        <v>9</v>
      </c>
      <c r="I83" s="1">
        <v>9</v>
      </c>
    </row>
    <row r="84" spans="1:9" x14ac:dyDescent="0.35">
      <c r="A84" s="23" t="s">
        <v>176</v>
      </c>
      <c r="B84" s="15">
        <v>99</v>
      </c>
      <c r="C84" s="18">
        <v>8.52</v>
      </c>
      <c r="D84" s="15">
        <v>26.5</v>
      </c>
      <c r="E84" s="15">
        <v>0</v>
      </c>
      <c r="F84" s="15">
        <v>95.24</v>
      </c>
      <c r="G84" s="17">
        <v>4</v>
      </c>
      <c r="H84" s="1">
        <v>5</v>
      </c>
      <c r="I84" s="1">
        <v>6</v>
      </c>
    </row>
    <row r="85" spans="1:9" x14ac:dyDescent="0.35">
      <c r="A85" s="23" t="s">
        <v>178</v>
      </c>
      <c r="B85" s="15">
        <v>99</v>
      </c>
      <c r="C85" s="18">
        <v>6.93</v>
      </c>
      <c r="D85" s="15">
        <v>23.5</v>
      </c>
      <c r="E85" s="15">
        <v>0</v>
      </c>
      <c r="F85" s="15">
        <v>95.24</v>
      </c>
      <c r="G85" s="17">
        <v>3</v>
      </c>
      <c r="H85" s="1">
        <v>7</v>
      </c>
      <c r="I85" s="1">
        <v>7</v>
      </c>
    </row>
    <row r="86" spans="1:9" x14ac:dyDescent="0.35">
      <c r="A86" s="23" t="s">
        <v>178</v>
      </c>
      <c r="B86" s="15">
        <v>99</v>
      </c>
      <c r="C86" s="18">
        <v>6.8</v>
      </c>
      <c r="D86" s="15">
        <v>23.5</v>
      </c>
      <c r="E86" s="15">
        <v>0</v>
      </c>
      <c r="F86" s="15">
        <v>95.24</v>
      </c>
      <c r="G86" s="17">
        <v>3</v>
      </c>
      <c r="H86" s="1">
        <v>1</v>
      </c>
      <c r="I86" s="1">
        <v>1</v>
      </c>
    </row>
    <row r="87" spans="1:9" x14ac:dyDescent="0.35">
      <c r="A87" s="23" t="s">
        <v>179</v>
      </c>
      <c r="B87" s="15">
        <v>89</v>
      </c>
      <c r="C87" s="18">
        <v>2.74</v>
      </c>
      <c r="D87" s="15">
        <v>23.5</v>
      </c>
      <c r="E87" s="15">
        <v>0</v>
      </c>
      <c r="F87" s="15">
        <v>95.24</v>
      </c>
      <c r="G87" s="17">
        <v>5</v>
      </c>
      <c r="H87" s="1">
        <v>13</v>
      </c>
      <c r="I87" s="1">
        <v>16</v>
      </c>
    </row>
    <row r="88" spans="1:9" x14ac:dyDescent="0.35">
      <c r="A88" s="23" t="s">
        <v>179</v>
      </c>
      <c r="B88" s="15">
        <v>99</v>
      </c>
      <c r="C88" s="18">
        <v>0.32</v>
      </c>
      <c r="D88" s="15">
        <v>21.5</v>
      </c>
      <c r="E88" s="15">
        <v>0</v>
      </c>
      <c r="F88" s="1">
        <v>100</v>
      </c>
      <c r="G88" s="17">
        <v>5</v>
      </c>
      <c r="H88" s="1">
        <v>3</v>
      </c>
      <c r="I88" s="1">
        <v>3</v>
      </c>
    </row>
    <row r="89" spans="1:9" x14ac:dyDescent="0.35">
      <c r="A89" s="23" t="s">
        <v>179</v>
      </c>
      <c r="B89" s="15">
        <v>87</v>
      </c>
      <c r="C89" s="18">
        <v>0.03</v>
      </c>
      <c r="D89" s="15">
        <v>23.2</v>
      </c>
      <c r="E89" s="15">
        <v>0</v>
      </c>
      <c r="F89" s="15">
        <v>71.42</v>
      </c>
      <c r="G89" s="17">
        <v>5</v>
      </c>
      <c r="H89" s="1">
        <v>3</v>
      </c>
      <c r="I89" s="1">
        <v>3</v>
      </c>
    </row>
    <row r="90" spans="1:9" x14ac:dyDescent="0.35">
      <c r="A90" s="23" t="s">
        <v>179</v>
      </c>
      <c r="B90" s="15">
        <v>85</v>
      </c>
      <c r="C90" s="18">
        <v>0.04</v>
      </c>
      <c r="D90" s="15">
        <v>23.2</v>
      </c>
      <c r="E90" s="15">
        <v>0</v>
      </c>
      <c r="F90" s="15">
        <v>100</v>
      </c>
      <c r="G90" s="17">
        <v>5</v>
      </c>
      <c r="H90" s="1">
        <v>1</v>
      </c>
      <c r="I90" s="1">
        <v>1</v>
      </c>
    </row>
    <row r="91" spans="1:9" x14ac:dyDescent="0.35">
      <c r="A91" s="23" t="s">
        <v>180</v>
      </c>
      <c r="B91" s="15">
        <v>88</v>
      </c>
      <c r="C91" s="18">
        <v>0.69</v>
      </c>
      <c r="D91" s="15">
        <v>23.4</v>
      </c>
      <c r="E91" s="15">
        <v>6</v>
      </c>
      <c r="F91" s="15">
        <v>100</v>
      </c>
      <c r="G91" s="17">
        <v>5</v>
      </c>
      <c r="H91" s="1">
        <v>8</v>
      </c>
      <c r="I91" s="1">
        <v>9</v>
      </c>
    </row>
    <row r="92" spans="1:9" x14ac:dyDescent="0.35">
      <c r="A92" s="23" t="s">
        <v>180</v>
      </c>
      <c r="B92" s="15">
        <v>88</v>
      </c>
      <c r="C92" s="18">
        <v>1.86</v>
      </c>
      <c r="D92" s="15">
        <v>27.2</v>
      </c>
      <c r="E92" s="15">
        <v>0.6</v>
      </c>
      <c r="F92" s="15">
        <v>100</v>
      </c>
      <c r="G92" s="17">
        <v>5</v>
      </c>
      <c r="H92" s="1">
        <v>4</v>
      </c>
      <c r="I92" s="1">
        <v>4</v>
      </c>
    </row>
    <row r="93" spans="1:9" x14ac:dyDescent="0.35">
      <c r="A93" s="23" t="s">
        <v>181</v>
      </c>
      <c r="B93" s="15">
        <v>80</v>
      </c>
      <c r="C93" s="18">
        <v>51.6</v>
      </c>
      <c r="D93" s="15">
        <v>28.7</v>
      </c>
      <c r="E93" s="15">
        <v>2.5</v>
      </c>
      <c r="F93" s="15">
        <v>100</v>
      </c>
      <c r="G93" s="17">
        <v>3</v>
      </c>
      <c r="H93" s="1">
        <v>5</v>
      </c>
      <c r="I93" s="1">
        <v>5</v>
      </c>
    </row>
    <row r="94" spans="1:9" x14ac:dyDescent="0.35">
      <c r="A94" s="23" t="s">
        <v>182</v>
      </c>
      <c r="B94" s="15">
        <v>71</v>
      </c>
      <c r="C94" s="18">
        <v>7.17</v>
      </c>
      <c r="D94" s="15">
        <v>26.1</v>
      </c>
      <c r="E94" s="15">
        <v>1.9</v>
      </c>
      <c r="F94" s="15">
        <v>100</v>
      </c>
      <c r="G94" s="17">
        <v>3</v>
      </c>
      <c r="H94" s="1">
        <v>9</v>
      </c>
      <c r="I94" s="1">
        <v>11</v>
      </c>
    </row>
    <row r="95" spans="1:9" x14ac:dyDescent="0.35">
      <c r="A95" s="23" t="s">
        <v>182</v>
      </c>
      <c r="B95" s="15">
        <v>74</v>
      </c>
      <c r="C95" s="18">
        <v>7.5</v>
      </c>
      <c r="D95" s="15">
        <v>26</v>
      </c>
      <c r="E95" s="15">
        <v>0</v>
      </c>
      <c r="F95" s="15">
        <v>100</v>
      </c>
      <c r="G95" s="17">
        <v>3</v>
      </c>
      <c r="H95" s="1">
        <v>1</v>
      </c>
      <c r="I95" s="1">
        <v>1</v>
      </c>
    </row>
    <row r="96" spans="1:9" x14ac:dyDescent="0.35">
      <c r="A96" s="23" t="s">
        <v>182</v>
      </c>
      <c r="B96" s="15">
        <v>54</v>
      </c>
      <c r="C96" s="18">
        <v>10.85</v>
      </c>
      <c r="D96" s="15">
        <v>28.3</v>
      </c>
      <c r="E96" s="15">
        <v>1.45</v>
      </c>
      <c r="F96" s="15">
        <v>100</v>
      </c>
      <c r="G96" s="17">
        <v>3</v>
      </c>
      <c r="H96" s="1">
        <v>4</v>
      </c>
      <c r="I96" s="1">
        <v>4</v>
      </c>
    </row>
    <row r="97" spans="1:9" x14ac:dyDescent="0.35">
      <c r="A97" s="23" t="s">
        <v>184</v>
      </c>
      <c r="B97" s="1">
        <v>72</v>
      </c>
      <c r="C97" s="1">
        <v>17.850000000000001</v>
      </c>
      <c r="D97" s="1">
        <v>26.9</v>
      </c>
      <c r="E97" s="1">
        <v>1.6</v>
      </c>
      <c r="F97" s="1">
        <v>100</v>
      </c>
      <c r="G97" s="17">
        <v>2</v>
      </c>
      <c r="H97" s="1">
        <v>2</v>
      </c>
      <c r="I97" s="1">
        <v>3</v>
      </c>
    </row>
    <row r="98" spans="1:9" x14ac:dyDescent="0.35">
      <c r="A98" s="23" t="s">
        <v>184</v>
      </c>
      <c r="B98" s="15">
        <v>66</v>
      </c>
      <c r="C98" s="18">
        <v>6.27</v>
      </c>
      <c r="D98" s="15">
        <v>26.2</v>
      </c>
      <c r="E98" s="15">
        <v>0.8</v>
      </c>
      <c r="F98" s="15">
        <v>71.42</v>
      </c>
      <c r="G98" s="17">
        <v>2</v>
      </c>
      <c r="H98" s="1">
        <v>1</v>
      </c>
      <c r="I98" s="1">
        <v>1</v>
      </c>
    </row>
    <row r="99" spans="1:9" x14ac:dyDescent="0.35">
      <c r="A99" s="23" t="s">
        <v>183</v>
      </c>
      <c r="B99" s="15">
        <v>77</v>
      </c>
      <c r="C99" s="18">
        <v>19</v>
      </c>
      <c r="D99" s="15">
        <v>23.9</v>
      </c>
      <c r="E99" s="15">
        <v>0</v>
      </c>
      <c r="F99" s="15">
        <v>76.19</v>
      </c>
      <c r="G99" s="17">
        <v>3</v>
      </c>
      <c r="H99" s="1">
        <v>4</v>
      </c>
      <c r="I99" s="1">
        <v>13</v>
      </c>
    </row>
    <row r="100" spans="1:9" x14ac:dyDescent="0.35">
      <c r="A100" s="23" t="s">
        <v>183</v>
      </c>
      <c r="B100" s="15">
        <v>99</v>
      </c>
      <c r="C100" s="18">
        <v>29.59</v>
      </c>
      <c r="D100" s="15">
        <v>24.9</v>
      </c>
      <c r="E100" s="15">
        <v>0.65</v>
      </c>
      <c r="F100" s="15">
        <v>95.24</v>
      </c>
      <c r="G100" s="17">
        <v>3</v>
      </c>
      <c r="H100" s="1">
        <v>4</v>
      </c>
      <c r="I100" s="1">
        <v>7</v>
      </c>
    </row>
    <row r="101" spans="1:9" x14ac:dyDescent="0.35">
      <c r="A101" s="23" t="s">
        <v>183</v>
      </c>
      <c r="B101" s="15">
        <v>74</v>
      </c>
      <c r="C101" s="18">
        <v>1.52</v>
      </c>
      <c r="D101" s="15">
        <v>19.829999999999998</v>
      </c>
      <c r="E101" s="15">
        <v>0.85</v>
      </c>
      <c r="F101" s="15">
        <v>95.24</v>
      </c>
      <c r="G101" s="17">
        <v>3</v>
      </c>
      <c r="H101" s="1">
        <v>2</v>
      </c>
      <c r="I101" s="1">
        <v>2</v>
      </c>
    </row>
    <row r="102" spans="1:9" x14ac:dyDescent="0.35">
      <c r="A102" s="23" t="s">
        <v>185</v>
      </c>
      <c r="B102" s="15">
        <v>99</v>
      </c>
      <c r="C102" s="18">
        <v>27.94</v>
      </c>
      <c r="D102" s="15">
        <v>22.3</v>
      </c>
      <c r="E102" s="15">
        <v>1.2</v>
      </c>
      <c r="F102" s="15">
        <v>95.24</v>
      </c>
      <c r="G102" s="17">
        <v>1</v>
      </c>
      <c r="H102" s="1">
        <v>5</v>
      </c>
      <c r="I102" s="1">
        <v>15</v>
      </c>
    </row>
    <row r="103" spans="1:9" x14ac:dyDescent="0.35">
      <c r="A103" s="23" t="s">
        <v>185</v>
      </c>
      <c r="B103" s="15">
        <v>80</v>
      </c>
      <c r="C103" s="18">
        <v>6.81</v>
      </c>
      <c r="D103" s="15">
        <v>19.03</v>
      </c>
      <c r="E103" s="15">
        <v>1.8</v>
      </c>
      <c r="F103" s="15">
        <v>100</v>
      </c>
      <c r="G103" s="17">
        <v>1</v>
      </c>
      <c r="H103" s="1">
        <v>2</v>
      </c>
      <c r="I103" s="1">
        <v>4</v>
      </c>
    </row>
    <row r="104" spans="1:9" x14ac:dyDescent="0.35">
      <c r="A104" s="23" t="s">
        <v>186</v>
      </c>
      <c r="B104" s="15">
        <v>95</v>
      </c>
      <c r="C104" s="18">
        <v>0.4</v>
      </c>
      <c r="D104" s="15">
        <v>17.100000000000001</v>
      </c>
      <c r="E104" s="15">
        <v>0</v>
      </c>
      <c r="F104" s="15">
        <v>100</v>
      </c>
      <c r="G104" s="17">
        <v>6</v>
      </c>
      <c r="H104" s="1">
        <v>10</v>
      </c>
      <c r="I104" s="1">
        <v>33</v>
      </c>
    </row>
    <row r="105" spans="1:9" x14ac:dyDescent="0.35">
      <c r="A105" s="23" t="s">
        <v>186</v>
      </c>
      <c r="B105" s="15">
        <v>95</v>
      </c>
      <c r="C105" s="18">
        <v>0.42</v>
      </c>
      <c r="D105" s="15">
        <v>17.2</v>
      </c>
      <c r="E105" s="15">
        <v>0</v>
      </c>
      <c r="F105" s="15">
        <v>100</v>
      </c>
      <c r="G105" s="17">
        <v>6</v>
      </c>
      <c r="H105" s="1">
        <v>1</v>
      </c>
      <c r="I105" s="1">
        <v>1</v>
      </c>
    </row>
    <row r="106" spans="1:9" x14ac:dyDescent="0.35">
      <c r="A106" s="23" t="s">
        <v>186</v>
      </c>
      <c r="B106" s="15">
        <v>95</v>
      </c>
      <c r="C106" s="18">
        <v>0.41</v>
      </c>
      <c r="D106" s="15">
        <v>17.100000000000001</v>
      </c>
      <c r="E106" s="15">
        <v>0</v>
      </c>
      <c r="F106" s="15">
        <v>95.24</v>
      </c>
      <c r="G106" s="17">
        <v>6</v>
      </c>
      <c r="H106" s="1">
        <v>8</v>
      </c>
      <c r="I106" s="1">
        <v>11</v>
      </c>
    </row>
    <row r="107" spans="1:9" x14ac:dyDescent="0.35">
      <c r="A107" s="23" t="s">
        <v>186</v>
      </c>
      <c r="B107" s="15">
        <v>87</v>
      </c>
      <c r="C107" s="18">
        <v>0.16</v>
      </c>
      <c r="D107" s="15">
        <v>20.2</v>
      </c>
      <c r="E107" s="15">
        <v>0</v>
      </c>
      <c r="F107" s="15">
        <v>100</v>
      </c>
      <c r="G107" s="17">
        <v>6</v>
      </c>
      <c r="H107" s="1">
        <v>6</v>
      </c>
      <c r="I107" s="1">
        <v>6</v>
      </c>
    </row>
    <row r="108" spans="1:9" x14ac:dyDescent="0.35">
      <c r="A108" s="23" t="s">
        <v>176</v>
      </c>
      <c r="B108" s="15">
        <v>89</v>
      </c>
      <c r="C108" s="18">
        <v>1.36</v>
      </c>
      <c r="D108" s="15">
        <v>23.18</v>
      </c>
      <c r="E108" s="15">
        <v>0</v>
      </c>
      <c r="F108" s="15">
        <v>100</v>
      </c>
      <c r="G108" s="17">
        <v>4</v>
      </c>
      <c r="H108" s="1">
        <v>8</v>
      </c>
      <c r="I108" s="1">
        <v>11</v>
      </c>
    </row>
    <row r="109" spans="1:9" x14ac:dyDescent="0.35">
      <c r="A109" s="23" t="s">
        <v>177</v>
      </c>
      <c r="B109" s="15">
        <v>94</v>
      </c>
      <c r="C109" s="18">
        <v>7.68</v>
      </c>
      <c r="D109" s="15">
        <v>26.7</v>
      </c>
      <c r="E109" s="15">
        <v>0.75</v>
      </c>
      <c r="F109" s="15">
        <v>100</v>
      </c>
      <c r="G109" s="17">
        <v>3</v>
      </c>
      <c r="H109" s="1">
        <v>6</v>
      </c>
      <c r="I109" s="1">
        <v>8</v>
      </c>
    </row>
    <row r="110" spans="1:9" x14ac:dyDescent="0.35">
      <c r="A110" s="23" t="s">
        <v>177</v>
      </c>
      <c r="B110" s="15">
        <v>90</v>
      </c>
      <c r="C110" s="18">
        <v>1.5</v>
      </c>
      <c r="D110" s="15">
        <v>23.4</v>
      </c>
      <c r="E110" s="15">
        <v>0</v>
      </c>
      <c r="F110" s="15">
        <v>100</v>
      </c>
      <c r="G110" s="17">
        <v>3</v>
      </c>
      <c r="H110" s="1">
        <v>1</v>
      </c>
      <c r="I110" s="1">
        <v>1</v>
      </c>
    </row>
    <row r="111" spans="1:9" x14ac:dyDescent="0.35">
      <c r="A111" s="23" t="s">
        <v>179</v>
      </c>
      <c r="B111" s="15">
        <v>91</v>
      </c>
      <c r="C111" s="18">
        <v>1.1499999999999999</v>
      </c>
      <c r="D111" s="15">
        <v>24.4</v>
      </c>
      <c r="E111" s="15">
        <v>0</v>
      </c>
      <c r="F111" s="15">
        <v>95.24</v>
      </c>
      <c r="G111" s="17">
        <v>5</v>
      </c>
      <c r="H111" s="1">
        <v>8</v>
      </c>
      <c r="I111" s="1">
        <v>8</v>
      </c>
    </row>
    <row r="112" spans="1:9" x14ac:dyDescent="0.35">
      <c r="A112" s="23" t="s">
        <v>179</v>
      </c>
      <c r="B112" s="15">
        <v>94</v>
      </c>
      <c r="C112" s="18">
        <v>1.2</v>
      </c>
      <c r="D112" s="15">
        <v>24.4</v>
      </c>
      <c r="E112" s="15">
        <v>0</v>
      </c>
      <c r="F112" s="15">
        <v>100</v>
      </c>
      <c r="G112" s="17">
        <v>5</v>
      </c>
      <c r="H112" s="1">
        <v>1</v>
      </c>
      <c r="I112" s="1">
        <v>1</v>
      </c>
    </row>
    <row r="113" spans="1:9" x14ac:dyDescent="0.35">
      <c r="A113" s="23" t="s">
        <v>179</v>
      </c>
      <c r="B113" s="15">
        <v>85</v>
      </c>
      <c r="C113" s="18">
        <v>1.3</v>
      </c>
      <c r="D113" s="15">
        <v>24.4</v>
      </c>
      <c r="E113" s="15">
        <v>0</v>
      </c>
      <c r="F113" s="15">
        <v>100</v>
      </c>
      <c r="G113" s="17">
        <v>5</v>
      </c>
      <c r="H113" s="1">
        <v>8</v>
      </c>
      <c r="I113" s="1">
        <v>8</v>
      </c>
    </row>
    <row r="114" spans="1:9" x14ac:dyDescent="0.35">
      <c r="A114" s="23" t="s">
        <v>180</v>
      </c>
      <c r="B114" s="15">
        <v>91</v>
      </c>
      <c r="C114" s="18">
        <v>0.57999999999999996</v>
      </c>
      <c r="D114" s="15">
        <v>26.4</v>
      </c>
      <c r="E114" s="15">
        <v>0</v>
      </c>
      <c r="F114" s="15">
        <v>76.19</v>
      </c>
      <c r="G114" s="17">
        <v>5</v>
      </c>
      <c r="H114" s="1">
        <v>10</v>
      </c>
      <c r="I114" s="1">
        <v>10</v>
      </c>
    </row>
    <row r="115" spans="1:9" x14ac:dyDescent="0.35">
      <c r="A115" s="23" t="s">
        <v>180</v>
      </c>
      <c r="B115" s="15">
        <v>91</v>
      </c>
      <c r="C115" s="18">
        <v>0.81</v>
      </c>
      <c r="D115" s="15">
        <v>23.28</v>
      </c>
      <c r="E115" s="15">
        <v>0</v>
      </c>
      <c r="F115" s="15">
        <v>100</v>
      </c>
      <c r="G115" s="17">
        <v>5</v>
      </c>
      <c r="H115" s="1">
        <v>5</v>
      </c>
      <c r="I115" s="1">
        <v>5</v>
      </c>
    </row>
    <row r="116" spans="1:9" x14ac:dyDescent="0.35">
      <c r="A116" s="23" t="s">
        <v>181</v>
      </c>
      <c r="B116" s="15">
        <v>91</v>
      </c>
      <c r="C116" s="18">
        <v>0.81</v>
      </c>
      <c r="D116" s="15">
        <v>23.3</v>
      </c>
      <c r="E116" s="15">
        <v>0</v>
      </c>
      <c r="F116" s="15">
        <v>100</v>
      </c>
      <c r="G116" s="17">
        <v>3</v>
      </c>
      <c r="H116" s="1">
        <v>1</v>
      </c>
      <c r="I116" s="1">
        <v>2</v>
      </c>
    </row>
    <row r="117" spans="1:9" x14ac:dyDescent="0.35">
      <c r="A117" s="23" t="s">
        <v>181</v>
      </c>
      <c r="B117" s="15">
        <v>99</v>
      </c>
      <c r="C117" s="18">
        <v>85.6</v>
      </c>
      <c r="D117" s="15">
        <v>28.5</v>
      </c>
      <c r="E117" s="15">
        <v>1.2</v>
      </c>
      <c r="F117" s="15">
        <v>95.24</v>
      </c>
      <c r="G117" s="17">
        <v>3</v>
      </c>
      <c r="H117" s="1">
        <v>1</v>
      </c>
      <c r="I117" s="1">
        <v>1</v>
      </c>
    </row>
    <row r="118" spans="1:9" x14ac:dyDescent="0.35">
      <c r="A118" s="23" t="s">
        <v>181</v>
      </c>
      <c r="B118" s="15">
        <v>91</v>
      </c>
      <c r="C118" s="18">
        <v>13.15</v>
      </c>
      <c r="D118" s="15">
        <v>26.13</v>
      </c>
      <c r="E118" s="15">
        <v>0</v>
      </c>
      <c r="F118" s="15">
        <v>95.24</v>
      </c>
      <c r="G118" s="17">
        <v>3</v>
      </c>
      <c r="H118" s="1">
        <v>3</v>
      </c>
      <c r="I118" s="1">
        <v>3</v>
      </c>
    </row>
    <row r="119" spans="1:9" x14ac:dyDescent="0.35">
      <c r="A119" s="23" t="s">
        <v>182</v>
      </c>
      <c r="B119" s="15">
        <v>75</v>
      </c>
      <c r="C119" s="18">
        <v>17.2</v>
      </c>
      <c r="D119" s="15">
        <v>28</v>
      </c>
      <c r="E119" s="15">
        <v>0</v>
      </c>
      <c r="F119" s="15">
        <v>100</v>
      </c>
      <c r="G119" s="17">
        <v>3</v>
      </c>
      <c r="H119" s="1">
        <v>2</v>
      </c>
      <c r="I119" s="1">
        <v>2</v>
      </c>
    </row>
    <row r="120" spans="1:9" x14ac:dyDescent="0.35">
      <c r="A120" s="40" t="s">
        <v>182</v>
      </c>
      <c r="B120" s="39">
        <v>93</v>
      </c>
      <c r="C120" s="42">
        <v>14.5</v>
      </c>
      <c r="D120" s="39">
        <v>28.73</v>
      </c>
      <c r="E120" s="39">
        <v>0</v>
      </c>
      <c r="F120" s="39">
        <v>100</v>
      </c>
      <c r="G120" s="43">
        <v>3</v>
      </c>
      <c r="H120" s="44">
        <v>6</v>
      </c>
      <c r="I120" s="44">
        <v>9</v>
      </c>
    </row>
    <row r="121" spans="1:9" x14ac:dyDescent="0.35">
      <c r="A121" s="23" t="s">
        <v>182</v>
      </c>
      <c r="B121" s="15">
        <v>74</v>
      </c>
      <c r="C121" s="18">
        <v>18</v>
      </c>
      <c r="D121" s="15">
        <v>28</v>
      </c>
      <c r="E121" s="15">
        <v>0</v>
      </c>
      <c r="F121" s="15">
        <v>100</v>
      </c>
      <c r="G121" s="17">
        <v>3</v>
      </c>
      <c r="H121" s="1">
        <v>2</v>
      </c>
      <c r="I121" s="1">
        <v>2</v>
      </c>
    </row>
    <row r="122" spans="1:9" x14ac:dyDescent="0.35">
      <c r="A122" s="23" t="s">
        <v>184</v>
      </c>
      <c r="B122" s="15">
        <v>92</v>
      </c>
      <c r="C122" s="18">
        <v>97.97</v>
      </c>
      <c r="D122" s="15">
        <v>28.73</v>
      </c>
      <c r="E122" s="15">
        <v>0.97</v>
      </c>
      <c r="F122" s="15">
        <v>100</v>
      </c>
      <c r="G122" s="17">
        <v>2</v>
      </c>
      <c r="H122" s="1">
        <v>0</v>
      </c>
      <c r="I122" s="1">
        <v>0</v>
      </c>
    </row>
    <row r="123" spans="1:9" x14ac:dyDescent="0.35">
      <c r="A123" s="23" t="s">
        <v>184</v>
      </c>
      <c r="B123" s="15">
        <v>86.5</v>
      </c>
      <c r="C123" s="18">
        <v>33.18</v>
      </c>
      <c r="D123" s="15">
        <v>25.7</v>
      </c>
      <c r="E123" s="15">
        <v>1.2</v>
      </c>
      <c r="F123" s="15">
        <v>100</v>
      </c>
      <c r="G123" s="17">
        <v>2</v>
      </c>
      <c r="H123" s="1">
        <v>3</v>
      </c>
      <c r="I123" s="1">
        <v>6</v>
      </c>
    </row>
    <row r="124" spans="1:9" x14ac:dyDescent="0.35">
      <c r="A124" s="23" t="s">
        <v>184</v>
      </c>
      <c r="B124" s="15">
        <v>70</v>
      </c>
      <c r="C124" s="18">
        <v>5.91</v>
      </c>
      <c r="D124" s="15">
        <v>20.5</v>
      </c>
      <c r="E124" s="15">
        <v>1.5</v>
      </c>
      <c r="F124" s="15">
        <v>100</v>
      </c>
      <c r="G124" s="17">
        <v>2</v>
      </c>
      <c r="H124" s="1">
        <v>3</v>
      </c>
      <c r="I124" s="1">
        <v>3</v>
      </c>
    </row>
    <row r="125" spans="1:9" x14ac:dyDescent="0.35">
      <c r="A125" s="23" t="s">
        <v>183</v>
      </c>
      <c r="B125" s="15">
        <v>89</v>
      </c>
      <c r="C125" s="18">
        <v>7.61</v>
      </c>
      <c r="D125" s="15">
        <v>23.8</v>
      </c>
      <c r="E125" s="15">
        <v>0.75</v>
      </c>
      <c r="F125" s="15">
        <v>100</v>
      </c>
      <c r="G125" s="17">
        <v>3</v>
      </c>
      <c r="H125" s="1">
        <v>5</v>
      </c>
      <c r="I125" s="1">
        <v>10</v>
      </c>
    </row>
    <row r="126" spans="1:9" x14ac:dyDescent="0.35">
      <c r="A126" s="23" t="s">
        <v>183</v>
      </c>
      <c r="B126" s="15">
        <v>81</v>
      </c>
      <c r="C126" s="18">
        <v>5.23</v>
      </c>
      <c r="D126" s="15">
        <v>27.03</v>
      </c>
      <c r="E126" s="15">
        <v>0</v>
      </c>
      <c r="F126" s="15">
        <v>100</v>
      </c>
      <c r="G126" s="17">
        <v>3</v>
      </c>
      <c r="H126" s="1">
        <v>4</v>
      </c>
      <c r="I126" s="1">
        <v>5</v>
      </c>
    </row>
    <row r="127" spans="1:9" x14ac:dyDescent="0.35">
      <c r="A127" s="23" t="s">
        <v>185</v>
      </c>
      <c r="B127" s="15">
        <v>88</v>
      </c>
      <c r="C127" s="18">
        <v>24.87</v>
      </c>
      <c r="D127" s="15">
        <v>23.25</v>
      </c>
      <c r="E127" s="15">
        <v>0.45</v>
      </c>
      <c r="F127" s="15">
        <v>100</v>
      </c>
      <c r="G127" s="17">
        <v>1</v>
      </c>
      <c r="H127" s="1">
        <v>1</v>
      </c>
      <c r="I127" s="1">
        <v>1</v>
      </c>
    </row>
    <row r="128" spans="1:9" x14ac:dyDescent="0.35">
      <c r="A128" s="23" t="s">
        <v>185</v>
      </c>
      <c r="B128" s="15">
        <v>72</v>
      </c>
      <c r="C128" s="18">
        <v>4.6399999999999997</v>
      </c>
      <c r="D128" s="15">
        <v>24.9</v>
      </c>
      <c r="E128" s="15">
        <v>3.17</v>
      </c>
      <c r="F128" s="15">
        <v>76.19</v>
      </c>
      <c r="G128" s="17">
        <v>1</v>
      </c>
      <c r="H128" s="1">
        <v>2</v>
      </c>
      <c r="I128" s="1">
        <v>4</v>
      </c>
    </row>
    <row r="129" spans="1:9" x14ac:dyDescent="0.35">
      <c r="A129" s="23" t="s">
        <v>186</v>
      </c>
      <c r="B129" s="15">
        <v>86</v>
      </c>
      <c r="C129" s="18">
        <v>0.14000000000000001</v>
      </c>
      <c r="D129" s="15">
        <v>18.55</v>
      </c>
      <c r="E129" s="15">
        <v>0</v>
      </c>
      <c r="F129" s="15">
        <v>100</v>
      </c>
      <c r="G129" s="17">
        <v>6</v>
      </c>
      <c r="H129" s="1">
        <v>5</v>
      </c>
      <c r="I129" s="1">
        <v>5</v>
      </c>
    </row>
    <row r="130" spans="1:9" x14ac:dyDescent="0.35">
      <c r="A130" s="23" t="s">
        <v>186</v>
      </c>
      <c r="B130" s="15">
        <v>87</v>
      </c>
      <c r="C130" s="18">
        <v>0.15</v>
      </c>
      <c r="D130" s="15">
        <v>15.2</v>
      </c>
      <c r="E130" s="15">
        <v>0</v>
      </c>
      <c r="F130" s="15">
        <v>100</v>
      </c>
      <c r="G130" s="17">
        <v>6</v>
      </c>
      <c r="H130" s="1">
        <v>3</v>
      </c>
      <c r="I130" s="1">
        <v>3</v>
      </c>
    </row>
    <row r="131" spans="1:9" x14ac:dyDescent="0.35">
      <c r="A131" s="23" t="s">
        <v>186</v>
      </c>
      <c r="B131" s="15">
        <v>83</v>
      </c>
      <c r="C131" s="18">
        <v>0.20499999999999999</v>
      </c>
      <c r="D131" s="15">
        <v>24.8</v>
      </c>
      <c r="E131" s="15">
        <v>0</v>
      </c>
      <c r="F131" s="15">
        <v>76.19</v>
      </c>
      <c r="G131" s="17">
        <v>6</v>
      </c>
      <c r="H131" s="1">
        <v>0</v>
      </c>
      <c r="I131" s="1">
        <v>0</v>
      </c>
    </row>
    <row r="132" spans="1:9" x14ac:dyDescent="0.35">
      <c r="A132" s="15" t="s">
        <v>176</v>
      </c>
      <c r="B132" s="15">
        <v>92</v>
      </c>
      <c r="C132" s="18">
        <v>0.14000000000000001</v>
      </c>
      <c r="D132" s="15">
        <v>22.5</v>
      </c>
      <c r="E132" s="15">
        <v>0</v>
      </c>
      <c r="F132" s="15">
        <v>95.24</v>
      </c>
      <c r="G132" s="17">
        <v>4</v>
      </c>
      <c r="H132" s="1">
        <v>6</v>
      </c>
      <c r="I132" s="1">
        <v>11</v>
      </c>
    </row>
    <row r="133" spans="1:9" x14ac:dyDescent="0.35">
      <c r="A133" s="15" t="s">
        <v>176</v>
      </c>
      <c r="B133" s="15">
        <v>92</v>
      </c>
      <c r="C133" s="18">
        <v>0.14000000000000001</v>
      </c>
      <c r="D133" s="15">
        <v>22.5</v>
      </c>
      <c r="E133" s="15">
        <v>0</v>
      </c>
      <c r="F133" s="15">
        <v>100</v>
      </c>
      <c r="G133" s="17">
        <v>4</v>
      </c>
      <c r="H133" s="1">
        <v>1</v>
      </c>
      <c r="I133" s="1">
        <v>2</v>
      </c>
    </row>
    <row r="134" spans="1:9" x14ac:dyDescent="0.35">
      <c r="A134" s="15" t="s">
        <v>177</v>
      </c>
      <c r="B134" s="15">
        <v>97</v>
      </c>
      <c r="C134" s="18">
        <v>4.5999999999999996</v>
      </c>
      <c r="D134" s="15">
        <v>24.3</v>
      </c>
      <c r="E134" s="15">
        <v>0</v>
      </c>
      <c r="F134" s="15">
        <v>95.24</v>
      </c>
      <c r="G134" s="17">
        <v>3</v>
      </c>
      <c r="H134" s="1">
        <v>17</v>
      </c>
      <c r="I134" s="1">
        <v>24</v>
      </c>
    </row>
    <row r="135" spans="1:9" x14ac:dyDescent="0.35">
      <c r="A135" s="15" t="s">
        <v>179</v>
      </c>
      <c r="B135" s="15">
        <v>99</v>
      </c>
      <c r="C135" s="18">
        <v>24.2</v>
      </c>
      <c r="D135" s="15">
        <v>26.1</v>
      </c>
      <c r="E135" s="15">
        <v>0</v>
      </c>
      <c r="F135" s="15">
        <v>100</v>
      </c>
      <c r="G135" s="17">
        <v>5</v>
      </c>
      <c r="H135" s="1">
        <v>1</v>
      </c>
      <c r="I135" s="1">
        <v>1</v>
      </c>
    </row>
    <row r="136" spans="1:9" x14ac:dyDescent="0.35">
      <c r="A136" s="15" t="s">
        <v>179</v>
      </c>
      <c r="B136" s="15">
        <v>99</v>
      </c>
      <c r="C136" s="18">
        <v>24.2</v>
      </c>
      <c r="D136" s="15">
        <v>26.1</v>
      </c>
      <c r="E136" s="15">
        <v>0</v>
      </c>
      <c r="F136" s="15">
        <v>100</v>
      </c>
      <c r="G136" s="17">
        <v>5</v>
      </c>
      <c r="H136" s="1">
        <v>11</v>
      </c>
      <c r="I136" s="1">
        <v>11</v>
      </c>
    </row>
    <row r="137" spans="1:9" x14ac:dyDescent="0.35">
      <c r="A137" s="15" t="s">
        <v>179</v>
      </c>
      <c r="B137" s="15">
        <v>84</v>
      </c>
      <c r="C137" s="18">
        <v>0.17</v>
      </c>
      <c r="D137" s="15">
        <v>24</v>
      </c>
      <c r="E137" s="15">
        <v>0</v>
      </c>
      <c r="F137" s="15">
        <v>52.38</v>
      </c>
      <c r="G137" s="17">
        <v>5</v>
      </c>
      <c r="H137" s="1">
        <v>2</v>
      </c>
      <c r="I137" s="1">
        <v>2</v>
      </c>
    </row>
    <row r="138" spans="1:9" x14ac:dyDescent="0.35">
      <c r="A138" s="15" t="s">
        <v>180</v>
      </c>
      <c r="B138" s="15">
        <v>97</v>
      </c>
      <c r="C138" s="18">
        <v>1.08</v>
      </c>
      <c r="D138" s="15">
        <v>25.4</v>
      </c>
      <c r="E138" s="15">
        <v>0</v>
      </c>
      <c r="F138" s="15">
        <v>100</v>
      </c>
      <c r="G138" s="17">
        <v>5</v>
      </c>
      <c r="H138" s="1">
        <v>6</v>
      </c>
      <c r="I138" s="1">
        <v>8</v>
      </c>
    </row>
    <row r="139" spans="1:9" x14ac:dyDescent="0.35">
      <c r="A139" s="15" t="s">
        <v>180</v>
      </c>
      <c r="B139" s="15">
        <v>97</v>
      </c>
      <c r="C139" s="18">
        <v>1.08</v>
      </c>
      <c r="D139" s="15">
        <v>25.4</v>
      </c>
      <c r="E139" s="15">
        <v>0</v>
      </c>
      <c r="F139" s="15">
        <v>100</v>
      </c>
      <c r="G139" s="17">
        <v>5</v>
      </c>
      <c r="H139" s="1">
        <v>9</v>
      </c>
      <c r="I139" s="1">
        <v>9</v>
      </c>
    </row>
    <row r="140" spans="1:9" x14ac:dyDescent="0.35">
      <c r="A140" s="1" t="s">
        <v>180</v>
      </c>
      <c r="B140" s="1">
        <v>80</v>
      </c>
      <c r="C140" s="46">
        <v>0.04</v>
      </c>
      <c r="D140" s="1">
        <v>25.3</v>
      </c>
      <c r="E140" s="1">
        <v>0</v>
      </c>
      <c r="F140" s="1">
        <v>52.38</v>
      </c>
      <c r="G140" s="2">
        <v>5</v>
      </c>
      <c r="H140" s="1">
        <v>0</v>
      </c>
      <c r="I140" s="1">
        <v>0</v>
      </c>
    </row>
    <row r="141" spans="1:9" x14ac:dyDescent="0.35">
      <c r="A141" s="1" t="s">
        <v>181</v>
      </c>
      <c r="B141" s="1">
        <v>87</v>
      </c>
      <c r="C141" s="46">
        <v>9.8000000000000007</v>
      </c>
      <c r="D141" s="1">
        <v>34.5</v>
      </c>
      <c r="E141" s="1">
        <v>0</v>
      </c>
      <c r="F141" s="1">
        <v>100</v>
      </c>
      <c r="G141" s="2">
        <v>3</v>
      </c>
      <c r="H141" s="1">
        <v>4</v>
      </c>
      <c r="I141" s="1">
        <v>4</v>
      </c>
    </row>
    <row r="142" spans="1:9" x14ac:dyDescent="0.35">
      <c r="A142" s="1" t="s">
        <v>181</v>
      </c>
      <c r="B142" s="1">
        <v>87</v>
      </c>
      <c r="C142" s="46">
        <v>9.8000000000000007</v>
      </c>
      <c r="D142" s="1">
        <v>34.5</v>
      </c>
      <c r="E142" s="1">
        <v>0</v>
      </c>
      <c r="F142" s="1">
        <v>100</v>
      </c>
      <c r="G142" s="2">
        <v>3</v>
      </c>
      <c r="H142" s="1">
        <v>3</v>
      </c>
      <c r="I142" s="1">
        <v>3</v>
      </c>
    </row>
    <row r="143" spans="1:9" x14ac:dyDescent="0.35">
      <c r="A143" s="1" t="s">
        <v>181</v>
      </c>
      <c r="B143" s="1">
        <v>80</v>
      </c>
      <c r="C143" s="46">
        <v>1.5</v>
      </c>
      <c r="D143" s="1">
        <v>26.9</v>
      </c>
      <c r="E143" s="1">
        <v>0</v>
      </c>
      <c r="F143" s="1">
        <v>47.62</v>
      </c>
      <c r="G143" s="2">
        <v>3</v>
      </c>
      <c r="H143" s="1">
        <v>3</v>
      </c>
      <c r="I143" s="1">
        <v>4</v>
      </c>
    </row>
    <row r="144" spans="1:9" x14ac:dyDescent="0.35">
      <c r="A144" s="1" t="s">
        <v>182</v>
      </c>
      <c r="B144" s="1">
        <v>81</v>
      </c>
      <c r="C144" s="46">
        <v>36.6</v>
      </c>
      <c r="D144" s="1">
        <v>31.4</v>
      </c>
      <c r="E144" s="1">
        <v>0.8</v>
      </c>
      <c r="F144" s="1">
        <v>100</v>
      </c>
      <c r="G144" s="2">
        <v>3</v>
      </c>
      <c r="H144" s="1">
        <v>7</v>
      </c>
      <c r="I144" s="1">
        <v>7</v>
      </c>
    </row>
    <row r="145" spans="1:9" x14ac:dyDescent="0.35">
      <c r="A145" s="1" t="s">
        <v>182</v>
      </c>
      <c r="B145" s="1">
        <v>79</v>
      </c>
      <c r="C145" s="46">
        <v>13.35</v>
      </c>
      <c r="D145" s="1">
        <v>29.2</v>
      </c>
      <c r="E145" s="1">
        <v>0</v>
      </c>
      <c r="F145" s="1">
        <v>100</v>
      </c>
      <c r="G145" s="2">
        <v>3</v>
      </c>
      <c r="H145" s="1">
        <v>2</v>
      </c>
      <c r="I145" s="1">
        <v>2</v>
      </c>
    </row>
    <row r="146" spans="1:9" x14ac:dyDescent="0.35">
      <c r="A146" s="1" t="s">
        <v>184</v>
      </c>
      <c r="B146" s="1">
        <v>92</v>
      </c>
      <c r="C146" s="46">
        <v>15.6</v>
      </c>
      <c r="D146" s="1">
        <v>23.5</v>
      </c>
      <c r="E146" s="1">
        <v>0.7</v>
      </c>
      <c r="F146" s="1">
        <v>100</v>
      </c>
      <c r="G146" s="2">
        <v>2</v>
      </c>
      <c r="H146" s="1">
        <v>1</v>
      </c>
      <c r="I146" s="1">
        <v>1</v>
      </c>
    </row>
    <row r="147" spans="1:9" x14ac:dyDescent="0.35">
      <c r="A147" s="1" t="s">
        <v>184</v>
      </c>
      <c r="B147" s="1">
        <v>79</v>
      </c>
      <c r="C147" s="46">
        <v>7.6</v>
      </c>
      <c r="D147" s="1">
        <v>25.4</v>
      </c>
      <c r="E147" s="1">
        <v>0</v>
      </c>
      <c r="F147" s="1">
        <v>100</v>
      </c>
      <c r="G147" s="2">
        <v>2</v>
      </c>
      <c r="H147" s="1">
        <v>2</v>
      </c>
      <c r="I147" s="1">
        <v>5</v>
      </c>
    </row>
    <row r="148" spans="1:9" x14ac:dyDescent="0.35">
      <c r="A148" s="1" t="s">
        <v>183</v>
      </c>
      <c r="B148" s="1">
        <v>89</v>
      </c>
      <c r="C148" s="46">
        <v>1.1000000000000001</v>
      </c>
      <c r="D148" s="1">
        <v>22.3</v>
      </c>
      <c r="E148" s="1">
        <v>0</v>
      </c>
      <c r="F148" s="1">
        <v>100</v>
      </c>
      <c r="G148" s="2">
        <v>3</v>
      </c>
      <c r="H148" s="1">
        <v>7</v>
      </c>
      <c r="I148" s="1">
        <v>10</v>
      </c>
    </row>
    <row r="149" spans="1:9" x14ac:dyDescent="0.35">
      <c r="A149" s="1" t="s">
        <v>183</v>
      </c>
      <c r="B149" s="1">
        <v>89</v>
      </c>
      <c r="C149" s="46">
        <v>1</v>
      </c>
      <c r="D149" s="1">
        <v>22.2</v>
      </c>
      <c r="E149" s="1">
        <v>0</v>
      </c>
      <c r="F149" s="1">
        <v>100</v>
      </c>
      <c r="G149" s="2">
        <v>3</v>
      </c>
      <c r="H149" s="1">
        <v>4</v>
      </c>
      <c r="I149" s="1">
        <v>4</v>
      </c>
    </row>
    <row r="150" spans="1:9" x14ac:dyDescent="0.35">
      <c r="A150" s="1" t="s">
        <v>183</v>
      </c>
      <c r="B150" s="1">
        <v>72</v>
      </c>
      <c r="C150" s="1">
        <v>0.75</v>
      </c>
      <c r="D150" s="1">
        <v>25</v>
      </c>
      <c r="E150" s="1">
        <v>0.9</v>
      </c>
      <c r="F150" s="1">
        <v>100</v>
      </c>
      <c r="G150" s="2">
        <v>3</v>
      </c>
      <c r="H150" s="1">
        <v>2</v>
      </c>
      <c r="I150" s="1">
        <v>3</v>
      </c>
    </row>
    <row r="151" spans="1:9" x14ac:dyDescent="0.35">
      <c r="A151" s="1" t="s">
        <v>185</v>
      </c>
      <c r="B151" s="1">
        <v>60</v>
      </c>
      <c r="C151" s="46">
        <v>44</v>
      </c>
      <c r="D151" s="1">
        <v>32.6</v>
      </c>
      <c r="E151" s="1">
        <v>0</v>
      </c>
      <c r="F151" s="1">
        <v>100</v>
      </c>
      <c r="G151" s="2">
        <v>1</v>
      </c>
      <c r="H151" s="1">
        <v>2</v>
      </c>
      <c r="I151" s="1">
        <v>4</v>
      </c>
    </row>
    <row r="152" spans="1:9" x14ac:dyDescent="0.35">
      <c r="A152" s="1" t="s">
        <v>185</v>
      </c>
      <c r="B152" s="1">
        <v>79</v>
      </c>
      <c r="C152" s="46">
        <v>39.200000000000003</v>
      </c>
      <c r="D152" s="1">
        <v>31.4</v>
      </c>
      <c r="E152" s="1">
        <v>0</v>
      </c>
      <c r="F152" s="1">
        <v>100</v>
      </c>
      <c r="G152" s="2">
        <v>1</v>
      </c>
      <c r="H152" s="1">
        <v>0</v>
      </c>
      <c r="I152" s="1">
        <v>0</v>
      </c>
    </row>
    <row r="153" spans="1:9" x14ac:dyDescent="0.35">
      <c r="A153" s="1" t="s">
        <v>186</v>
      </c>
      <c r="B153" s="1">
        <v>76</v>
      </c>
      <c r="C153" s="46">
        <v>1.53</v>
      </c>
      <c r="D153" s="1">
        <v>25.4</v>
      </c>
      <c r="E153" s="1">
        <v>0</v>
      </c>
      <c r="F153" s="1">
        <v>76.19</v>
      </c>
      <c r="G153" s="2">
        <v>6</v>
      </c>
      <c r="H153" s="1">
        <v>4</v>
      </c>
      <c r="I153" s="1">
        <v>5</v>
      </c>
    </row>
    <row r="154" spans="1:9" x14ac:dyDescent="0.35">
      <c r="A154" s="1" t="s">
        <v>176</v>
      </c>
      <c r="B154" s="1">
        <v>81</v>
      </c>
      <c r="C154" s="46">
        <v>1.6</v>
      </c>
      <c r="D154" s="1">
        <v>26.5</v>
      </c>
      <c r="E154" s="1">
        <v>0</v>
      </c>
      <c r="F154" s="1">
        <v>100</v>
      </c>
      <c r="G154" s="2">
        <v>4</v>
      </c>
      <c r="H154" s="1">
        <v>12</v>
      </c>
      <c r="I154" s="1">
        <v>18</v>
      </c>
    </row>
    <row r="155" spans="1:9" x14ac:dyDescent="0.35">
      <c r="A155" s="1" t="s">
        <v>177</v>
      </c>
      <c r="B155" s="1">
        <v>96</v>
      </c>
      <c r="C155" s="46">
        <v>1.1299999999999999</v>
      </c>
      <c r="D155" s="1">
        <v>26.4</v>
      </c>
      <c r="E155" s="1">
        <v>0</v>
      </c>
      <c r="F155" s="1">
        <v>100</v>
      </c>
      <c r="G155" s="2">
        <v>3</v>
      </c>
      <c r="H155" s="1">
        <v>5</v>
      </c>
      <c r="I155" s="1">
        <v>5</v>
      </c>
    </row>
    <row r="156" spans="1:9" x14ac:dyDescent="0.35">
      <c r="A156" s="1" t="s">
        <v>179</v>
      </c>
      <c r="B156" s="1">
        <v>99</v>
      </c>
      <c r="C156" s="46">
        <v>0.28000000000000003</v>
      </c>
      <c r="D156" s="1">
        <v>23.5</v>
      </c>
      <c r="E156" s="1">
        <v>0</v>
      </c>
      <c r="F156" s="1">
        <v>100</v>
      </c>
      <c r="G156" s="2">
        <v>5</v>
      </c>
      <c r="H156" s="1">
        <v>7</v>
      </c>
      <c r="I156" s="1">
        <v>10</v>
      </c>
    </row>
    <row r="157" spans="1:9" x14ac:dyDescent="0.35">
      <c r="A157" s="1" t="s">
        <v>180</v>
      </c>
      <c r="B157" s="1">
        <v>96</v>
      </c>
      <c r="C157" s="46">
        <v>0.64</v>
      </c>
      <c r="D157" s="1">
        <v>24.9</v>
      </c>
      <c r="E157" s="1">
        <v>0</v>
      </c>
      <c r="F157" s="1">
        <v>100</v>
      </c>
      <c r="G157" s="2">
        <v>5</v>
      </c>
      <c r="H157" s="1">
        <v>9</v>
      </c>
      <c r="I157" s="1">
        <v>9</v>
      </c>
    </row>
    <row r="158" spans="1:9" x14ac:dyDescent="0.35">
      <c r="A158" s="1" t="s">
        <v>181</v>
      </c>
      <c r="B158" s="1">
        <v>98</v>
      </c>
      <c r="C158" s="46">
        <v>2.2799999999999998</v>
      </c>
      <c r="D158" s="1">
        <v>23.7</v>
      </c>
      <c r="E158" s="1">
        <v>0</v>
      </c>
      <c r="F158" s="1">
        <v>100</v>
      </c>
      <c r="G158" s="2">
        <v>3</v>
      </c>
      <c r="H158" s="1">
        <v>4</v>
      </c>
      <c r="I158" s="1">
        <v>4</v>
      </c>
    </row>
    <row r="159" spans="1:9" x14ac:dyDescent="0.35">
      <c r="A159" s="1" t="s">
        <v>182</v>
      </c>
      <c r="B159" s="1">
        <v>99</v>
      </c>
      <c r="C159" s="46">
        <v>7.2350000000000003</v>
      </c>
      <c r="D159" s="1">
        <v>24.6</v>
      </c>
      <c r="E159" s="1">
        <v>1.4</v>
      </c>
      <c r="F159" s="1">
        <v>100</v>
      </c>
      <c r="G159" s="2">
        <v>3</v>
      </c>
      <c r="H159" s="1">
        <v>10</v>
      </c>
      <c r="I159" s="1">
        <v>16</v>
      </c>
    </row>
    <row r="160" spans="1:9" x14ac:dyDescent="0.35">
      <c r="A160" s="1" t="s">
        <v>184</v>
      </c>
      <c r="B160" s="1">
        <v>78</v>
      </c>
      <c r="C160" s="46">
        <v>17.850000000000001</v>
      </c>
      <c r="D160" s="1">
        <v>26.8</v>
      </c>
      <c r="E160" s="1">
        <v>0.7</v>
      </c>
      <c r="F160" s="1">
        <v>100</v>
      </c>
      <c r="G160" s="2">
        <v>2</v>
      </c>
      <c r="H160" s="1">
        <v>3</v>
      </c>
      <c r="I160" s="1">
        <v>3</v>
      </c>
    </row>
    <row r="161" spans="1:9" x14ac:dyDescent="0.35">
      <c r="A161" s="1" t="s">
        <v>183</v>
      </c>
      <c r="B161" s="1">
        <v>92</v>
      </c>
      <c r="C161" s="46">
        <v>44.68</v>
      </c>
      <c r="D161" s="1">
        <v>23.2</v>
      </c>
      <c r="E161" s="1">
        <v>0.6</v>
      </c>
      <c r="F161" s="1">
        <v>100</v>
      </c>
      <c r="G161" s="2">
        <v>3</v>
      </c>
      <c r="H161" s="1">
        <v>8</v>
      </c>
      <c r="I161" s="1">
        <v>9</v>
      </c>
    </row>
    <row r="162" spans="1:9" x14ac:dyDescent="0.35">
      <c r="A162" s="1" t="s">
        <v>183</v>
      </c>
      <c r="B162" s="1">
        <v>84</v>
      </c>
      <c r="C162" s="46">
        <v>0.5</v>
      </c>
      <c r="D162" s="1">
        <v>25.9</v>
      </c>
      <c r="E162" s="1">
        <v>0</v>
      </c>
      <c r="F162" s="1">
        <v>100</v>
      </c>
      <c r="G162" s="2">
        <v>3</v>
      </c>
      <c r="H162" s="1">
        <v>4</v>
      </c>
      <c r="I162" s="1">
        <v>4</v>
      </c>
    </row>
    <row r="163" spans="1:9" x14ac:dyDescent="0.35">
      <c r="A163" s="1" t="s">
        <v>186</v>
      </c>
      <c r="B163" s="1">
        <v>83</v>
      </c>
      <c r="C163" s="46">
        <v>1.1299999999999999</v>
      </c>
      <c r="D163" s="1">
        <v>25.5</v>
      </c>
      <c r="E163" s="1">
        <v>0</v>
      </c>
      <c r="F163" s="1">
        <v>100</v>
      </c>
      <c r="G163" s="2">
        <v>6</v>
      </c>
      <c r="H163" s="1">
        <v>9</v>
      </c>
      <c r="I163" s="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>
      <selection activeCell="R4" sqref="R4"/>
    </sheetView>
  </sheetViews>
  <sheetFormatPr defaultRowHeight="14.5" x14ac:dyDescent="0.35"/>
  <sheetData>
    <row r="1" spans="1:12" ht="120" x14ac:dyDescent="0.35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197</v>
      </c>
      <c r="I1" s="7" t="s">
        <v>193</v>
      </c>
      <c r="J1" s="8" t="s">
        <v>194</v>
      </c>
      <c r="K1" s="1" t="s">
        <v>195</v>
      </c>
      <c r="L1" s="1" t="s">
        <v>175</v>
      </c>
    </row>
    <row r="2" spans="1:12" x14ac:dyDescent="0.35">
      <c r="A2" s="15" t="s">
        <v>141</v>
      </c>
      <c r="B2" s="26" t="s">
        <v>176</v>
      </c>
      <c r="C2" s="30">
        <v>95</v>
      </c>
      <c r="D2" s="29">
        <v>0.59</v>
      </c>
      <c r="E2" s="30">
        <v>23.4</v>
      </c>
      <c r="F2" s="30">
        <v>0</v>
      </c>
      <c r="G2" s="15">
        <v>100</v>
      </c>
      <c r="H2" s="31">
        <v>400</v>
      </c>
      <c r="I2" s="15">
        <v>70</v>
      </c>
      <c r="J2" s="21">
        <v>4</v>
      </c>
      <c r="K2" s="1">
        <v>9</v>
      </c>
      <c r="L2" s="1">
        <v>18</v>
      </c>
    </row>
    <row r="3" spans="1:12" x14ac:dyDescent="0.35">
      <c r="A3" s="15" t="s">
        <v>141</v>
      </c>
      <c r="B3" s="26" t="s">
        <v>179</v>
      </c>
      <c r="C3" s="30">
        <v>99</v>
      </c>
      <c r="D3" s="34">
        <v>0.47249999999999998</v>
      </c>
      <c r="E3" s="30">
        <v>25.7</v>
      </c>
      <c r="F3" s="26">
        <v>0</v>
      </c>
      <c r="G3" s="15">
        <v>100</v>
      </c>
      <c r="H3" s="30">
        <v>400</v>
      </c>
      <c r="I3" s="15">
        <v>90</v>
      </c>
      <c r="J3" s="21">
        <v>5</v>
      </c>
      <c r="K3" s="1">
        <v>8</v>
      </c>
      <c r="L3" s="1">
        <v>9</v>
      </c>
    </row>
    <row r="4" spans="1:12" x14ac:dyDescent="0.35">
      <c r="A4" s="15" t="s">
        <v>141</v>
      </c>
      <c r="B4" s="26" t="s">
        <v>179</v>
      </c>
      <c r="C4" s="30">
        <v>99</v>
      </c>
      <c r="D4" s="29">
        <v>32.6</v>
      </c>
      <c r="E4" s="30">
        <v>23.7</v>
      </c>
      <c r="F4" s="26">
        <v>0</v>
      </c>
      <c r="G4" s="15">
        <v>100</v>
      </c>
      <c r="H4" s="26">
        <v>400</v>
      </c>
      <c r="I4" s="15">
        <v>73.33</v>
      </c>
      <c r="J4" s="21">
        <v>5</v>
      </c>
      <c r="K4" s="1">
        <v>3</v>
      </c>
      <c r="L4" s="1">
        <v>3</v>
      </c>
    </row>
    <row r="5" spans="1:12" x14ac:dyDescent="0.35">
      <c r="A5" s="15" t="s">
        <v>141</v>
      </c>
      <c r="B5" s="26" t="s">
        <v>180</v>
      </c>
      <c r="C5" s="30">
        <v>97</v>
      </c>
      <c r="D5" s="35">
        <v>0.53600000000000003</v>
      </c>
      <c r="E5" s="30">
        <v>24.9</v>
      </c>
      <c r="F5" s="30">
        <v>0</v>
      </c>
      <c r="G5" s="15">
        <v>20</v>
      </c>
      <c r="H5" s="30">
        <v>400</v>
      </c>
      <c r="I5" s="15">
        <v>90</v>
      </c>
      <c r="J5" s="21">
        <v>5</v>
      </c>
      <c r="K5" s="1">
        <v>5</v>
      </c>
      <c r="L5" s="1">
        <v>9</v>
      </c>
    </row>
    <row r="6" spans="1:12" x14ac:dyDescent="0.35">
      <c r="A6" s="15" t="s">
        <v>141</v>
      </c>
      <c r="B6" s="26" t="s">
        <v>180</v>
      </c>
      <c r="C6" s="30">
        <v>99</v>
      </c>
      <c r="D6" s="29">
        <v>47.9</v>
      </c>
      <c r="E6" s="30">
        <v>24.1</v>
      </c>
      <c r="F6" s="30">
        <v>0.5</v>
      </c>
      <c r="G6" s="15">
        <v>100</v>
      </c>
      <c r="H6" s="30">
        <v>400</v>
      </c>
      <c r="I6" s="15">
        <v>80</v>
      </c>
      <c r="J6" s="21">
        <v>5</v>
      </c>
      <c r="K6" s="1">
        <v>1</v>
      </c>
      <c r="L6" s="1">
        <v>1</v>
      </c>
    </row>
    <row r="7" spans="1:12" x14ac:dyDescent="0.35">
      <c r="A7" s="15" t="s">
        <v>141</v>
      </c>
      <c r="B7" s="26" t="s">
        <v>181</v>
      </c>
      <c r="C7" s="30">
        <v>99</v>
      </c>
      <c r="D7" s="29">
        <v>53.2</v>
      </c>
      <c r="E7" s="30">
        <v>27.5</v>
      </c>
      <c r="F7" s="30">
        <v>0</v>
      </c>
      <c r="G7" s="15">
        <v>100</v>
      </c>
      <c r="H7" s="30">
        <v>400</v>
      </c>
      <c r="I7" s="15">
        <v>93.33</v>
      </c>
      <c r="J7" s="21">
        <v>3</v>
      </c>
      <c r="K7" s="1">
        <v>4</v>
      </c>
      <c r="L7" s="1">
        <v>7</v>
      </c>
    </row>
    <row r="8" spans="1:12" x14ac:dyDescent="0.35">
      <c r="A8" s="15" t="s">
        <v>141</v>
      </c>
      <c r="B8" s="26" t="s">
        <v>181</v>
      </c>
      <c r="C8" s="30">
        <v>99</v>
      </c>
      <c r="D8" s="29">
        <v>8.23</v>
      </c>
      <c r="E8" s="30">
        <v>23.7</v>
      </c>
      <c r="F8" s="30">
        <v>0</v>
      </c>
      <c r="G8" s="15">
        <v>100</v>
      </c>
      <c r="H8" s="30">
        <v>400</v>
      </c>
      <c r="I8" s="15">
        <v>93.33</v>
      </c>
      <c r="J8" s="21">
        <v>3</v>
      </c>
      <c r="K8" s="1">
        <v>2</v>
      </c>
      <c r="L8" s="1">
        <v>4</v>
      </c>
    </row>
    <row r="9" spans="1:12" x14ac:dyDescent="0.35">
      <c r="A9" s="15" t="s">
        <v>141</v>
      </c>
      <c r="B9" s="26" t="s">
        <v>182</v>
      </c>
      <c r="C9" s="30">
        <v>77</v>
      </c>
      <c r="D9" s="29">
        <v>8.5399999999999991</v>
      </c>
      <c r="E9" s="30">
        <v>28</v>
      </c>
      <c r="F9" s="30">
        <v>1.75</v>
      </c>
      <c r="G9" s="15">
        <v>100</v>
      </c>
      <c r="H9" s="30">
        <v>400</v>
      </c>
      <c r="I9" s="15">
        <v>93.33</v>
      </c>
      <c r="J9" s="21">
        <v>3</v>
      </c>
      <c r="K9" s="1">
        <v>6</v>
      </c>
      <c r="L9" s="1">
        <v>12</v>
      </c>
    </row>
    <row r="10" spans="1:12" x14ac:dyDescent="0.35">
      <c r="A10" s="15" t="s">
        <v>141</v>
      </c>
      <c r="B10" s="26" t="s">
        <v>182</v>
      </c>
      <c r="C10" s="30">
        <v>99</v>
      </c>
      <c r="D10" s="29">
        <v>7.51</v>
      </c>
      <c r="E10" s="30">
        <v>23.7</v>
      </c>
      <c r="F10" s="30">
        <v>0</v>
      </c>
      <c r="G10" s="15">
        <v>100</v>
      </c>
      <c r="H10" s="30">
        <v>400</v>
      </c>
      <c r="I10" s="15">
        <v>93.33</v>
      </c>
      <c r="J10" s="21">
        <v>3</v>
      </c>
      <c r="K10" s="1">
        <v>4</v>
      </c>
      <c r="L10" s="1">
        <v>15</v>
      </c>
    </row>
    <row r="11" spans="1:12" x14ac:dyDescent="0.35">
      <c r="A11" s="15" t="s">
        <v>146</v>
      </c>
      <c r="B11" s="23" t="s">
        <v>181</v>
      </c>
      <c r="C11" s="15">
        <v>99</v>
      </c>
      <c r="D11" s="18">
        <v>7.59</v>
      </c>
      <c r="E11" s="15">
        <v>23.9</v>
      </c>
      <c r="F11" s="15">
        <v>0</v>
      </c>
      <c r="G11" s="15">
        <v>100</v>
      </c>
      <c r="H11" s="15">
        <v>500</v>
      </c>
      <c r="I11" s="15">
        <v>66.67</v>
      </c>
      <c r="J11" s="17">
        <v>3</v>
      </c>
      <c r="K11" s="1">
        <v>5</v>
      </c>
      <c r="L11" s="1">
        <v>6</v>
      </c>
    </row>
    <row r="12" spans="1:12" x14ac:dyDescent="0.35">
      <c r="A12" s="15" t="s">
        <v>146</v>
      </c>
      <c r="B12" s="23" t="s">
        <v>182</v>
      </c>
      <c r="C12" s="15">
        <v>99</v>
      </c>
      <c r="D12" s="18">
        <v>13.05</v>
      </c>
      <c r="E12" s="15">
        <v>25.9</v>
      </c>
      <c r="F12" s="15">
        <v>0.45</v>
      </c>
      <c r="G12" s="15">
        <v>100</v>
      </c>
      <c r="H12" s="15">
        <v>500</v>
      </c>
      <c r="I12" s="15">
        <v>100</v>
      </c>
      <c r="J12" s="17">
        <v>3</v>
      </c>
      <c r="K12" s="1">
        <v>4</v>
      </c>
      <c r="L12" s="1">
        <v>4</v>
      </c>
    </row>
    <row r="13" spans="1:12" x14ac:dyDescent="0.35">
      <c r="A13" s="15" t="s">
        <v>146</v>
      </c>
      <c r="B13" s="23" t="s">
        <v>184</v>
      </c>
      <c r="C13" s="15">
        <v>93</v>
      </c>
      <c r="D13" s="18">
        <v>6.64</v>
      </c>
      <c r="E13" s="15">
        <v>26</v>
      </c>
      <c r="F13" s="15">
        <v>0</v>
      </c>
      <c r="G13" s="15">
        <v>100</v>
      </c>
      <c r="H13" s="15">
        <v>500</v>
      </c>
      <c r="I13" s="15">
        <v>100</v>
      </c>
      <c r="J13" s="17">
        <v>2</v>
      </c>
      <c r="K13" s="1">
        <v>7</v>
      </c>
      <c r="L13" s="1">
        <v>13</v>
      </c>
    </row>
    <row r="14" spans="1:12" x14ac:dyDescent="0.35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5">
        <v>500</v>
      </c>
      <c r="I14" s="15">
        <v>66.67</v>
      </c>
      <c r="J14" s="17">
        <v>6</v>
      </c>
      <c r="K14" s="1">
        <v>2</v>
      </c>
      <c r="L14" s="1">
        <v>6</v>
      </c>
    </row>
    <row r="15" spans="1:12" x14ac:dyDescent="0.35">
      <c r="A15" s="15" t="s">
        <v>153</v>
      </c>
      <c r="B15" s="23" t="s">
        <v>179</v>
      </c>
      <c r="C15" s="15">
        <v>65</v>
      </c>
      <c r="D15" s="36">
        <v>3.5000000000000003E-2</v>
      </c>
      <c r="E15" s="15">
        <v>25.7</v>
      </c>
      <c r="F15" s="15">
        <v>0</v>
      </c>
      <c r="G15" s="15">
        <v>100</v>
      </c>
      <c r="H15" s="15">
        <v>560</v>
      </c>
      <c r="I15" s="15">
        <v>100</v>
      </c>
      <c r="J15" s="17">
        <v>5</v>
      </c>
      <c r="K15" s="1">
        <v>3</v>
      </c>
      <c r="L15" s="1">
        <v>3</v>
      </c>
    </row>
    <row r="16" spans="1:12" x14ac:dyDescent="0.35">
      <c r="A16" s="15" t="s">
        <v>153</v>
      </c>
      <c r="B16" s="23" t="s">
        <v>180</v>
      </c>
      <c r="C16" s="15">
        <v>50</v>
      </c>
      <c r="D16" s="36">
        <v>0.7</v>
      </c>
      <c r="E16" s="15">
        <v>26.3</v>
      </c>
      <c r="F16" s="15">
        <v>0</v>
      </c>
      <c r="G16" s="15">
        <v>100</v>
      </c>
      <c r="H16" s="15">
        <v>560</v>
      </c>
      <c r="I16" s="15">
        <v>47.62</v>
      </c>
      <c r="J16" s="17">
        <v>5</v>
      </c>
      <c r="K16" s="1">
        <v>2</v>
      </c>
      <c r="L16" s="1">
        <v>5</v>
      </c>
    </row>
    <row r="17" spans="1:12" x14ac:dyDescent="0.35">
      <c r="A17" s="15" t="s">
        <v>153</v>
      </c>
      <c r="B17" s="23" t="s">
        <v>184</v>
      </c>
      <c r="C17" s="15">
        <v>77</v>
      </c>
      <c r="D17" s="36">
        <v>1.79</v>
      </c>
      <c r="E17" s="15">
        <v>23.98</v>
      </c>
      <c r="F17" s="15">
        <v>0.83</v>
      </c>
      <c r="G17" s="15">
        <v>100</v>
      </c>
      <c r="H17" s="15">
        <v>850</v>
      </c>
      <c r="I17" s="15">
        <v>76.19</v>
      </c>
      <c r="J17" s="17">
        <v>2</v>
      </c>
      <c r="K17" s="1">
        <v>3</v>
      </c>
      <c r="L17" s="1">
        <v>3</v>
      </c>
    </row>
    <row r="18" spans="1:12" x14ac:dyDescent="0.35">
      <c r="A18" s="15" t="s">
        <v>153</v>
      </c>
      <c r="B18" s="23" t="s">
        <v>184</v>
      </c>
      <c r="C18" s="15">
        <v>78</v>
      </c>
      <c r="D18" s="36">
        <v>20.350000000000001</v>
      </c>
      <c r="E18" s="15">
        <v>22.55</v>
      </c>
      <c r="F18" s="15">
        <v>0</v>
      </c>
      <c r="G18" s="15">
        <v>38.33</v>
      </c>
      <c r="H18" s="1">
        <v>560</v>
      </c>
      <c r="I18" s="15">
        <v>100</v>
      </c>
      <c r="J18" s="17">
        <v>2</v>
      </c>
      <c r="K18" s="1">
        <v>6</v>
      </c>
      <c r="L18" s="1">
        <v>14</v>
      </c>
    </row>
    <row r="19" spans="1:12" x14ac:dyDescent="0.35">
      <c r="A19" s="15" t="s">
        <v>153</v>
      </c>
      <c r="B19" s="23" t="s">
        <v>184</v>
      </c>
      <c r="C19" s="15">
        <v>98</v>
      </c>
      <c r="D19" s="36">
        <v>3.05</v>
      </c>
      <c r="E19" s="15">
        <v>21.7</v>
      </c>
      <c r="F19" s="15">
        <v>0.9</v>
      </c>
      <c r="G19" s="15">
        <v>100</v>
      </c>
      <c r="H19" s="15">
        <v>850</v>
      </c>
      <c r="I19" s="15">
        <v>100</v>
      </c>
      <c r="J19" s="17">
        <v>2</v>
      </c>
      <c r="K19" s="1">
        <v>1</v>
      </c>
      <c r="L19" s="1">
        <v>1</v>
      </c>
    </row>
    <row r="20" spans="1:12" x14ac:dyDescent="0.35">
      <c r="A20" s="15" t="s">
        <v>153</v>
      </c>
      <c r="B20" s="23" t="s">
        <v>184</v>
      </c>
      <c r="C20" s="15">
        <v>77</v>
      </c>
      <c r="D20" s="36">
        <v>12.54</v>
      </c>
      <c r="E20" s="15">
        <v>25.3</v>
      </c>
      <c r="F20" s="15">
        <v>1</v>
      </c>
      <c r="G20" s="15">
        <v>100</v>
      </c>
      <c r="H20" s="15">
        <v>560</v>
      </c>
      <c r="I20" s="15">
        <v>100</v>
      </c>
      <c r="J20" s="17">
        <v>2</v>
      </c>
      <c r="K20" s="1">
        <v>1</v>
      </c>
      <c r="L20" s="1">
        <v>5</v>
      </c>
    </row>
    <row r="21" spans="1:12" x14ac:dyDescent="0.35">
      <c r="A21" s="15" t="s">
        <v>153</v>
      </c>
      <c r="B21" s="23" t="s">
        <v>183</v>
      </c>
      <c r="C21" s="15">
        <v>95</v>
      </c>
      <c r="D21" s="18">
        <v>10.69</v>
      </c>
      <c r="E21" s="15">
        <v>22.8</v>
      </c>
      <c r="F21" s="15">
        <v>1.2</v>
      </c>
      <c r="G21" s="15">
        <v>100</v>
      </c>
      <c r="H21" s="15">
        <v>850</v>
      </c>
      <c r="I21" s="15">
        <v>100</v>
      </c>
      <c r="J21" s="17">
        <v>3</v>
      </c>
      <c r="K21" s="1">
        <v>4</v>
      </c>
      <c r="L21" s="1">
        <v>7</v>
      </c>
    </row>
    <row r="22" spans="1:12" x14ac:dyDescent="0.35">
      <c r="A22" s="15" t="s">
        <v>153</v>
      </c>
      <c r="B22" s="23" t="s">
        <v>183</v>
      </c>
      <c r="C22" s="15">
        <v>95</v>
      </c>
      <c r="D22" s="18">
        <v>5.99</v>
      </c>
      <c r="E22" s="15">
        <v>25.7</v>
      </c>
      <c r="F22" s="15">
        <v>0</v>
      </c>
      <c r="G22" s="15">
        <v>100</v>
      </c>
      <c r="H22" s="15">
        <v>560</v>
      </c>
      <c r="I22" s="15">
        <v>100</v>
      </c>
      <c r="J22" s="17">
        <v>3</v>
      </c>
      <c r="K22" s="1">
        <v>5</v>
      </c>
      <c r="L22" s="1">
        <v>7</v>
      </c>
    </row>
    <row r="23" spans="1:12" x14ac:dyDescent="0.35">
      <c r="A23" s="15" t="s">
        <v>153</v>
      </c>
      <c r="B23" s="16" t="s">
        <v>183</v>
      </c>
      <c r="C23" s="15">
        <v>98</v>
      </c>
      <c r="D23" s="18">
        <v>3.61</v>
      </c>
      <c r="E23" s="15">
        <v>23</v>
      </c>
      <c r="F23" s="15">
        <v>0</v>
      </c>
      <c r="G23" s="15">
        <v>100</v>
      </c>
      <c r="H23" s="15">
        <v>850</v>
      </c>
      <c r="I23" s="15">
        <v>76.19</v>
      </c>
      <c r="J23" s="17">
        <v>3</v>
      </c>
      <c r="K23" s="1">
        <v>0</v>
      </c>
      <c r="L23" s="1">
        <v>0</v>
      </c>
    </row>
    <row r="24" spans="1:12" x14ac:dyDescent="0.35">
      <c r="A24" s="15" t="s">
        <v>153</v>
      </c>
      <c r="B24" s="23" t="s">
        <v>183</v>
      </c>
      <c r="C24" s="15">
        <v>80</v>
      </c>
      <c r="D24" s="18">
        <v>6.89</v>
      </c>
      <c r="E24" s="15">
        <v>24.3</v>
      </c>
      <c r="F24" s="15">
        <v>0.87</v>
      </c>
      <c r="G24" s="15">
        <v>100</v>
      </c>
      <c r="H24" s="15">
        <v>560</v>
      </c>
      <c r="I24" s="15">
        <v>100</v>
      </c>
      <c r="J24" s="17">
        <v>3</v>
      </c>
      <c r="K24" s="1">
        <v>2</v>
      </c>
      <c r="L24" s="1">
        <v>2</v>
      </c>
    </row>
    <row r="25" spans="1:12" x14ac:dyDescent="0.35">
      <c r="A25" s="15" t="s">
        <v>153</v>
      </c>
      <c r="B25" s="23" t="s">
        <v>185</v>
      </c>
      <c r="C25" s="15">
        <v>80</v>
      </c>
      <c r="D25" s="36">
        <v>14.7</v>
      </c>
      <c r="E25" s="15">
        <v>24.13</v>
      </c>
      <c r="F25" s="15">
        <v>2.1</v>
      </c>
      <c r="G25" s="15">
        <v>100</v>
      </c>
      <c r="H25" s="15">
        <v>850</v>
      </c>
      <c r="I25" s="15">
        <v>100</v>
      </c>
      <c r="J25" s="17">
        <v>1</v>
      </c>
      <c r="K25" s="1">
        <v>3</v>
      </c>
      <c r="L25" s="1">
        <v>11</v>
      </c>
    </row>
    <row r="26" spans="1:12" x14ac:dyDescent="0.35">
      <c r="A26" s="15" t="s">
        <v>153</v>
      </c>
      <c r="B26" s="23" t="s">
        <v>185</v>
      </c>
      <c r="C26" s="15">
        <v>99</v>
      </c>
      <c r="D26" s="36">
        <v>12.46</v>
      </c>
      <c r="E26" s="15">
        <v>22.9</v>
      </c>
      <c r="F26" s="15">
        <v>0</v>
      </c>
      <c r="G26" s="15">
        <v>100</v>
      </c>
      <c r="H26" s="15">
        <v>560</v>
      </c>
      <c r="I26" s="15">
        <v>95.24</v>
      </c>
      <c r="J26" s="17">
        <v>1</v>
      </c>
      <c r="K26" s="1">
        <v>4</v>
      </c>
      <c r="L26" s="1">
        <v>5</v>
      </c>
    </row>
    <row r="27" spans="1:12" x14ac:dyDescent="0.35">
      <c r="A27" s="15" t="s">
        <v>153</v>
      </c>
      <c r="B27" s="16" t="s">
        <v>185</v>
      </c>
      <c r="C27" s="15">
        <v>99</v>
      </c>
      <c r="D27" s="18">
        <v>8.2799999999999994</v>
      </c>
      <c r="E27" s="15">
        <v>24.2</v>
      </c>
      <c r="F27" s="15">
        <v>0</v>
      </c>
      <c r="G27" s="15">
        <v>100</v>
      </c>
      <c r="H27" s="15">
        <v>850</v>
      </c>
      <c r="I27" s="15">
        <v>76.19</v>
      </c>
      <c r="J27" s="17">
        <v>1</v>
      </c>
      <c r="K27" s="1">
        <v>0</v>
      </c>
      <c r="L27" s="1">
        <v>0</v>
      </c>
    </row>
    <row r="28" spans="1:12" x14ac:dyDescent="0.35">
      <c r="A28" s="15" t="s">
        <v>153</v>
      </c>
      <c r="B28" s="16" t="s">
        <v>185</v>
      </c>
      <c r="C28" s="15">
        <v>99</v>
      </c>
      <c r="D28" s="18">
        <v>7.19</v>
      </c>
      <c r="E28" s="15">
        <v>23.4</v>
      </c>
      <c r="F28" s="15">
        <v>1.5</v>
      </c>
      <c r="G28" s="15">
        <v>100</v>
      </c>
      <c r="H28" s="15">
        <v>560</v>
      </c>
      <c r="I28" s="15">
        <v>76.19</v>
      </c>
      <c r="J28" s="17">
        <v>1</v>
      </c>
      <c r="K28" s="1">
        <v>0</v>
      </c>
      <c r="L28" s="1">
        <v>0</v>
      </c>
    </row>
    <row r="29" spans="1:12" x14ac:dyDescent="0.35">
      <c r="A29" s="15" t="s">
        <v>153</v>
      </c>
      <c r="B29" s="23" t="s">
        <v>186</v>
      </c>
      <c r="C29" s="15">
        <v>95</v>
      </c>
      <c r="D29" s="18">
        <v>1.44</v>
      </c>
      <c r="E29" s="15">
        <v>25.1</v>
      </c>
      <c r="F29" s="15">
        <v>0</v>
      </c>
      <c r="G29" s="15">
        <v>100</v>
      </c>
      <c r="H29" s="15">
        <v>850</v>
      </c>
      <c r="I29" s="15">
        <v>76.19</v>
      </c>
      <c r="J29" s="17">
        <v>6</v>
      </c>
      <c r="K29" s="1">
        <v>2</v>
      </c>
      <c r="L29" s="1">
        <v>7</v>
      </c>
    </row>
    <row r="30" spans="1:12" x14ac:dyDescent="0.35">
      <c r="A30" s="15" t="s">
        <v>153</v>
      </c>
      <c r="B30" s="23" t="s">
        <v>186</v>
      </c>
      <c r="C30" s="15">
        <v>99</v>
      </c>
      <c r="D30" s="18">
        <v>0.54</v>
      </c>
      <c r="E30" s="15">
        <v>21.9</v>
      </c>
      <c r="F30" s="15">
        <v>0</v>
      </c>
      <c r="G30" s="15">
        <v>100</v>
      </c>
      <c r="H30" s="15">
        <v>560</v>
      </c>
      <c r="I30" s="15">
        <v>76.19</v>
      </c>
      <c r="J30" s="17">
        <v>6</v>
      </c>
      <c r="K30" s="1">
        <v>3</v>
      </c>
      <c r="L30" s="1">
        <v>3</v>
      </c>
    </row>
    <row r="31" spans="1:12" x14ac:dyDescent="0.35">
      <c r="A31" s="15" t="s">
        <v>153</v>
      </c>
      <c r="B31" s="23" t="s">
        <v>186</v>
      </c>
      <c r="C31" s="15">
        <v>99</v>
      </c>
      <c r="D31" s="18">
        <v>0.63</v>
      </c>
      <c r="E31" s="15">
        <v>25.1</v>
      </c>
      <c r="F31" s="15">
        <v>0</v>
      </c>
      <c r="G31" s="15">
        <v>100</v>
      </c>
      <c r="H31" s="15">
        <v>850</v>
      </c>
      <c r="I31" s="15">
        <v>95.24</v>
      </c>
      <c r="J31" s="17">
        <v>6</v>
      </c>
      <c r="K31" s="1">
        <v>3</v>
      </c>
      <c r="L31" s="1">
        <v>8</v>
      </c>
    </row>
    <row r="32" spans="1:12" x14ac:dyDescent="0.35">
      <c r="A32" s="15" t="s">
        <v>153</v>
      </c>
      <c r="B32" s="23" t="s">
        <v>186</v>
      </c>
      <c r="C32" s="15">
        <v>99</v>
      </c>
      <c r="D32" s="18">
        <v>1.67</v>
      </c>
      <c r="E32" s="15">
        <v>25.2</v>
      </c>
      <c r="F32" s="15">
        <v>0</v>
      </c>
      <c r="G32" s="15">
        <v>100</v>
      </c>
      <c r="H32" s="15">
        <v>560</v>
      </c>
      <c r="I32" s="15">
        <v>14.29</v>
      </c>
      <c r="J32" s="17">
        <v>6</v>
      </c>
      <c r="K32" s="1">
        <v>3</v>
      </c>
      <c r="L32" s="1">
        <v>4</v>
      </c>
    </row>
    <row r="33" spans="1:12" x14ac:dyDescent="0.35">
      <c r="A33" s="15" t="s">
        <v>158</v>
      </c>
      <c r="B33" s="23" t="s">
        <v>176</v>
      </c>
      <c r="C33" s="15">
        <v>96</v>
      </c>
      <c r="D33" s="18">
        <v>1.1399999999999999</v>
      </c>
      <c r="E33" s="15">
        <v>26.4</v>
      </c>
      <c r="F33" s="15">
        <v>0</v>
      </c>
      <c r="G33" s="15">
        <v>22</v>
      </c>
      <c r="H33" s="15">
        <v>450</v>
      </c>
      <c r="I33" s="15">
        <v>71.42</v>
      </c>
      <c r="J33" s="17">
        <v>4</v>
      </c>
      <c r="K33" s="1">
        <v>4</v>
      </c>
      <c r="L33" s="1">
        <v>7</v>
      </c>
    </row>
    <row r="34" spans="1:12" x14ac:dyDescent="0.35">
      <c r="A34" s="15" t="s">
        <v>158</v>
      </c>
      <c r="B34" s="23" t="s">
        <v>179</v>
      </c>
      <c r="C34" s="15">
        <v>89</v>
      </c>
      <c r="D34" s="18">
        <v>2.74</v>
      </c>
      <c r="E34" s="15">
        <v>23.5</v>
      </c>
      <c r="F34" s="15">
        <v>0</v>
      </c>
      <c r="G34" s="15">
        <v>0</v>
      </c>
      <c r="H34" s="15">
        <v>600</v>
      </c>
      <c r="I34" s="15">
        <v>95.24</v>
      </c>
      <c r="J34" s="17">
        <v>5</v>
      </c>
      <c r="K34" s="1">
        <v>13</v>
      </c>
      <c r="L34" s="1">
        <v>16</v>
      </c>
    </row>
    <row r="35" spans="1:12" x14ac:dyDescent="0.35">
      <c r="A35" s="15" t="s">
        <v>158</v>
      </c>
      <c r="B35" s="23" t="s">
        <v>179</v>
      </c>
      <c r="C35" s="15">
        <v>87</v>
      </c>
      <c r="D35" s="18">
        <v>0.03</v>
      </c>
      <c r="E35" s="15">
        <v>23.2</v>
      </c>
      <c r="F35" s="15">
        <v>0</v>
      </c>
      <c r="G35" s="15">
        <v>100</v>
      </c>
      <c r="H35" s="15">
        <v>450</v>
      </c>
      <c r="I35" s="15">
        <v>71.42</v>
      </c>
      <c r="J35" s="17">
        <v>5</v>
      </c>
      <c r="K35" s="1">
        <v>3</v>
      </c>
      <c r="L35" s="1">
        <v>3</v>
      </c>
    </row>
    <row r="36" spans="1:12" x14ac:dyDescent="0.35">
      <c r="A36" s="15" t="s">
        <v>158</v>
      </c>
      <c r="B36" s="23" t="s">
        <v>179</v>
      </c>
      <c r="C36" s="15">
        <v>85</v>
      </c>
      <c r="D36" s="18">
        <v>0.04</v>
      </c>
      <c r="E36" s="15">
        <v>23.2</v>
      </c>
      <c r="F36" s="15">
        <v>0</v>
      </c>
      <c r="G36" s="15">
        <v>50</v>
      </c>
      <c r="H36" s="15">
        <v>600</v>
      </c>
      <c r="I36" s="15">
        <v>100</v>
      </c>
      <c r="J36" s="17">
        <v>5</v>
      </c>
      <c r="K36" s="1">
        <v>1</v>
      </c>
      <c r="L36" s="1">
        <v>1</v>
      </c>
    </row>
    <row r="37" spans="1:12" x14ac:dyDescent="0.35">
      <c r="A37" s="15" t="s">
        <v>158</v>
      </c>
      <c r="B37" s="23" t="s">
        <v>180</v>
      </c>
      <c r="C37" s="15">
        <v>88</v>
      </c>
      <c r="D37" s="18">
        <v>0.69</v>
      </c>
      <c r="E37" s="15">
        <v>23.4</v>
      </c>
      <c r="F37" s="15">
        <v>6</v>
      </c>
      <c r="G37" s="15">
        <v>100</v>
      </c>
      <c r="H37" s="15">
        <v>600</v>
      </c>
      <c r="I37" s="15">
        <v>100</v>
      </c>
      <c r="J37" s="17">
        <v>5</v>
      </c>
      <c r="K37" s="1">
        <v>8</v>
      </c>
      <c r="L37" s="1">
        <v>9</v>
      </c>
    </row>
    <row r="38" spans="1:12" x14ac:dyDescent="0.35">
      <c r="A38" s="15" t="s">
        <v>158</v>
      </c>
      <c r="B38" s="23" t="s">
        <v>180</v>
      </c>
      <c r="C38" s="15">
        <v>88</v>
      </c>
      <c r="D38" s="18">
        <v>1.86</v>
      </c>
      <c r="E38" s="15">
        <v>27.2</v>
      </c>
      <c r="F38" s="15">
        <v>0.6</v>
      </c>
      <c r="G38" s="15">
        <v>100</v>
      </c>
      <c r="H38" s="15">
        <v>600</v>
      </c>
      <c r="I38" s="15">
        <v>100</v>
      </c>
      <c r="J38" s="17">
        <v>5</v>
      </c>
      <c r="K38" s="1">
        <v>4</v>
      </c>
      <c r="L38" s="1">
        <v>4</v>
      </c>
    </row>
    <row r="39" spans="1:12" x14ac:dyDescent="0.35">
      <c r="A39" s="15" t="s">
        <v>158</v>
      </c>
      <c r="B39" s="23" t="s">
        <v>181</v>
      </c>
      <c r="C39" s="15">
        <v>80</v>
      </c>
      <c r="D39" s="18">
        <v>51.6</v>
      </c>
      <c r="E39" s="15">
        <v>28.7</v>
      </c>
      <c r="F39" s="15">
        <v>2.5</v>
      </c>
      <c r="G39" s="15">
        <v>0</v>
      </c>
      <c r="H39" s="15">
        <v>600</v>
      </c>
      <c r="I39" s="15">
        <v>100</v>
      </c>
      <c r="J39" s="17">
        <v>3</v>
      </c>
      <c r="K39" s="1">
        <v>5</v>
      </c>
      <c r="L39" s="1">
        <v>5</v>
      </c>
    </row>
    <row r="40" spans="1:12" x14ac:dyDescent="0.35">
      <c r="A40" s="15" t="s">
        <v>158</v>
      </c>
      <c r="B40" s="23" t="s">
        <v>182</v>
      </c>
      <c r="C40" s="15">
        <v>71</v>
      </c>
      <c r="D40" s="18">
        <v>7.17</v>
      </c>
      <c r="E40" s="15">
        <v>26.1</v>
      </c>
      <c r="F40" s="15">
        <v>1.9</v>
      </c>
      <c r="G40" s="15">
        <v>0</v>
      </c>
      <c r="H40" s="15">
        <v>600</v>
      </c>
      <c r="I40" s="15">
        <v>100</v>
      </c>
      <c r="J40" s="17">
        <v>3</v>
      </c>
      <c r="K40" s="1">
        <v>9</v>
      </c>
      <c r="L40" s="1">
        <v>11</v>
      </c>
    </row>
    <row r="41" spans="1:12" x14ac:dyDescent="0.35">
      <c r="A41" s="15" t="s">
        <v>158</v>
      </c>
      <c r="B41" s="23" t="s">
        <v>182</v>
      </c>
      <c r="C41" s="15">
        <v>54</v>
      </c>
      <c r="D41" s="18">
        <v>10.85</v>
      </c>
      <c r="E41" s="15">
        <v>28.3</v>
      </c>
      <c r="F41" s="15">
        <v>1.45</v>
      </c>
      <c r="G41" s="15">
        <v>35</v>
      </c>
      <c r="H41" s="15">
        <v>600</v>
      </c>
      <c r="I41" s="15">
        <v>100</v>
      </c>
      <c r="J41" s="17">
        <v>3</v>
      </c>
      <c r="K41" s="1">
        <v>4</v>
      </c>
      <c r="L41" s="1">
        <v>4</v>
      </c>
    </row>
    <row r="42" spans="1:12" x14ac:dyDescent="0.35">
      <c r="A42" s="15" t="s">
        <v>158</v>
      </c>
      <c r="B42" s="23" t="s">
        <v>184</v>
      </c>
      <c r="C42" s="1">
        <v>72</v>
      </c>
      <c r="D42" s="1">
        <v>17.850000000000001</v>
      </c>
      <c r="E42" s="1">
        <v>26.9</v>
      </c>
      <c r="F42" s="1">
        <v>1.6</v>
      </c>
      <c r="G42" s="1">
        <v>90</v>
      </c>
      <c r="H42" s="1">
        <v>600</v>
      </c>
      <c r="I42" s="1">
        <v>100</v>
      </c>
      <c r="J42" s="17">
        <v>2</v>
      </c>
      <c r="K42" s="1">
        <v>2</v>
      </c>
      <c r="L42" s="1">
        <v>3</v>
      </c>
    </row>
    <row r="43" spans="1:12" x14ac:dyDescent="0.35">
      <c r="A43" s="15" t="s">
        <v>158</v>
      </c>
      <c r="B43" s="23" t="s">
        <v>184</v>
      </c>
      <c r="C43" s="15">
        <v>66</v>
      </c>
      <c r="D43" s="18">
        <v>6.27</v>
      </c>
      <c r="E43" s="15">
        <v>26.2</v>
      </c>
      <c r="F43" s="15">
        <v>0.8</v>
      </c>
      <c r="G43" s="15">
        <v>100</v>
      </c>
      <c r="H43" s="15">
        <v>600</v>
      </c>
      <c r="I43" s="15">
        <v>71.42</v>
      </c>
      <c r="J43" s="17">
        <v>2</v>
      </c>
      <c r="K43" s="1">
        <v>1</v>
      </c>
      <c r="L43" s="1">
        <v>1</v>
      </c>
    </row>
    <row r="44" spans="1:12" x14ac:dyDescent="0.35">
      <c r="A44" s="15" t="s">
        <v>158</v>
      </c>
      <c r="B44" s="23" t="s">
        <v>183</v>
      </c>
      <c r="C44" s="15">
        <v>99</v>
      </c>
      <c r="D44" s="18">
        <v>29.59</v>
      </c>
      <c r="E44" s="15">
        <v>24.9</v>
      </c>
      <c r="F44" s="15">
        <v>0.65</v>
      </c>
      <c r="G44" s="15">
        <v>99</v>
      </c>
      <c r="H44" s="15">
        <v>600</v>
      </c>
      <c r="I44" s="15">
        <v>95.24</v>
      </c>
      <c r="J44" s="17">
        <v>3</v>
      </c>
      <c r="K44" s="1">
        <v>4</v>
      </c>
      <c r="L44" s="1">
        <v>7</v>
      </c>
    </row>
    <row r="45" spans="1:12" x14ac:dyDescent="0.35">
      <c r="A45" s="15" t="s">
        <v>158</v>
      </c>
      <c r="B45" s="23" t="s">
        <v>183</v>
      </c>
      <c r="C45" s="15">
        <v>74</v>
      </c>
      <c r="D45" s="18">
        <v>1.52</v>
      </c>
      <c r="E45" s="15">
        <v>19.829999999999998</v>
      </c>
      <c r="F45" s="15">
        <v>0.85</v>
      </c>
      <c r="G45" s="15">
        <v>100</v>
      </c>
      <c r="H45" s="15">
        <v>600</v>
      </c>
      <c r="I45" s="15">
        <v>95.24</v>
      </c>
      <c r="J45" s="17">
        <v>3</v>
      </c>
      <c r="K45" s="1">
        <v>2</v>
      </c>
      <c r="L45" s="1">
        <v>2</v>
      </c>
    </row>
    <row r="46" spans="1:12" x14ac:dyDescent="0.35">
      <c r="A46" s="15" t="s">
        <v>158</v>
      </c>
      <c r="B46" s="23" t="s">
        <v>185</v>
      </c>
      <c r="C46" s="15">
        <v>99</v>
      </c>
      <c r="D46" s="18">
        <v>27.94</v>
      </c>
      <c r="E46" s="15">
        <v>22.3</v>
      </c>
      <c r="F46" s="15">
        <v>1.2</v>
      </c>
      <c r="G46" s="15">
        <v>100</v>
      </c>
      <c r="H46" s="15">
        <v>600</v>
      </c>
      <c r="I46" s="15">
        <v>95.24</v>
      </c>
      <c r="J46" s="17">
        <v>1</v>
      </c>
      <c r="K46" s="1">
        <v>5</v>
      </c>
      <c r="L46" s="1">
        <v>15</v>
      </c>
    </row>
    <row r="47" spans="1:12" x14ac:dyDescent="0.35">
      <c r="A47" s="15" t="s">
        <v>158</v>
      </c>
      <c r="B47" s="23" t="s">
        <v>185</v>
      </c>
      <c r="C47" s="15">
        <v>80</v>
      </c>
      <c r="D47" s="18">
        <v>6.81</v>
      </c>
      <c r="E47" s="15">
        <v>19.03</v>
      </c>
      <c r="F47" s="15">
        <v>1.8</v>
      </c>
      <c r="G47" s="15">
        <v>100</v>
      </c>
      <c r="H47" s="15">
        <v>600</v>
      </c>
      <c r="I47" s="15">
        <v>100</v>
      </c>
      <c r="J47" s="17">
        <v>1</v>
      </c>
      <c r="K47" s="1">
        <v>2</v>
      </c>
      <c r="L47" s="1">
        <v>4</v>
      </c>
    </row>
    <row r="48" spans="1:12" x14ac:dyDescent="0.35">
      <c r="A48" s="15" t="s">
        <v>158</v>
      </c>
      <c r="B48" s="23" t="s">
        <v>186</v>
      </c>
      <c r="C48" s="15">
        <v>95</v>
      </c>
      <c r="D48" s="18">
        <v>0.4</v>
      </c>
      <c r="E48" s="15">
        <v>17.100000000000001</v>
      </c>
      <c r="F48" s="15">
        <v>0</v>
      </c>
      <c r="G48" s="15">
        <v>0</v>
      </c>
      <c r="H48" s="15">
        <v>600</v>
      </c>
      <c r="I48" s="15">
        <v>100</v>
      </c>
      <c r="J48" s="17">
        <v>6</v>
      </c>
      <c r="K48" s="1">
        <v>10</v>
      </c>
      <c r="L48" s="1">
        <v>33</v>
      </c>
    </row>
    <row r="49" spans="1:12" x14ac:dyDescent="0.35">
      <c r="A49" s="15" t="s">
        <v>158</v>
      </c>
      <c r="B49" s="23" t="s">
        <v>186</v>
      </c>
      <c r="C49" s="15">
        <v>95</v>
      </c>
      <c r="D49" s="18">
        <v>0.41</v>
      </c>
      <c r="E49" s="15">
        <v>17.100000000000001</v>
      </c>
      <c r="F49" s="15">
        <v>0</v>
      </c>
      <c r="G49" s="15">
        <v>100</v>
      </c>
      <c r="H49" s="15">
        <v>600</v>
      </c>
      <c r="I49" s="15">
        <v>95.24</v>
      </c>
      <c r="J49" s="17">
        <v>6</v>
      </c>
      <c r="K49" s="1">
        <v>8</v>
      </c>
      <c r="L49" s="1">
        <v>11</v>
      </c>
    </row>
    <row r="50" spans="1:12" x14ac:dyDescent="0.35">
      <c r="A50" s="15" t="s">
        <v>158</v>
      </c>
      <c r="B50" s="23" t="s">
        <v>186</v>
      </c>
      <c r="C50" s="15">
        <v>87</v>
      </c>
      <c r="D50" s="18">
        <v>0.16</v>
      </c>
      <c r="E50" s="15">
        <v>20.2</v>
      </c>
      <c r="F50" s="15">
        <v>0</v>
      </c>
      <c r="G50" s="15">
        <v>100</v>
      </c>
      <c r="H50" s="15">
        <v>600</v>
      </c>
      <c r="I50" s="15">
        <v>100</v>
      </c>
      <c r="J50" s="17">
        <v>6</v>
      </c>
      <c r="K50" s="1">
        <v>6</v>
      </c>
      <c r="L50" s="1">
        <v>6</v>
      </c>
    </row>
    <row r="51" spans="1:12" x14ac:dyDescent="0.35">
      <c r="A51" s="15" t="s">
        <v>164</v>
      </c>
      <c r="B51" s="23" t="s">
        <v>176</v>
      </c>
      <c r="C51" s="15">
        <v>89</v>
      </c>
      <c r="D51" s="18">
        <v>1.36</v>
      </c>
      <c r="E51" s="15">
        <v>23.18</v>
      </c>
      <c r="F51" s="15">
        <v>0</v>
      </c>
      <c r="G51" s="15">
        <v>100</v>
      </c>
      <c r="H51" s="15">
        <v>800</v>
      </c>
      <c r="I51" s="15">
        <v>100</v>
      </c>
      <c r="J51" s="17">
        <v>4</v>
      </c>
      <c r="K51" s="1">
        <v>8</v>
      </c>
      <c r="L51" s="1">
        <v>11</v>
      </c>
    </row>
    <row r="52" spans="1:12" x14ac:dyDescent="0.35">
      <c r="A52" s="15" t="s">
        <v>164</v>
      </c>
      <c r="B52" s="23" t="s">
        <v>177</v>
      </c>
      <c r="C52" s="15">
        <v>94</v>
      </c>
      <c r="D52" s="18">
        <v>7.68</v>
      </c>
      <c r="E52" s="15">
        <v>26.7</v>
      </c>
      <c r="F52" s="15">
        <v>0.75</v>
      </c>
      <c r="G52" s="15">
        <v>100</v>
      </c>
      <c r="H52" s="15">
        <v>800</v>
      </c>
      <c r="I52" s="15">
        <v>100</v>
      </c>
      <c r="J52" s="17">
        <v>3</v>
      </c>
      <c r="K52" s="1">
        <v>6</v>
      </c>
      <c r="L52" s="1">
        <v>8</v>
      </c>
    </row>
    <row r="53" spans="1:12" x14ac:dyDescent="0.35">
      <c r="A53" s="15" t="s">
        <v>164</v>
      </c>
      <c r="B53" s="23" t="s">
        <v>179</v>
      </c>
      <c r="C53" s="15">
        <v>91</v>
      </c>
      <c r="D53" s="18">
        <v>1.1499999999999999</v>
      </c>
      <c r="E53" s="15">
        <v>24.4</v>
      </c>
      <c r="F53" s="15">
        <v>0</v>
      </c>
      <c r="G53" s="15">
        <v>100</v>
      </c>
      <c r="H53" s="15">
        <v>400</v>
      </c>
      <c r="I53" s="15">
        <v>95.24</v>
      </c>
      <c r="J53" s="17">
        <v>5</v>
      </c>
      <c r="K53" s="1">
        <v>8</v>
      </c>
      <c r="L53" s="1">
        <v>8</v>
      </c>
    </row>
    <row r="54" spans="1:12" x14ac:dyDescent="0.35">
      <c r="A54" s="15" t="s">
        <v>164</v>
      </c>
      <c r="B54" s="23" t="s">
        <v>179</v>
      </c>
      <c r="C54" s="15">
        <v>85</v>
      </c>
      <c r="D54" s="18">
        <v>1.3</v>
      </c>
      <c r="E54" s="15">
        <v>24.4</v>
      </c>
      <c r="F54" s="15">
        <v>0</v>
      </c>
      <c r="G54" s="15">
        <v>100</v>
      </c>
      <c r="H54" s="15">
        <v>800</v>
      </c>
      <c r="I54" s="15">
        <v>100</v>
      </c>
      <c r="J54" s="17">
        <v>5</v>
      </c>
      <c r="K54" s="1">
        <v>8</v>
      </c>
      <c r="L54" s="1">
        <v>8</v>
      </c>
    </row>
    <row r="55" spans="1:12" x14ac:dyDescent="0.35">
      <c r="A55" s="15" t="s">
        <v>164</v>
      </c>
      <c r="B55" s="23" t="s">
        <v>180</v>
      </c>
      <c r="C55" s="15">
        <v>91</v>
      </c>
      <c r="D55" s="18">
        <v>0.57999999999999996</v>
      </c>
      <c r="E55" s="15">
        <v>26.4</v>
      </c>
      <c r="F55" s="15">
        <v>0</v>
      </c>
      <c r="G55" s="15">
        <v>100</v>
      </c>
      <c r="H55" s="15">
        <v>700</v>
      </c>
      <c r="I55" s="15">
        <v>76.19</v>
      </c>
      <c r="J55" s="17">
        <v>5</v>
      </c>
      <c r="K55" s="1">
        <v>10</v>
      </c>
      <c r="L55" s="1">
        <v>10</v>
      </c>
    </row>
    <row r="56" spans="1:12" x14ac:dyDescent="0.35">
      <c r="A56" s="15" t="s">
        <v>164</v>
      </c>
      <c r="B56" s="23" t="s">
        <v>180</v>
      </c>
      <c r="C56" s="15">
        <v>91</v>
      </c>
      <c r="D56" s="18">
        <v>0.81</v>
      </c>
      <c r="E56" s="15">
        <v>23.28</v>
      </c>
      <c r="F56" s="15">
        <v>0</v>
      </c>
      <c r="G56" s="15">
        <v>100</v>
      </c>
      <c r="H56" s="15">
        <v>400</v>
      </c>
      <c r="I56" s="15">
        <v>100</v>
      </c>
      <c r="J56" s="17">
        <v>5</v>
      </c>
      <c r="K56" s="1">
        <v>5</v>
      </c>
      <c r="L56" s="1">
        <v>5</v>
      </c>
    </row>
    <row r="57" spans="1:12" x14ac:dyDescent="0.35">
      <c r="A57" s="15" t="s">
        <v>164</v>
      </c>
      <c r="B57" s="23" t="s">
        <v>181</v>
      </c>
      <c r="C57" s="15">
        <v>99</v>
      </c>
      <c r="D57" s="18">
        <v>85.6</v>
      </c>
      <c r="E57" s="15">
        <v>28.5</v>
      </c>
      <c r="F57" s="15">
        <v>1.2</v>
      </c>
      <c r="G57" s="15">
        <v>100</v>
      </c>
      <c r="H57" s="15">
        <v>700</v>
      </c>
      <c r="I57" s="15">
        <v>95.24</v>
      </c>
      <c r="J57" s="17">
        <v>3</v>
      </c>
      <c r="K57" s="1">
        <v>1</v>
      </c>
      <c r="L57" s="1">
        <v>1</v>
      </c>
    </row>
    <row r="58" spans="1:12" x14ac:dyDescent="0.35">
      <c r="A58" s="15" t="s">
        <v>164</v>
      </c>
      <c r="B58" s="23" t="s">
        <v>181</v>
      </c>
      <c r="C58" s="15">
        <v>91</v>
      </c>
      <c r="D58" s="18">
        <v>13.15</v>
      </c>
      <c r="E58" s="15">
        <v>26.13</v>
      </c>
      <c r="F58" s="15">
        <v>0</v>
      </c>
      <c r="G58" s="15">
        <v>100</v>
      </c>
      <c r="H58" s="15">
        <v>400</v>
      </c>
      <c r="I58" s="15">
        <v>95.24</v>
      </c>
      <c r="J58" s="17">
        <v>3</v>
      </c>
      <c r="K58" s="1">
        <v>3</v>
      </c>
      <c r="L58" s="1">
        <v>3</v>
      </c>
    </row>
    <row r="59" spans="1:12" x14ac:dyDescent="0.35">
      <c r="A59" s="39" t="s">
        <v>164</v>
      </c>
      <c r="B59" s="40" t="s">
        <v>182</v>
      </c>
      <c r="C59" s="39">
        <v>93</v>
      </c>
      <c r="D59" s="42">
        <v>14.5</v>
      </c>
      <c r="E59" s="39">
        <v>28.73</v>
      </c>
      <c r="F59" s="39">
        <v>0</v>
      </c>
      <c r="G59" s="39">
        <v>100</v>
      </c>
      <c r="H59" s="39">
        <v>400</v>
      </c>
      <c r="I59" s="39">
        <v>100</v>
      </c>
      <c r="J59" s="43">
        <v>3</v>
      </c>
      <c r="K59" s="44">
        <v>6</v>
      </c>
      <c r="L59" s="44">
        <v>9</v>
      </c>
    </row>
    <row r="60" spans="1:12" x14ac:dyDescent="0.35">
      <c r="A60" s="15" t="s">
        <v>164</v>
      </c>
      <c r="B60" s="23" t="s">
        <v>182</v>
      </c>
      <c r="C60" s="15">
        <v>74</v>
      </c>
      <c r="D60" s="18">
        <v>18</v>
      </c>
      <c r="E60" s="15">
        <v>28</v>
      </c>
      <c r="F60" s="15">
        <v>0</v>
      </c>
      <c r="G60" s="15">
        <v>2</v>
      </c>
      <c r="H60" s="15">
        <v>700</v>
      </c>
      <c r="I60" s="15">
        <v>100</v>
      </c>
      <c r="J60" s="17">
        <v>3</v>
      </c>
      <c r="K60" s="1">
        <v>2</v>
      </c>
      <c r="L60" s="1">
        <v>2</v>
      </c>
    </row>
    <row r="61" spans="1:12" x14ac:dyDescent="0.35">
      <c r="A61" s="15" t="s">
        <v>164</v>
      </c>
      <c r="B61" s="23" t="s">
        <v>184</v>
      </c>
      <c r="C61" s="15">
        <v>92</v>
      </c>
      <c r="D61" s="18">
        <v>97.97</v>
      </c>
      <c r="E61" s="15">
        <v>28.73</v>
      </c>
      <c r="F61" s="15">
        <v>0.97</v>
      </c>
      <c r="G61" s="15">
        <v>100</v>
      </c>
      <c r="H61" s="15">
        <v>400</v>
      </c>
      <c r="I61" s="15">
        <v>100</v>
      </c>
      <c r="J61" s="17">
        <v>2</v>
      </c>
      <c r="K61" s="1">
        <v>0</v>
      </c>
      <c r="L61" s="1">
        <v>0</v>
      </c>
    </row>
    <row r="62" spans="1:12" x14ac:dyDescent="0.35">
      <c r="A62" s="15" t="s">
        <v>164</v>
      </c>
      <c r="B62" s="23" t="s">
        <v>184</v>
      </c>
      <c r="C62" s="15">
        <v>70</v>
      </c>
      <c r="D62" s="18">
        <v>5.91</v>
      </c>
      <c r="E62" s="15">
        <v>20.5</v>
      </c>
      <c r="F62" s="15">
        <v>1.5</v>
      </c>
      <c r="G62" s="15">
        <v>2</v>
      </c>
      <c r="H62" s="15">
        <v>700</v>
      </c>
      <c r="I62" s="15">
        <v>100</v>
      </c>
      <c r="J62" s="17">
        <v>2</v>
      </c>
      <c r="K62" s="1">
        <v>3</v>
      </c>
      <c r="L62" s="1">
        <v>3</v>
      </c>
    </row>
    <row r="63" spans="1:12" x14ac:dyDescent="0.35">
      <c r="A63" s="15" t="s">
        <v>164</v>
      </c>
      <c r="B63" s="23" t="s">
        <v>183</v>
      </c>
      <c r="C63" s="15">
        <v>81</v>
      </c>
      <c r="D63" s="18">
        <v>5.23</v>
      </c>
      <c r="E63" s="15">
        <v>27.03</v>
      </c>
      <c r="F63" s="15">
        <v>0</v>
      </c>
      <c r="G63" s="15">
        <v>100</v>
      </c>
      <c r="H63" s="15">
        <v>400</v>
      </c>
      <c r="I63" s="15">
        <v>100</v>
      </c>
      <c r="J63" s="17">
        <v>3</v>
      </c>
      <c r="K63" s="1">
        <v>4</v>
      </c>
      <c r="L63" s="1">
        <v>5</v>
      </c>
    </row>
    <row r="64" spans="1:12" x14ac:dyDescent="0.35">
      <c r="A64" s="15" t="s">
        <v>164</v>
      </c>
      <c r="B64" s="23" t="s">
        <v>185</v>
      </c>
      <c r="C64" s="15">
        <v>72</v>
      </c>
      <c r="D64" s="18">
        <v>4.6399999999999997</v>
      </c>
      <c r="E64" s="15">
        <v>24.9</v>
      </c>
      <c r="F64" s="15">
        <v>3.17</v>
      </c>
      <c r="G64" s="15">
        <v>100</v>
      </c>
      <c r="H64" s="15">
        <v>400</v>
      </c>
      <c r="I64" s="15">
        <v>76.19</v>
      </c>
      <c r="J64" s="17">
        <v>1</v>
      </c>
      <c r="K64" s="1">
        <v>2</v>
      </c>
      <c r="L64" s="1">
        <v>4</v>
      </c>
    </row>
    <row r="65" spans="1:12" x14ac:dyDescent="0.35">
      <c r="A65" s="15" t="s">
        <v>164</v>
      </c>
      <c r="B65" s="23" t="s">
        <v>186</v>
      </c>
      <c r="C65" s="15">
        <v>83</v>
      </c>
      <c r="D65" s="18">
        <v>0.20499999999999999</v>
      </c>
      <c r="E65" s="15">
        <v>24.8</v>
      </c>
      <c r="F65" s="15">
        <v>0</v>
      </c>
      <c r="G65" s="15">
        <v>100</v>
      </c>
      <c r="H65" s="15">
        <v>400</v>
      </c>
      <c r="I65" s="15">
        <v>76.19</v>
      </c>
      <c r="J65" s="17">
        <v>6</v>
      </c>
      <c r="K65" s="1">
        <v>0</v>
      </c>
      <c r="L65" s="1">
        <v>0</v>
      </c>
    </row>
    <row r="66" spans="1:12" x14ac:dyDescent="0.35">
      <c r="A66" s="15" t="s">
        <v>168</v>
      </c>
      <c r="B66" s="15" t="s">
        <v>176</v>
      </c>
      <c r="C66" s="15">
        <v>92</v>
      </c>
      <c r="D66" s="18">
        <v>0.14000000000000001</v>
      </c>
      <c r="E66" s="15">
        <v>22.5</v>
      </c>
      <c r="F66" s="15">
        <v>0</v>
      </c>
      <c r="G66" s="15">
        <v>100</v>
      </c>
      <c r="H66" s="15">
        <v>400</v>
      </c>
      <c r="I66" s="15">
        <v>95.24</v>
      </c>
      <c r="J66" s="17">
        <v>4</v>
      </c>
      <c r="K66" s="1">
        <v>6</v>
      </c>
      <c r="L66" s="1">
        <v>11</v>
      </c>
    </row>
    <row r="67" spans="1:12" x14ac:dyDescent="0.35">
      <c r="A67" s="15" t="s">
        <v>168</v>
      </c>
      <c r="B67" s="15" t="s">
        <v>177</v>
      </c>
      <c r="C67" s="15">
        <v>97</v>
      </c>
      <c r="D67" s="18">
        <v>4.5999999999999996</v>
      </c>
      <c r="E67" s="15">
        <v>24.3</v>
      </c>
      <c r="F67" s="15">
        <v>0</v>
      </c>
      <c r="G67" s="15">
        <v>100</v>
      </c>
      <c r="H67" s="15">
        <v>400</v>
      </c>
      <c r="I67" s="15">
        <v>95.24</v>
      </c>
      <c r="J67" s="17">
        <v>3</v>
      </c>
      <c r="K67" s="1">
        <v>17</v>
      </c>
      <c r="L67" s="1">
        <v>24</v>
      </c>
    </row>
    <row r="68" spans="1:12" x14ac:dyDescent="0.35">
      <c r="A68" s="15" t="s">
        <v>168</v>
      </c>
      <c r="B68" s="15" t="s">
        <v>179</v>
      </c>
      <c r="C68" s="15">
        <v>99</v>
      </c>
      <c r="D68" s="18">
        <v>24.2</v>
      </c>
      <c r="E68" s="15">
        <v>26.1</v>
      </c>
      <c r="F68" s="15">
        <v>0</v>
      </c>
      <c r="G68" s="15">
        <v>35</v>
      </c>
      <c r="H68" s="15">
        <v>400</v>
      </c>
      <c r="I68" s="15">
        <v>100</v>
      </c>
      <c r="J68" s="17">
        <v>5</v>
      </c>
      <c r="K68" s="1">
        <v>11</v>
      </c>
      <c r="L68" s="1">
        <v>11</v>
      </c>
    </row>
    <row r="69" spans="1:12" x14ac:dyDescent="0.35">
      <c r="A69" s="15" t="s">
        <v>168</v>
      </c>
      <c r="B69" s="15" t="s">
        <v>179</v>
      </c>
      <c r="C69" s="15">
        <v>84</v>
      </c>
      <c r="D69" s="18">
        <v>0.17</v>
      </c>
      <c r="E69" s="15">
        <v>24</v>
      </c>
      <c r="F69" s="15">
        <v>0</v>
      </c>
      <c r="G69" s="15">
        <v>100</v>
      </c>
      <c r="H69" s="15">
        <v>400</v>
      </c>
      <c r="I69" s="15">
        <v>52.38</v>
      </c>
      <c r="J69" s="17">
        <v>5</v>
      </c>
      <c r="K69" s="1">
        <v>2</v>
      </c>
      <c r="L69" s="1">
        <v>2</v>
      </c>
    </row>
    <row r="70" spans="1:12" x14ac:dyDescent="0.35">
      <c r="A70" s="15" t="s">
        <v>168</v>
      </c>
      <c r="B70" s="15" t="s">
        <v>180</v>
      </c>
      <c r="C70" s="15">
        <v>97</v>
      </c>
      <c r="D70" s="18">
        <v>1.08</v>
      </c>
      <c r="E70" s="15">
        <v>25.4</v>
      </c>
      <c r="F70" s="15">
        <v>0</v>
      </c>
      <c r="G70" s="15">
        <v>65</v>
      </c>
      <c r="H70" s="15">
        <v>400</v>
      </c>
      <c r="I70" s="15">
        <v>100</v>
      </c>
      <c r="J70" s="17">
        <v>5</v>
      </c>
      <c r="K70" s="1">
        <v>9</v>
      </c>
      <c r="L70" s="1">
        <v>9</v>
      </c>
    </row>
    <row r="71" spans="1:12" x14ac:dyDescent="0.35">
      <c r="A71" s="15" t="s">
        <v>168</v>
      </c>
      <c r="B71" s="1" t="s">
        <v>180</v>
      </c>
      <c r="C71" s="1">
        <v>80</v>
      </c>
      <c r="D71" s="46">
        <v>0.04</v>
      </c>
      <c r="E71" s="1">
        <v>25.3</v>
      </c>
      <c r="F71" s="1">
        <v>0</v>
      </c>
      <c r="G71" s="1">
        <v>100</v>
      </c>
      <c r="H71" s="1">
        <v>400</v>
      </c>
      <c r="I71" s="1">
        <v>52.38</v>
      </c>
      <c r="J71" s="2">
        <v>5</v>
      </c>
      <c r="K71" s="1">
        <v>0</v>
      </c>
      <c r="L71" s="1">
        <v>0</v>
      </c>
    </row>
    <row r="72" spans="1:12" x14ac:dyDescent="0.35">
      <c r="A72" s="15" t="s">
        <v>168</v>
      </c>
      <c r="B72" s="1" t="s">
        <v>181</v>
      </c>
      <c r="C72" s="1">
        <v>87</v>
      </c>
      <c r="D72" s="46">
        <v>9.8000000000000007</v>
      </c>
      <c r="E72" s="1">
        <v>34.5</v>
      </c>
      <c r="F72" s="1">
        <v>0</v>
      </c>
      <c r="G72" s="1">
        <v>0</v>
      </c>
      <c r="H72" s="1">
        <v>400</v>
      </c>
      <c r="I72" s="1">
        <v>100</v>
      </c>
      <c r="J72" s="2">
        <v>3</v>
      </c>
      <c r="K72" s="1">
        <v>3</v>
      </c>
      <c r="L72" s="1">
        <v>3</v>
      </c>
    </row>
    <row r="73" spans="1:12" x14ac:dyDescent="0.35">
      <c r="A73" s="15" t="s">
        <v>168</v>
      </c>
      <c r="B73" s="1" t="s">
        <v>181</v>
      </c>
      <c r="C73" s="1">
        <v>80</v>
      </c>
      <c r="D73" s="46">
        <v>1.5</v>
      </c>
      <c r="E73" s="1">
        <v>26.9</v>
      </c>
      <c r="F73" s="1">
        <v>0</v>
      </c>
      <c r="G73" s="1">
        <v>100</v>
      </c>
      <c r="H73" s="1">
        <v>400</v>
      </c>
      <c r="I73" s="1">
        <v>47.62</v>
      </c>
      <c r="J73" s="2">
        <v>3</v>
      </c>
      <c r="K73" s="1">
        <v>3</v>
      </c>
      <c r="L73" s="1">
        <v>4</v>
      </c>
    </row>
    <row r="74" spans="1:12" x14ac:dyDescent="0.35">
      <c r="A74" s="15" t="s">
        <v>168</v>
      </c>
      <c r="B74" s="1" t="s">
        <v>182</v>
      </c>
      <c r="C74" s="1">
        <v>81</v>
      </c>
      <c r="D74" s="46">
        <v>36.6</v>
      </c>
      <c r="E74" s="1">
        <v>31.4</v>
      </c>
      <c r="F74" s="1">
        <v>0.8</v>
      </c>
      <c r="G74" s="1">
        <v>96</v>
      </c>
      <c r="H74" s="1">
        <v>400</v>
      </c>
      <c r="I74" s="1">
        <v>100</v>
      </c>
      <c r="J74" s="2">
        <v>3</v>
      </c>
      <c r="K74" s="1">
        <v>7</v>
      </c>
      <c r="L74" s="1">
        <v>7</v>
      </c>
    </row>
    <row r="75" spans="1:12" x14ac:dyDescent="0.35">
      <c r="A75" s="15" t="s">
        <v>168</v>
      </c>
      <c r="B75" s="1" t="s">
        <v>182</v>
      </c>
      <c r="C75" s="1">
        <v>79</v>
      </c>
      <c r="D75" s="46">
        <v>13.35</v>
      </c>
      <c r="E75" s="1">
        <v>29.2</v>
      </c>
      <c r="F75" s="1">
        <v>0</v>
      </c>
      <c r="G75" s="1">
        <v>100</v>
      </c>
      <c r="H75" s="1">
        <v>400</v>
      </c>
      <c r="I75" s="1">
        <v>100</v>
      </c>
      <c r="J75" s="2">
        <v>3</v>
      </c>
      <c r="K75" s="1">
        <v>2</v>
      </c>
      <c r="L75" s="1">
        <v>2</v>
      </c>
    </row>
    <row r="76" spans="1:12" x14ac:dyDescent="0.35">
      <c r="A76" s="15" t="s">
        <v>168</v>
      </c>
      <c r="B76" s="1" t="s">
        <v>184</v>
      </c>
      <c r="C76" s="1">
        <v>92</v>
      </c>
      <c r="D76" s="46">
        <v>15.6</v>
      </c>
      <c r="E76" s="1">
        <v>23.5</v>
      </c>
      <c r="F76" s="1">
        <v>0.7</v>
      </c>
      <c r="G76" s="1">
        <v>2</v>
      </c>
      <c r="H76" s="1">
        <v>400</v>
      </c>
      <c r="I76" s="1">
        <v>100</v>
      </c>
      <c r="J76" s="2">
        <v>2</v>
      </c>
      <c r="K76" s="1">
        <v>1</v>
      </c>
      <c r="L76" s="1">
        <v>1</v>
      </c>
    </row>
    <row r="77" spans="1:12" x14ac:dyDescent="0.35">
      <c r="A77" s="15" t="s">
        <v>168</v>
      </c>
      <c r="B77" s="1" t="s">
        <v>184</v>
      </c>
      <c r="C77" s="1">
        <v>79</v>
      </c>
      <c r="D77" s="46">
        <v>7.6</v>
      </c>
      <c r="E77" s="1">
        <v>25.4</v>
      </c>
      <c r="F77" s="1">
        <v>0</v>
      </c>
      <c r="G77" s="1">
        <v>100</v>
      </c>
      <c r="H77" s="1">
        <v>400</v>
      </c>
      <c r="I77" s="1">
        <v>100</v>
      </c>
      <c r="J77" s="2">
        <v>2</v>
      </c>
      <c r="K77" s="1">
        <v>2</v>
      </c>
      <c r="L77" s="1">
        <v>5</v>
      </c>
    </row>
    <row r="78" spans="1:12" x14ac:dyDescent="0.35">
      <c r="A78" s="15" t="s">
        <v>168</v>
      </c>
      <c r="B78" s="1" t="s">
        <v>183</v>
      </c>
      <c r="C78" s="1">
        <v>89</v>
      </c>
      <c r="D78" s="46">
        <v>1</v>
      </c>
      <c r="E78" s="1">
        <v>22.2</v>
      </c>
      <c r="F78" s="1">
        <v>0</v>
      </c>
      <c r="G78" s="1">
        <v>100</v>
      </c>
      <c r="H78" s="1">
        <v>400</v>
      </c>
      <c r="I78" s="1">
        <v>100</v>
      </c>
      <c r="J78" s="2">
        <v>3</v>
      </c>
      <c r="K78" s="1">
        <v>4</v>
      </c>
      <c r="L78" s="1">
        <v>4</v>
      </c>
    </row>
    <row r="79" spans="1:12" x14ac:dyDescent="0.35">
      <c r="A79" s="15" t="s">
        <v>168</v>
      </c>
      <c r="B79" s="1" t="s">
        <v>183</v>
      </c>
      <c r="C79" s="1">
        <v>72</v>
      </c>
      <c r="D79" s="1">
        <v>0.75</v>
      </c>
      <c r="E79" s="1">
        <v>25</v>
      </c>
      <c r="F79" s="1">
        <v>0.9</v>
      </c>
      <c r="G79" s="1">
        <v>100</v>
      </c>
      <c r="H79" s="1">
        <v>400</v>
      </c>
      <c r="I79" s="1">
        <v>100</v>
      </c>
      <c r="J79" s="2">
        <v>3</v>
      </c>
      <c r="K79" s="1">
        <v>2</v>
      </c>
      <c r="L79" s="1">
        <v>3</v>
      </c>
    </row>
    <row r="80" spans="1:12" x14ac:dyDescent="0.35">
      <c r="A80" s="15" t="s">
        <v>168</v>
      </c>
      <c r="B80" s="1" t="s">
        <v>185</v>
      </c>
      <c r="C80" s="1">
        <v>60</v>
      </c>
      <c r="D80" s="46">
        <v>44</v>
      </c>
      <c r="E80" s="1">
        <v>32.6</v>
      </c>
      <c r="F80" s="1">
        <v>0</v>
      </c>
      <c r="G80" s="1">
        <v>85</v>
      </c>
      <c r="H80" s="1">
        <v>400</v>
      </c>
      <c r="I80" s="1">
        <v>100</v>
      </c>
      <c r="J80" s="2">
        <v>1</v>
      </c>
      <c r="K80" s="1">
        <v>2</v>
      </c>
      <c r="L80" s="1">
        <v>4</v>
      </c>
    </row>
    <row r="81" spans="1:12" x14ac:dyDescent="0.35">
      <c r="A81" s="15" t="s">
        <v>168</v>
      </c>
      <c r="B81" s="1" t="s">
        <v>185</v>
      </c>
      <c r="C81" s="1">
        <v>79</v>
      </c>
      <c r="D81" s="46">
        <v>39.200000000000003</v>
      </c>
      <c r="E81" s="1">
        <v>31.4</v>
      </c>
      <c r="F81" s="1">
        <v>0</v>
      </c>
      <c r="G81" s="1">
        <v>100</v>
      </c>
      <c r="H81" s="1">
        <v>400</v>
      </c>
      <c r="I81" s="1">
        <v>100</v>
      </c>
      <c r="J81" s="2">
        <v>1</v>
      </c>
      <c r="K81" s="1">
        <v>0</v>
      </c>
      <c r="L81" s="1">
        <v>0</v>
      </c>
    </row>
    <row r="82" spans="1:12" x14ac:dyDescent="0.35">
      <c r="A82" s="15" t="s">
        <v>168</v>
      </c>
      <c r="B82" s="1" t="s">
        <v>186</v>
      </c>
      <c r="C82" s="1">
        <v>76</v>
      </c>
      <c r="D82" s="46">
        <v>1.53</v>
      </c>
      <c r="E82" s="1">
        <v>25.4</v>
      </c>
      <c r="F82" s="1">
        <v>0</v>
      </c>
      <c r="G82" s="1">
        <v>100</v>
      </c>
      <c r="H82" s="1">
        <v>400</v>
      </c>
      <c r="I82" s="1">
        <v>76.19</v>
      </c>
      <c r="J82" s="2">
        <v>6</v>
      </c>
      <c r="K82" s="1">
        <v>4</v>
      </c>
      <c r="L82" s="1">
        <v>5</v>
      </c>
    </row>
    <row r="83" spans="1:12" x14ac:dyDescent="0.35">
      <c r="A83" s="1" t="s">
        <v>172</v>
      </c>
      <c r="B83" s="1" t="s">
        <v>179</v>
      </c>
      <c r="C83" s="1">
        <v>99</v>
      </c>
      <c r="D83" s="46">
        <v>0.28000000000000003</v>
      </c>
      <c r="E83" s="1">
        <v>23.5</v>
      </c>
      <c r="F83" s="1">
        <v>0</v>
      </c>
      <c r="G83" s="1">
        <v>100</v>
      </c>
      <c r="H83" s="1">
        <v>550</v>
      </c>
      <c r="I83" s="1">
        <v>100</v>
      </c>
      <c r="J83" s="2">
        <v>5</v>
      </c>
      <c r="K83" s="1">
        <v>7</v>
      </c>
      <c r="L83" s="1">
        <v>10</v>
      </c>
    </row>
    <row r="84" spans="1:12" x14ac:dyDescent="0.35">
      <c r="A84" s="1" t="s">
        <v>172</v>
      </c>
      <c r="B84" s="1" t="s">
        <v>181</v>
      </c>
      <c r="C84" s="1">
        <v>98</v>
      </c>
      <c r="D84" s="46">
        <v>2.2799999999999998</v>
      </c>
      <c r="E84" s="1">
        <v>23.7</v>
      </c>
      <c r="F84" s="1">
        <v>0</v>
      </c>
      <c r="G84" s="1">
        <v>100</v>
      </c>
      <c r="H84" s="1">
        <v>550</v>
      </c>
      <c r="I84" s="1">
        <v>100</v>
      </c>
      <c r="J84" s="2">
        <v>3</v>
      </c>
      <c r="K84" s="1">
        <v>4</v>
      </c>
      <c r="L84" s="1">
        <v>4</v>
      </c>
    </row>
    <row r="85" spans="1:12" x14ac:dyDescent="0.35">
      <c r="A85" s="1" t="s">
        <v>172</v>
      </c>
      <c r="B85" s="1" t="s">
        <v>182</v>
      </c>
      <c r="C85" s="1">
        <v>99</v>
      </c>
      <c r="D85" s="46">
        <v>7.2350000000000003</v>
      </c>
      <c r="E85" s="1">
        <v>24.6</v>
      </c>
      <c r="F85" s="1">
        <v>1.4</v>
      </c>
      <c r="G85" s="1">
        <v>100</v>
      </c>
      <c r="H85" s="1">
        <v>550</v>
      </c>
      <c r="I85" s="1">
        <v>100</v>
      </c>
      <c r="J85" s="2">
        <v>3</v>
      </c>
      <c r="K85" s="1">
        <v>10</v>
      </c>
      <c r="L85" s="1">
        <v>16</v>
      </c>
    </row>
    <row r="86" spans="1:12" x14ac:dyDescent="0.35">
      <c r="A86" s="1" t="s">
        <v>172</v>
      </c>
      <c r="B86" s="1" t="s">
        <v>184</v>
      </c>
      <c r="C86" s="1">
        <v>78</v>
      </c>
      <c r="D86" s="46">
        <v>17.850000000000001</v>
      </c>
      <c r="E86" s="1">
        <v>26.8</v>
      </c>
      <c r="F86" s="1">
        <v>0.7</v>
      </c>
      <c r="G86" s="1">
        <v>100</v>
      </c>
      <c r="H86" s="1">
        <v>550</v>
      </c>
      <c r="I86" s="1">
        <v>100</v>
      </c>
      <c r="J86" s="2">
        <v>2</v>
      </c>
      <c r="K86" s="1">
        <v>3</v>
      </c>
      <c r="L86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054"/>
  <sheetViews>
    <sheetView topLeftCell="A38" zoomScale="80" workbookViewId="0">
      <selection activeCell="L44" sqref="L44"/>
    </sheetView>
  </sheetViews>
  <sheetFormatPr defaultColWidth="12.7265625" defaultRowHeight="14.5" x14ac:dyDescent="0.35"/>
  <cols>
    <col min="1" max="1" width="7.26953125" style="1" customWidth="1"/>
    <col min="2" max="2" width="14.7265625" style="1" customWidth="1"/>
    <col min="3" max="3" width="7.7265625" style="1" customWidth="1"/>
    <col min="4" max="4" width="13" style="1" customWidth="1"/>
    <col min="5" max="5" width="10.7265625" style="2" customWidth="1"/>
    <col min="6" max="7" width="3.26953125" style="1" customWidth="1"/>
    <col min="8" max="8" width="6.453125" style="1" customWidth="1"/>
    <col min="9" max="9" width="8" style="1" customWidth="1"/>
    <col min="10" max="10" width="6.1796875" style="1" customWidth="1"/>
    <col min="11" max="11" width="6" style="1" customWidth="1"/>
    <col min="12" max="12" width="10" style="1" customWidth="1"/>
    <col min="13" max="13" width="7.54296875" style="1" customWidth="1"/>
    <col min="14" max="14" width="11.453125" style="2" customWidth="1"/>
    <col min="15" max="15" width="4.54296875" style="1" customWidth="1"/>
    <col min="16" max="16" width="5.453125" style="1" customWidth="1"/>
    <col min="17" max="17" width="5.81640625" style="1" customWidth="1"/>
    <col min="18" max="18" width="4.81640625" style="1" customWidth="1"/>
    <col min="19" max="19" width="4.7265625" style="1" customWidth="1"/>
    <col min="20" max="20" width="4.26953125" style="1" customWidth="1"/>
    <col min="21" max="21" width="4.1796875" style="1" customWidth="1"/>
    <col min="22" max="22" width="4.54296875" style="1" customWidth="1"/>
    <col min="23" max="23" width="4.7265625" style="1" customWidth="1"/>
    <col min="24" max="24" width="4.26953125" style="1" customWidth="1"/>
    <col min="25" max="26" width="4.453125" style="1" customWidth="1"/>
    <col min="27" max="27" width="4.1796875" style="1" customWidth="1"/>
    <col min="28" max="28" width="5" style="1" customWidth="1"/>
    <col min="29" max="30" width="3.26953125" style="1" customWidth="1"/>
    <col min="31" max="32" width="3.54296875" style="1" customWidth="1"/>
    <col min="33" max="33" width="4.26953125" style="1" customWidth="1"/>
    <col min="34" max="34" width="5.26953125" style="1" customWidth="1"/>
    <col min="35" max="35" width="3.81640625" style="1" customWidth="1"/>
    <col min="36" max="36" width="4.7265625" style="1" customWidth="1"/>
    <col min="37" max="37" width="3.453125" style="1" customWidth="1"/>
    <col min="38" max="38" width="3.26953125" style="1" customWidth="1"/>
    <col min="39" max="39" width="3.81640625" style="1" customWidth="1"/>
    <col min="40" max="40" width="3.26953125" style="1" customWidth="1"/>
    <col min="41" max="41" width="4.7265625" style="1" customWidth="1"/>
    <col min="42" max="42" width="4.26953125" style="1" customWidth="1"/>
    <col min="43" max="43" width="3.7265625" style="1" customWidth="1"/>
    <col min="44" max="45" width="3.26953125" style="1" customWidth="1"/>
    <col min="46" max="46" width="4.81640625" style="1" customWidth="1"/>
    <col min="47" max="47" width="4.26953125" style="1" customWidth="1"/>
    <col min="48" max="48" width="3.26953125" style="1" customWidth="1"/>
    <col min="49" max="49" width="4.26953125" style="1" customWidth="1"/>
    <col min="50" max="51" width="3.26953125" style="1" customWidth="1"/>
    <col min="52" max="52" width="3.81640625" style="1" customWidth="1"/>
    <col min="53" max="53" width="3.26953125" style="1" customWidth="1"/>
    <col min="54" max="54" width="4.7265625" style="1" customWidth="1"/>
    <col min="55" max="55" width="5.453125" style="1" customWidth="1"/>
    <col min="56" max="57" width="5.1796875" style="1" customWidth="1"/>
    <col min="58" max="58" width="3.81640625" style="1" customWidth="1"/>
    <col min="59" max="59" width="4.7265625" style="1" customWidth="1"/>
    <col min="60" max="60" width="4.81640625" style="1" customWidth="1"/>
    <col min="61" max="61" width="4.7265625" style="1" customWidth="1"/>
    <col min="62" max="63" width="3" style="1" customWidth="1"/>
    <col min="64" max="64" width="3.26953125" style="1" customWidth="1"/>
    <col min="65" max="66" width="4.7265625" style="1" customWidth="1"/>
    <col min="67" max="68" width="3.7265625" style="1" customWidth="1"/>
    <col min="69" max="69" width="3.26953125" style="1" customWidth="1"/>
    <col min="70" max="70" width="4.7265625" style="1" customWidth="1"/>
    <col min="71" max="72" width="3.26953125" style="1" customWidth="1"/>
    <col min="73" max="73" width="4.26953125" style="1" customWidth="1"/>
    <col min="74" max="74" width="3.26953125" style="1" customWidth="1"/>
    <col min="75" max="75" width="4.26953125" style="1" customWidth="1"/>
    <col min="76" max="76" width="3.26953125" style="1" customWidth="1"/>
    <col min="77" max="77" width="6.26953125" style="1" customWidth="1"/>
    <col min="78" max="78" width="4.81640625" style="1" customWidth="1"/>
    <col min="79" max="79" width="5.26953125" style="1" customWidth="1"/>
    <col min="80" max="81" width="4.54296875" style="1" customWidth="1"/>
    <col min="82" max="82" width="4.7265625" style="1" customWidth="1"/>
    <col min="83" max="84" width="4.81640625" style="1" customWidth="1"/>
    <col min="85" max="85" width="4.54296875" style="1" customWidth="1"/>
    <col min="86" max="86" width="3.54296875" style="1" customWidth="1"/>
    <col min="87" max="87" width="3.453125" style="1" customWidth="1"/>
    <col min="88" max="88" width="5.7265625" style="1" customWidth="1"/>
    <col min="89" max="89" width="4.26953125" style="1" customWidth="1"/>
    <col min="90" max="90" width="5.26953125" style="1" customWidth="1"/>
    <col min="91" max="93" width="4.26953125" style="1" customWidth="1"/>
    <col min="94" max="94" width="4.7265625" style="1" customWidth="1"/>
    <col min="95" max="95" width="4.54296875" style="1" customWidth="1"/>
    <col min="96" max="97" width="3.26953125" style="1" customWidth="1"/>
    <col min="98" max="100" width="4.26953125" style="1" customWidth="1"/>
    <col min="101" max="101" width="3.81640625" style="1" customWidth="1"/>
    <col min="102" max="103" width="3.26953125" style="1" customWidth="1"/>
    <col min="104" max="104" width="3.7265625" style="1" customWidth="1"/>
    <col min="105" max="105" width="4" style="1" customWidth="1"/>
    <col min="106" max="106" width="4.1796875" style="1" customWidth="1"/>
    <col min="107" max="107" width="3.26953125" style="1" customWidth="1"/>
    <col min="108" max="108" width="4.26953125" style="1" customWidth="1"/>
    <col min="109" max="109" width="3.7265625" style="1" customWidth="1"/>
    <col min="110" max="110" width="4.26953125" style="1" customWidth="1"/>
    <col min="111" max="111" width="4.7265625" style="1" customWidth="1"/>
    <col min="112" max="16384" width="12.7265625" style="1"/>
  </cols>
  <sheetData>
    <row r="1" spans="1:113" ht="15" hidden="1" customHeight="1" x14ac:dyDescent="0.35">
      <c r="N1" s="3"/>
      <c r="AC1" s="4" t="s">
        <v>0</v>
      </c>
      <c r="BL1" s="4" t="s">
        <v>1</v>
      </c>
      <c r="BT1" s="4" t="s">
        <v>0</v>
      </c>
    </row>
    <row r="2" spans="1:113" ht="15" customHeight="1" x14ac:dyDescent="0.35">
      <c r="N2" s="3" t="s">
        <v>2</v>
      </c>
      <c r="AC2" s="4" t="s">
        <v>3</v>
      </c>
      <c r="AY2" s="1" t="s">
        <v>4</v>
      </c>
      <c r="BL2" s="4" t="s">
        <v>5</v>
      </c>
      <c r="BT2" s="4" t="s">
        <v>3</v>
      </c>
    </row>
    <row r="3" spans="1:113" ht="15" customHeight="1" x14ac:dyDescent="0.35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3" t="s">
        <v>6</v>
      </c>
      <c r="O3" s="4">
        <v>1</v>
      </c>
      <c r="P3" s="4">
        <v>2</v>
      </c>
      <c r="Q3" s="4">
        <v>3</v>
      </c>
      <c r="R3" s="4">
        <v>4</v>
      </c>
      <c r="S3" s="4">
        <v>5</v>
      </c>
      <c r="T3" s="4">
        <v>6</v>
      </c>
      <c r="U3" s="4">
        <v>7</v>
      </c>
      <c r="V3" s="4">
        <v>8</v>
      </c>
      <c r="W3" s="4">
        <v>9</v>
      </c>
      <c r="X3" s="4">
        <v>10</v>
      </c>
      <c r="Y3" s="4">
        <v>11</v>
      </c>
      <c r="Z3" s="4">
        <v>12</v>
      </c>
      <c r="AA3" s="4">
        <v>13</v>
      </c>
      <c r="AB3" s="4">
        <v>14</v>
      </c>
      <c r="AC3" s="4">
        <v>15</v>
      </c>
      <c r="AD3" s="4">
        <v>16</v>
      </c>
      <c r="AE3" s="4">
        <v>17</v>
      </c>
      <c r="AF3" s="4"/>
      <c r="AG3" s="4">
        <v>18</v>
      </c>
      <c r="AH3" s="4">
        <v>19</v>
      </c>
      <c r="AI3" s="4">
        <v>20</v>
      </c>
      <c r="AJ3" s="4">
        <v>21</v>
      </c>
      <c r="AK3" s="4">
        <v>22</v>
      </c>
      <c r="AL3" s="4">
        <v>23</v>
      </c>
      <c r="AM3" s="4">
        <v>24</v>
      </c>
      <c r="AN3" s="4">
        <v>25</v>
      </c>
      <c r="AO3" s="4">
        <v>26</v>
      </c>
      <c r="AP3" s="4">
        <v>27</v>
      </c>
      <c r="AQ3" s="4">
        <v>28</v>
      </c>
      <c r="AR3" s="4">
        <v>29</v>
      </c>
      <c r="AS3" s="4">
        <v>30</v>
      </c>
      <c r="AT3" s="4">
        <v>31</v>
      </c>
      <c r="AU3" s="4">
        <v>32</v>
      </c>
      <c r="AV3" s="4">
        <v>33</v>
      </c>
      <c r="AW3" s="4">
        <v>34</v>
      </c>
      <c r="AX3" s="4">
        <v>35</v>
      </c>
      <c r="AY3" s="4">
        <v>36</v>
      </c>
      <c r="AZ3" s="4">
        <v>37</v>
      </c>
      <c r="BA3" s="4">
        <v>38</v>
      </c>
      <c r="BB3" s="4">
        <v>39</v>
      </c>
      <c r="BC3" s="4">
        <v>40</v>
      </c>
      <c r="BD3" s="4">
        <v>41</v>
      </c>
      <c r="BE3" s="4">
        <v>42</v>
      </c>
      <c r="BF3" s="4">
        <v>43</v>
      </c>
      <c r="BG3" s="4">
        <v>44</v>
      </c>
      <c r="BH3" s="4">
        <v>45</v>
      </c>
      <c r="BI3" s="4">
        <v>46</v>
      </c>
      <c r="BJ3" s="4">
        <v>47</v>
      </c>
      <c r="BK3" s="4">
        <v>48</v>
      </c>
      <c r="BL3" s="4">
        <v>49</v>
      </c>
      <c r="BM3" s="4">
        <v>50</v>
      </c>
      <c r="BN3" s="4">
        <v>51</v>
      </c>
      <c r="BO3" s="4">
        <v>52</v>
      </c>
      <c r="BP3" s="4">
        <v>53</v>
      </c>
      <c r="BQ3" s="4">
        <v>54</v>
      </c>
      <c r="BR3" s="4">
        <v>55</v>
      </c>
      <c r="BS3" s="4">
        <v>56</v>
      </c>
      <c r="BT3" s="4">
        <v>57</v>
      </c>
      <c r="BU3" s="4">
        <v>58</v>
      </c>
      <c r="BV3" s="4">
        <v>59</v>
      </c>
      <c r="BW3" s="4">
        <v>60</v>
      </c>
      <c r="BX3" s="4">
        <v>61</v>
      </c>
      <c r="BY3" s="4">
        <v>62</v>
      </c>
      <c r="BZ3" s="4">
        <v>63</v>
      </c>
      <c r="CA3" s="4">
        <v>64</v>
      </c>
      <c r="CB3" s="4">
        <v>65</v>
      </c>
      <c r="CC3" s="4">
        <v>66</v>
      </c>
      <c r="CD3" s="4">
        <v>67</v>
      </c>
      <c r="CE3" s="4">
        <v>68</v>
      </c>
      <c r="CF3" s="4">
        <v>69</v>
      </c>
      <c r="CG3" s="4">
        <v>70</v>
      </c>
      <c r="CH3" s="4">
        <v>71</v>
      </c>
      <c r="CI3" s="4">
        <v>72</v>
      </c>
      <c r="CJ3" s="4">
        <v>73</v>
      </c>
      <c r="CK3" s="4">
        <v>74</v>
      </c>
      <c r="CL3" s="4">
        <v>75</v>
      </c>
      <c r="CM3" s="4">
        <v>76</v>
      </c>
      <c r="CN3" s="4">
        <v>77</v>
      </c>
      <c r="CO3" s="4">
        <v>78</v>
      </c>
      <c r="CP3" s="4">
        <v>79</v>
      </c>
      <c r="CQ3" s="4">
        <v>80</v>
      </c>
      <c r="CR3" s="4">
        <v>81</v>
      </c>
      <c r="CS3" s="4">
        <v>82</v>
      </c>
      <c r="CT3" s="4">
        <v>83</v>
      </c>
      <c r="CU3" s="4">
        <v>84</v>
      </c>
      <c r="CV3" s="4">
        <v>85</v>
      </c>
      <c r="CW3" s="4">
        <v>86</v>
      </c>
      <c r="CX3" s="4">
        <v>87</v>
      </c>
      <c r="CY3" s="4"/>
      <c r="CZ3" s="4">
        <v>88</v>
      </c>
      <c r="DA3" s="4">
        <v>89</v>
      </c>
      <c r="DB3" s="4">
        <v>90</v>
      </c>
      <c r="DC3" s="4">
        <v>91</v>
      </c>
      <c r="DD3" s="4">
        <v>92</v>
      </c>
      <c r="DE3" s="4">
        <v>93</v>
      </c>
      <c r="DF3" s="4">
        <v>94</v>
      </c>
      <c r="DG3" s="4">
        <v>95</v>
      </c>
    </row>
    <row r="4" spans="1:113" ht="237" x14ac:dyDescent="0.35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8" t="s">
        <v>21</v>
      </c>
      <c r="O4" s="10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 t="s">
        <v>27</v>
      </c>
      <c r="U4" s="10" t="s">
        <v>28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34</v>
      </c>
      <c r="AB4" s="10" t="s">
        <v>35</v>
      </c>
      <c r="AC4" s="11" t="s">
        <v>36</v>
      </c>
      <c r="AD4" s="10" t="s">
        <v>37</v>
      </c>
      <c r="AE4" s="10" t="s">
        <v>38</v>
      </c>
      <c r="AF4" s="10" t="s">
        <v>39</v>
      </c>
      <c r="AG4" s="10" t="s">
        <v>40</v>
      </c>
      <c r="AH4" s="10" t="s">
        <v>41</v>
      </c>
      <c r="AI4" s="10" t="s">
        <v>42</v>
      </c>
      <c r="AJ4" s="10" t="s">
        <v>43</v>
      </c>
      <c r="AK4" s="10" t="s">
        <v>44</v>
      </c>
      <c r="AL4" s="12" t="s">
        <v>45</v>
      </c>
      <c r="AM4" s="10" t="s">
        <v>46</v>
      </c>
      <c r="AN4" s="10" t="s">
        <v>47</v>
      </c>
      <c r="AO4" s="10" t="s">
        <v>48</v>
      </c>
      <c r="AP4" s="10" t="s">
        <v>49</v>
      </c>
      <c r="AQ4" s="10" t="s">
        <v>50</v>
      </c>
      <c r="AR4" s="12" t="s">
        <v>51</v>
      </c>
      <c r="AS4" s="12" t="s">
        <v>52</v>
      </c>
      <c r="AT4" s="10" t="s">
        <v>53</v>
      </c>
      <c r="AU4" s="10" t="s">
        <v>54</v>
      </c>
      <c r="AV4" s="12" t="s">
        <v>55</v>
      </c>
      <c r="AW4" s="10" t="s">
        <v>56</v>
      </c>
      <c r="AX4" s="11" t="s">
        <v>57</v>
      </c>
      <c r="AY4" s="11" t="s">
        <v>58</v>
      </c>
      <c r="AZ4" s="10" t="s">
        <v>59</v>
      </c>
      <c r="BA4" s="10" t="s">
        <v>60</v>
      </c>
      <c r="BB4" s="10" t="s">
        <v>61</v>
      </c>
      <c r="BC4" s="10" t="s">
        <v>62</v>
      </c>
      <c r="BD4" s="10" t="s">
        <v>63</v>
      </c>
      <c r="BE4" s="10" t="s">
        <v>64</v>
      </c>
      <c r="BF4" s="10" t="s">
        <v>65</v>
      </c>
      <c r="BG4" s="10" t="s">
        <v>66</v>
      </c>
      <c r="BH4" s="10" t="s">
        <v>67</v>
      </c>
      <c r="BI4" s="10" t="s">
        <v>68</v>
      </c>
      <c r="BJ4" s="10" t="s">
        <v>69</v>
      </c>
      <c r="BK4" s="10" t="s">
        <v>70</v>
      </c>
      <c r="BL4" s="11" t="s">
        <v>71</v>
      </c>
      <c r="BM4" s="10" t="s">
        <v>72</v>
      </c>
      <c r="BN4" s="10" t="s">
        <v>73</v>
      </c>
      <c r="BO4" s="10" t="s">
        <v>74</v>
      </c>
      <c r="BP4" s="10" t="s">
        <v>75</v>
      </c>
      <c r="BQ4" s="11" t="s">
        <v>76</v>
      </c>
      <c r="BR4" s="10" t="s">
        <v>77</v>
      </c>
      <c r="BS4" s="11" t="s">
        <v>78</v>
      </c>
      <c r="BT4" s="11" t="s">
        <v>79</v>
      </c>
      <c r="BU4" s="10" t="s">
        <v>80</v>
      </c>
      <c r="BV4" s="13" t="s">
        <v>81</v>
      </c>
      <c r="BW4" s="10" t="s">
        <v>82</v>
      </c>
      <c r="BX4" s="12" t="s">
        <v>83</v>
      </c>
      <c r="BY4" s="10" t="s">
        <v>84</v>
      </c>
      <c r="BZ4" s="10" t="s">
        <v>85</v>
      </c>
      <c r="CA4" s="10" t="s">
        <v>86</v>
      </c>
      <c r="CB4" s="10" t="s">
        <v>87</v>
      </c>
      <c r="CC4" s="10" t="s">
        <v>88</v>
      </c>
      <c r="CD4" s="10" t="s">
        <v>89</v>
      </c>
      <c r="CE4" s="10" t="s">
        <v>90</v>
      </c>
      <c r="CF4" s="10" t="s">
        <v>91</v>
      </c>
      <c r="CG4" s="10" t="s">
        <v>92</v>
      </c>
      <c r="CH4" s="10" t="s">
        <v>93</v>
      </c>
      <c r="CI4" s="10" t="s">
        <v>94</v>
      </c>
      <c r="CJ4" s="10" t="s">
        <v>95</v>
      </c>
      <c r="CK4" s="10" t="s">
        <v>96</v>
      </c>
      <c r="CL4" s="10" t="s">
        <v>97</v>
      </c>
      <c r="CM4" s="10" t="s">
        <v>98</v>
      </c>
      <c r="CN4" s="10" t="s">
        <v>99</v>
      </c>
      <c r="CO4" s="10" t="s">
        <v>100</v>
      </c>
      <c r="CP4" s="10" t="s">
        <v>101</v>
      </c>
      <c r="CQ4" s="10" t="s">
        <v>102</v>
      </c>
      <c r="CR4" s="14" t="s">
        <v>103</v>
      </c>
      <c r="CS4" s="14" t="s">
        <v>104</v>
      </c>
      <c r="CT4" s="10" t="s">
        <v>105</v>
      </c>
      <c r="CU4" s="10" t="s">
        <v>106</v>
      </c>
      <c r="CV4" s="10" t="s">
        <v>107</v>
      </c>
      <c r="CW4" s="10" t="s">
        <v>108</v>
      </c>
      <c r="CX4" s="11" t="s">
        <v>109</v>
      </c>
      <c r="CY4" s="11" t="s">
        <v>110</v>
      </c>
      <c r="CZ4" s="10" t="s">
        <v>111</v>
      </c>
      <c r="DA4" s="10" t="s">
        <v>112</v>
      </c>
      <c r="DB4" s="10" t="s">
        <v>113</v>
      </c>
      <c r="DC4" s="12" t="s">
        <v>114</v>
      </c>
      <c r="DD4" s="10" t="s">
        <v>115</v>
      </c>
      <c r="DE4" s="10" t="s">
        <v>116</v>
      </c>
      <c r="DF4" s="10" t="s">
        <v>117</v>
      </c>
      <c r="DG4" s="10" t="s">
        <v>118</v>
      </c>
      <c r="DH4" s="10" t="s">
        <v>174</v>
      </c>
      <c r="DI4" s="10" t="s">
        <v>175</v>
      </c>
    </row>
    <row r="5" spans="1:113" ht="15.75" customHeight="1" x14ac:dyDescent="0.35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7">
        <v>3</v>
      </c>
      <c r="AC5" s="15">
        <v>6</v>
      </c>
      <c r="AL5" s="15"/>
      <c r="AR5" s="15"/>
      <c r="AS5" s="15"/>
      <c r="AV5" s="15"/>
      <c r="AX5" s="15">
        <v>1</v>
      </c>
      <c r="AY5" s="15">
        <v>1</v>
      </c>
      <c r="BL5" s="15">
        <v>1</v>
      </c>
      <c r="BQ5" s="15"/>
      <c r="BS5" s="15">
        <v>1</v>
      </c>
      <c r="BT5" s="15">
        <v>3</v>
      </c>
      <c r="BX5" s="15"/>
      <c r="CR5" s="15"/>
      <c r="CS5" s="15"/>
      <c r="CX5" s="15">
        <v>1</v>
      </c>
      <c r="CY5" s="15"/>
      <c r="DC5" s="15"/>
      <c r="DH5" s="1">
        <f>COUNT(O5:DG5)</f>
        <v>7</v>
      </c>
      <c r="DI5" s="1">
        <f>SUM(O5:DG5)</f>
        <v>14</v>
      </c>
    </row>
    <row r="6" spans="1:113" ht="15.75" customHeight="1" x14ac:dyDescent="0.35">
      <c r="A6" s="15" t="s">
        <v>119</v>
      </c>
      <c r="B6" s="16" t="s">
        <v>200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7">
        <v>5</v>
      </c>
      <c r="AC6" s="15"/>
      <c r="AL6" s="15"/>
      <c r="AR6" s="15"/>
      <c r="AS6" s="15"/>
      <c r="AV6" s="15"/>
      <c r="AX6" s="15"/>
      <c r="AY6" s="15">
        <v>1</v>
      </c>
      <c r="AZ6" s="1">
        <v>1</v>
      </c>
      <c r="BL6" s="15"/>
      <c r="BQ6" s="15"/>
      <c r="BS6" s="15"/>
      <c r="BT6" s="15">
        <v>1</v>
      </c>
      <c r="BX6" s="15"/>
      <c r="CR6" s="15"/>
      <c r="CS6" s="15"/>
      <c r="CX6" s="15"/>
      <c r="CY6" s="15"/>
      <c r="DC6" s="15"/>
      <c r="DH6" s="1">
        <f t="shared" ref="DH6:DH69" si="0">COUNT(O6:DG6)</f>
        <v>3</v>
      </c>
      <c r="DI6" s="1">
        <f t="shared" ref="DI6:DI69" si="1">SUM(O6:DG6)</f>
        <v>3</v>
      </c>
    </row>
    <row r="7" spans="1:113" ht="15.75" customHeight="1" x14ac:dyDescent="0.35">
      <c r="A7" s="15" t="s">
        <v>119</v>
      </c>
      <c r="B7" s="16" t="s">
        <v>200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7">
        <v>5</v>
      </c>
      <c r="AC7" s="15"/>
      <c r="AL7" s="15"/>
      <c r="AR7" s="15"/>
      <c r="AS7" s="15"/>
      <c r="AV7" s="15"/>
      <c r="AX7" s="15"/>
      <c r="AY7" s="15">
        <v>1</v>
      </c>
      <c r="BL7" s="15"/>
      <c r="BQ7" s="15"/>
      <c r="BS7" s="15"/>
      <c r="BT7" s="15"/>
      <c r="BX7" s="15"/>
      <c r="CR7" s="15"/>
      <c r="CS7" s="15"/>
      <c r="CX7" s="15"/>
      <c r="CY7" s="15"/>
      <c r="DC7" s="15"/>
      <c r="DH7" s="1">
        <f t="shared" si="0"/>
        <v>1</v>
      </c>
      <c r="DI7" s="1">
        <f t="shared" si="1"/>
        <v>1</v>
      </c>
    </row>
    <row r="8" spans="1:113" ht="15.75" customHeight="1" x14ac:dyDescent="0.35">
      <c r="A8" s="15" t="s">
        <v>119</v>
      </c>
      <c r="B8" s="16" t="s">
        <v>200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7">
        <v>5</v>
      </c>
      <c r="AC8" s="15"/>
      <c r="AL8" s="15"/>
      <c r="AR8" s="15"/>
      <c r="AS8" s="15"/>
      <c r="AV8" s="15"/>
      <c r="AX8" s="15"/>
      <c r="AY8" s="15"/>
      <c r="BL8" s="15"/>
      <c r="BQ8" s="15"/>
      <c r="BS8" s="15"/>
      <c r="BT8" s="15">
        <v>1</v>
      </c>
      <c r="BX8" s="15"/>
      <c r="CR8" s="15"/>
      <c r="CS8" s="15"/>
      <c r="CX8" s="15"/>
      <c r="CY8" s="15"/>
      <c r="DC8" s="15"/>
      <c r="DH8" s="1">
        <f t="shared" si="0"/>
        <v>1</v>
      </c>
      <c r="DI8" s="1">
        <f t="shared" si="1"/>
        <v>1</v>
      </c>
    </row>
    <row r="9" spans="1:113" ht="15.75" customHeight="1" x14ac:dyDescent="0.35">
      <c r="A9" s="15" t="s">
        <v>119</v>
      </c>
      <c r="B9" s="16" t="s">
        <v>200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7">
        <v>5</v>
      </c>
      <c r="AC9" s="15"/>
      <c r="AL9" s="15"/>
      <c r="AR9" s="15"/>
      <c r="AS9" s="15"/>
      <c r="AV9" s="15"/>
      <c r="AX9" s="15"/>
      <c r="AY9" s="15">
        <v>1</v>
      </c>
      <c r="BL9" s="15"/>
      <c r="BQ9" s="15"/>
      <c r="BS9" s="15"/>
      <c r="BT9" s="15">
        <v>1</v>
      </c>
      <c r="BX9" s="15"/>
      <c r="CR9" s="15"/>
      <c r="CS9" s="15"/>
      <c r="CX9" s="15"/>
      <c r="CY9" s="15"/>
      <c r="DC9" s="15"/>
      <c r="DH9" s="1">
        <f t="shared" si="0"/>
        <v>2</v>
      </c>
      <c r="DI9" s="1">
        <f t="shared" si="1"/>
        <v>2</v>
      </c>
    </row>
    <row r="10" spans="1:113" ht="15.75" customHeight="1" x14ac:dyDescent="0.35">
      <c r="A10" s="15" t="s">
        <v>119</v>
      </c>
      <c r="B10" s="16" t="s">
        <v>200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7">
        <v>5</v>
      </c>
      <c r="AC10" s="15"/>
      <c r="AL10" s="15"/>
      <c r="AR10" s="15"/>
      <c r="AS10" s="15"/>
      <c r="AV10" s="15"/>
      <c r="AX10" s="15"/>
      <c r="AY10" s="15"/>
      <c r="AZ10" s="1">
        <v>1</v>
      </c>
      <c r="BL10" s="15"/>
      <c r="BQ10" s="15"/>
      <c r="BS10" s="15"/>
      <c r="BT10" s="15"/>
      <c r="BX10" s="15"/>
      <c r="CR10" s="15"/>
      <c r="CS10" s="15"/>
      <c r="CX10" s="15"/>
      <c r="CY10" s="15"/>
      <c r="DC10" s="15"/>
      <c r="DH10" s="1">
        <f t="shared" si="0"/>
        <v>1</v>
      </c>
      <c r="DI10" s="1">
        <f t="shared" si="1"/>
        <v>1</v>
      </c>
    </row>
    <row r="11" spans="1:113" ht="15.75" customHeight="1" x14ac:dyDescent="0.35">
      <c r="A11" s="15" t="s">
        <v>119</v>
      </c>
      <c r="B11" s="16" t="s">
        <v>200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7">
        <v>5</v>
      </c>
      <c r="AC11" s="15"/>
      <c r="AL11" s="15"/>
      <c r="AR11" s="15"/>
      <c r="AS11" s="15"/>
      <c r="AV11" s="15"/>
      <c r="AX11" s="15"/>
      <c r="AY11" s="15">
        <v>1</v>
      </c>
      <c r="AZ11" s="1">
        <v>1</v>
      </c>
      <c r="BL11" s="15"/>
      <c r="BQ11" s="15"/>
      <c r="BS11" s="15"/>
      <c r="BT11" s="15">
        <v>1</v>
      </c>
      <c r="BX11" s="15"/>
      <c r="CR11" s="15"/>
      <c r="CS11" s="15"/>
      <c r="CX11" s="15"/>
      <c r="CY11" s="15"/>
      <c r="DC11" s="15"/>
      <c r="DH11" s="1">
        <f t="shared" si="0"/>
        <v>3</v>
      </c>
      <c r="DI11" s="1">
        <f t="shared" si="1"/>
        <v>3</v>
      </c>
    </row>
    <row r="12" spans="1:113" ht="15.75" customHeight="1" x14ac:dyDescent="0.35">
      <c r="A12" s="15" t="s">
        <v>119</v>
      </c>
      <c r="B12" s="16" t="s">
        <v>200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7">
        <v>5</v>
      </c>
      <c r="AC12" s="15"/>
      <c r="AL12" s="15"/>
      <c r="AR12" s="15"/>
      <c r="AS12" s="15"/>
      <c r="AV12" s="15"/>
      <c r="AX12" s="15"/>
      <c r="AY12" s="15"/>
      <c r="BL12" s="15"/>
      <c r="BQ12" s="15"/>
      <c r="BS12" s="15"/>
      <c r="BT12" s="15">
        <v>1</v>
      </c>
      <c r="BX12" s="15"/>
      <c r="CR12" s="15"/>
      <c r="CS12" s="15"/>
      <c r="CX12" s="15"/>
      <c r="CY12" s="15"/>
      <c r="DC12" s="15"/>
      <c r="DH12" s="1">
        <f t="shared" si="0"/>
        <v>1</v>
      </c>
      <c r="DI12" s="1">
        <f t="shared" si="1"/>
        <v>1</v>
      </c>
    </row>
    <row r="13" spans="1:113" ht="15.75" customHeight="1" x14ac:dyDescent="0.35">
      <c r="A13" s="15" t="s">
        <v>119</v>
      </c>
      <c r="B13" s="16" t="s">
        <v>200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7">
        <v>5</v>
      </c>
      <c r="AC13" s="15"/>
      <c r="AL13" s="4"/>
      <c r="AR13" s="4"/>
      <c r="AS13" s="15"/>
      <c r="AV13" s="15"/>
      <c r="AX13" s="15"/>
      <c r="AY13" s="15">
        <v>1</v>
      </c>
      <c r="BL13" s="15"/>
      <c r="BQ13" s="15">
        <v>1</v>
      </c>
      <c r="BS13" s="15"/>
      <c r="BT13" s="15"/>
      <c r="BX13" s="15"/>
      <c r="CR13" s="15"/>
      <c r="CS13" s="15"/>
      <c r="CX13" s="15">
        <v>1</v>
      </c>
      <c r="CY13" s="15"/>
      <c r="DC13" s="15"/>
      <c r="DH13" s="1">
        <f t="shared" si="0"/>
        <v>3</v>
      </c>
      <c r="DI13" s="1">
        <f t="shared" si="1"/>
        <v>3</v>
      </c>
    </row>
    <row r="14" spans="1:113" ht="15.75" customHeight="1" x14ac:dyDescent="0.35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7">
        <v>5</v>
      </c>
      <c r="AC14" s="15"/>
      <c r="AL14" s="15">
        <v>1</v>
      </c>
      <c r="AR14" s="15"/>
      <c r="AS14" s="15"/>
      <c r="AV14" s="15"/>
      <c r="AX14" s="15"/>
      <c r="AY14" s="15">
        <v>1</v>
      </c>
      <c r="BL14" s="15"/>
      <c r="BQ14" s="15"/>
      <c r="BS14" s="15"/>
      <c r="BT14" s="15"/>
      <c r="BX14" s="15">
        <v>1</v>
      </c>
      <c r="CR14" s="15"/>
      <c r="CS14" s="15"/>
      <c r="CX14" s="15"/>
      <c r="CY14" s="15"/>
      <c r="DC14" s="15"/>
      <c r="DH14" s="1">
        <f t="shared" si="0"/>
        <v>3</v>
      </c>
      <c r="DI14" s="1">
        <f t="shared" si="1"/>
        <v>3</v>
      </c>
    </row>
    <row r="15" spans="1:113" ht="15.75" customHeight="1" x14ac:dyDescent="0.35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7">
        <v>5</v>
      </c>
      <c r="AC15" s="15"/>
      <c r="AL15" s="15"/>
      <c r="AR15" s="15"/>
      <c r="AS15" s="15"/>
      <c r="AV15" s="15"/>
      <c r="AX15" s="15"/>
      <c r="AY15" s="15">
        <v>1</v>
      </c>
      <c r="BL15" s="15"/>
      <c r="BQ15" s="15"/>
      <c r="BS15" s="15"/>
      <c r="BT15" s="15"/>
      <c r="BX15" s="15"/>
      <c r="CR15" s="15"/>
      <c r="CS15" s="15"/>
      <c r="CX15" s="15"/>
      <c r="CY15" s="15"/>
      <c r="DC15" s="15"/>
      <c r="DH15" s="1">
        <f t="shared" si="0"/>
        <v>1</v>
      </c>
      <c r="DI15" s="1">
        <f t="shared" si="1"/>
        <v>1</v>
      </c>
    </row>
    <row r="16" spans="1:113" ht="15.75" customHeight="1" x14ac:dyDescent="0.35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7">
        <v>3</v>
      </c>
      <c r="AC16" s="15"/>
      <c r="AL16" s="15"/>
      <c r="AR16" s="15">
        <v>1</v>
      </c>
      <c r="AS16" s="4"/>
      <c r="AV16" s="15"/>
      <c r="AX16" s="15"/>
      <c r="AY16" s="15">
        <v>1</v>
      </c>
      <c r="BL16" s="15"/>
      <c r="BQ16" s="15"/>
      <c r="BS16" s="15"/>
      <c r="BT16" s="15"/>
      <c r="BX16" s="15"/>
      <c r="CR16" s="15"/>
      <c r="CS16" s="15"/>
      <c r="CX16" s="15"/>
      <c r="CY16" s="15"/>
      <c r="DC16" s="15">
        <v>1</v>
      </c>
      <c r="DH16" s="1">
        <f t="shared" si="0"/>
        <v>3</v>
      </c>
      <c r="DI16" s="1">
        <f t="shared" si="1"/>
        <v>3</v>
      </c>
    </row>
    <row r="17" spans="1:113" ht="15.75" customHeight="1" x14ac:dyDescent="0.35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7">
        <v>3</v>
      </c>
      <c r="AC17" s="15"/>
      <c r="AL17" s="15"/>
      <c r="AR17" s="15"/>
      <c r="AS17" s="15">
        <v>1</v>
      </c>
      <c r="AV17" s="15"/>
      <c r="AX17" s="15"/>
      <c r="AY17" s="15">
        <v>1</v>
      </c>
      <c r="BL17" s="15"/>
      <c r="BQ17" s="15"/>
      <c r="BS17" s="15"/>
      <c r="BT17" s="15"/>
      <c r="BX17" s="15">
        <v>1</v>
      </c>
      <c r="CR17" s="15"/>
      <c r="CS17" s="15"/>
      <c r="CX17" s="15"/>
      <c r="CY17" s="15"/>
      <c r="DC17" s="15"/>
      <c r="DH17" s="1">
        <f t="shared" si="0"/>
        <v>3</v>
      </c>
      <c r="DI17" s="1">
        <f t="shared" si="1"/>
        <v>3</v>
      </c>
    </row>
    <row r="18" spans="1:113" ht="15.75" customHeight="1" x14ac:dyDescent="0.35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7">
        <v>3</v>
      </c>
      <c r="AC18" s="15"/>
      <c r="AL18" s="15"/>
      <c r="AR18" s="15"/>
      <c r="AS18" s="15"/>
      <c r="AV18" s="15"/>
      <c r="AX18" s="15"/>
      <c r="AY18" s="15">
        <v>1</v>
      </c>
      <c r="BL18" s="15"/>
      <c r="BQ18" s="15"/>
      <c r="BS18" s="15"/>
      <c r="BT18" s="15">
        <v>1</v>
      </c>
      <c r="BX18" s="15"/>
      <c r="CR18" s="15"/>
      <c r="CS18" s="15"/>
      <c r="CX18" s="15"/>
      <c r="CY18" s="15"/>
      <c r="DC18" s="15"/>
      <c r="DH18" s="1">
        <f t="shared" si="0"/>
        <v>2</v>
      </c>
      <c r="DI18" s="1">
        <f t="shared" si="1"/>
        <v>2</v>
      </c>
    </row>
    <row r="19" spans="1:113" ht="15.75" customHeight="1" x14ac:dyDescent="0.35">
      <c r="A19" s="15" t="s">
        <v>119</v>
      </c>
      <c r="B19" s="16" t="s">
        <v>198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7">
        <v>3</v>
      </c>
      <c r="AB19" s="1">
        <v>1</v>
      </c>
      <c r="AC19" s="15"/>
      <c r="AL19" s="15"/>
      <c r="AR19" s="15"/>
      <c r="AS19" s="15"/>
      <c r="AV19" s="15"/>
      <c r="AX19" s="15"/>
      <c r="AY19" s="15">
        <v>1</v>
      </c>
      <c r="AZ19" s="1">
        <v>1</v>
      </c>
      <c r="BL19" s="15"/>
      <c r="BQ19" s="15"/>
      <c r="BS19" s="15"/>
      <c r="BT19" s="15"/>
      <c r="BX19" s="15"/>
      <c r="CI19" s="1">
        <v>1</v>
      </c>
      <c r="CR19" s="15"/>
      <c r="CS19" s="15"/>
      <c r="CX19" s="15"/>
      <c r="CY19" s="15"/>
      <c r="DC19" s="15"/>
      <c r="DH19" s="1">
        <f t="shared" si="0"/>
        <v>4</v>
      </c>
      <c r="DI19" s="1">
        <f t="shared" si="1"/>
        <v>4</v>
      </c>
    </row>
    <row r="20" spans="1:113" ht="15.75" customHeight="1" x14ac:dyDescent="0.35">
      <c r="A20" s="15" t="s">
        <v>119</v>
      </c>
      <c r="B20" s="16" t="s">
        <v>198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7">
        <v>3</v>
      </c>
      <c r="AB20" s="1">
        <v>1</v>
      </c>
      <c r="AC20" s="15"/>
      <c r="AL20" s="15"/>
      <c r="AR20" s="15"/>
      <c r="AS20" s="15"/>
      <c r="AV20" s="15"/>
      <c r="AX20" s="15"/>
      <c r="AY20" s="15"/>
      <c r="BL20" s="15"/>
      <c r="BQ20" s="15"/>
      <c r="BS20" s="15"/>
      <c r="BT20" s="15"/>
      <c r="BX20" s="15"/>
      <c r="CR20" s="15"/>
      <c r="CS20" s="15"/>
      <c r="CX20" s="15"/>
      <c r="CY20" s="15"/>
      <c r="DC20" s="15"/>
      <c r="DH20" s="1">
        <f t="shared" si="0"/>
        <v>1</v>
      </c>
      <c r="DI20" s="1">
        <f t="shared" si="1"/>
        <v>1</v>
      </c>
    </row>
    <row r="21" spans="1:113" ht="15.75" customHeight="1" x14ac:dyDescent="0.35">
      <c r="A21" s="15" t="s">
        <v>119</v>
      </c>
      <c r="B21" s="16" t="s">
        <v>198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7">
        <v>3</v>
      </c>
      <c r="AC21" s="15"/>
      <c r="AL21" s="15"/>
      <c r="AR21" s="15"/>
      <c r="AS21" s="15"/>
      <c r="AV21" s="15"/>
      <c r="AX21" s="15"/>
      <c r="AY21" s="15">
        <v>1</v>
      </c>
      <c r="BL21" s="15"/>
      <c r="BQ21" s="15"/>
      <c r="BS21" s="15"/>
      <c r="BT21" s="15"/>
      <c r="BX21" s="15"/>
      <c r="CR21" s="15"/>
      <c r="CS21" s="15"/>
      <c r="CX21" s="15"/>
      <c r="CY21" s="15"/>
      <c r="DC21" s="15"/>
      <c r="DH21" s="1">
        <f t="shared" si="0"/>
        <v>1</v>
      </c>
      <c r="DI21" s="1">
        <f t="shared" si="1"/>
        <v>1</v>
      </c>
    </row>
    <row r="22" spans="1:113" ht="15.75" customHeight="1" x14ac:dyDescent="0.35">
      <c r="A22" s="15" t="s">
        <v>119</v>
      </c>
      <c r="B22" s="16" t="s">
        <v>198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7">
        <v>3</v>
      </c>
      <c r="AC22" s="15"/>
      <c r="AL22" s="15"/>
      <c r="AR22" s="15"/>
      <c r="AS22" s="15"/>
      <c r="AV22" s="15"/>
      <c r="AX22" s="15"/>
      <c r="AY22" s="15">
        <v>1</v>
      </c>
      <c r="AZ22" s="1">
        <v>1</v>
      </c>
      <c r="BL22" s="15"/>
      <c r="BQ22" s="15"/>
      <c r="BS22" s="15"/>
      <c r="BT22" s="15">
        <v>1</v>
      </c>
      <c r="BX22" s="15">
        <v>1</v>
      </c>
      <c r="CR22" s="15"/>
      <c r="CS22" s="15"/>
      <c r="CX22" s="15">
        <v>1</v>
      </c>
      <c r="CY22" s="15"/>
      <c r="DC22" s="15"/>
      <c r="DH22" s="1">
        <f t="shared" si="0"/>
        <v>5</v>
      </c>
      <c r="DI22" s="1">
        <f t="shared" si="1"/>
        <v>5</v>
      </c>
    </row>
    <row r="23" spans="1:113" ht="15.75" customHeight="1" x14ac:dyDescent="0.35">
      <c r="A23" s="15" t="s">
        <v>119</v>
      </c>
      <c r="B23" s="16" t="s">
        <v>198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7">
        <v>3</v>
      </c>
      <c r="AB23" s="1">
        <v>1</v>
      </c>
      <c r="AC23" s="15"/>
      <c r="AL23" s="15"/>
      <c r="AR23" s="15"/>
      <c r="AS23" s="15"/>
      <c r="AV23" s="15"/>
      <c r="AX23" s="15"/>
      <c r="AY23" s="15">
        <v>1</v>
      </c>
      <c r="BL23" s="15"/>
      <c r="BQ23" s="15"/>
      <c r="BS23" s="15"/>
      <c r="BT23" s="15"/>
      <c r="BX23" s="15"/>
      <c r="CR23" s="15"/>
      <c r="CS23" s="15"/>
      <c r="CX23" s="15"/>
      <c r="CY23" s="15"/>
      <c r="DC23" s="15"/>
      <c r="DH23" s="1">
        <f t="shared" si="0"/>
        <v>2</v>
      </c>
      <c r="DI23" s="1">
        <f t="shared" si="1"/>
        <v>2</v>
      </c>
    </row>
    <row r="24" spans="1:113" ht="15.75" customHeight="1" x14ac:dyDescent="0.35">
      <c r="A24" s="15" t="s">
        <v>119</v>
      </c>
      <c r="B24" s="16" t="s">
        <v>198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7">
        <v>3</v>
      </c>
      <c r="Q24" s="1">
        <v>1</v>
      </c>
      <c r="AC24" s="15"/>
      <c r="AL24" s="15"/>
      <c r="AR24" s="15"/>
      <c r="AS24" s="15"/>
      <c r="AV24" s="15"/>
      <c r="AX24" s="15"/>
      <c r="AY24" s="15"/>
      <c r="BL24" s="15"/>
      <c r="BQ24" s="15"/>
      <c r="BS24" s="15"/>
      <c r="BT24" s="15"/>
      <c r="BX24" s="15"/>
      <c r="CR24" s="15"/>
      <c r="CS24" s="15"/>
      <c r="CX24" s="15"/>
      <c r="CY24" s="15"/>
      <c r="DC24" s="15"/>
      <c r="DH24" s="1">
        <f t="shared" si="0"/>
        <v>1</v>
      </c>
      <c r="DI24" s="1">
        <f t="shared" si="1"/>
        <v>1</v>
      </c>
    </row>
    <row r="25" spans="1:113" ht="15.75" customHeight="1" x14ac:dyDescent="0.35">
      <c r="A25" s="15" t="s">
        <v>119</v>
      </c>
      <c r="B25" s="16" t="s">
        <v>198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7">
        <v>3</v>
      </c>
      <c r="AC25" s="15"/>
      <c r="AL25" s="15"/>
      <c r="AR25" s="15"/>
      <c r="AS25" s="15"/>
      <c r="AV25" s="15"/>
      <c r="AX25" s="15"/>
      <c r="AY25" s="15">
        <v>1</v>
      </c>
      <c r="BL25" s="15"/>
      <c r="BQ25" s="15"/>
      <c r="BS25" s="15"/>
      <c r="BT25" s="15"/>
      <c r="BX25" s="15"/>
      <c r="CR25" s="15"/>
      <c r="CS25" s="15"/>
      <c r="CX25" s="15"/>
      <c r="CY25" s="15"/>
      <c r="DC25" s="15"/>
      <c r="DH25" s="1">
        <f t="shared" si="0"/>
        <v>1</v>
      </c>
      <c r="DI25" s="1">
        <f t="shared" si="1"/>
        <v>1</v>
      </c>
    </row>
    <row r="26" spans="1:113" ht="15.75" customHeight="1" x14ac:dyDescent="0.35">
      <c r="A26" s="15" t="s">
        <v>119</v>
      </c>
      <c r="B26" s="16" t="s">
        <v>198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7">
        <v>3</v>
      </c>
      <c r="AC26" s="15"/>
      <c r="AL26" s="15"/>
      <c r="AR26" s="15"/>
      <c r="AS26" s="15"/>
      <c r="AV26" s="15"/>
      <c r="AX26" s="15"/>
      <c r="AY26" s="15">
        <v>1</v>
      </c>
      <c r="BL26" s="15"/>
      <c r="BQ26" s="15"/>
      <c r="BS26" s="15"/>
      <c r="BT26" s="15"/>
      <c r="BX26" s="15"/>
      <c r="CR26" s="15"/>
      <c r="CS26" s="15"/>
      <c r="CX26" s="15"/>
      <c r="CY26" s="15"/>
      <c r="DC26" s="15"/>
      <c r="DH26" s="1">
        <f t="shared" si="0"/>
        <v>1</v>
      </c>
      <c r="DI26" s="1">
        <f t="shared" si="1"/>
        <v>1</v>
      </c>
    </row>
    <row r="27" spans="1:113" ht="15.75" customHeight="1" x14ac:dyDescent="0.35">
      <c r="A27" s="15" t="s">
        <v>119</v>
      </c>
      <c r="B27" s="16" t="s">
        <v>198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7">
        <v>3</v>
      </c>
      <c r="AC27" s="15"/>
      <c r="AL27" s="15"/>
      <c r="AR27" s="15"/>
      <c r="AS27" s="15"/>
      <c r="AV27" s="15"/>
      <c r="AX27" s="15"/>
      <c r="AY27" s="15">
        <v>1</v>
      </c>
      <c r="BL27" s="15"/>
      <c r="BQ27" s="15"/>
      <c r="BS27" s="15"/>
      <c r="BT27" s="15"/>
      <c r="BX27" s="15"/>
      <c r="CR27" s="15"/>
      <c r="CS27" s="15"/>
      <c r="CX27" s="15"/>
      <c r="CY27" s="15"/>
      <c r="DC27" s="15"/>
      <c r="DH27" s="1">
        <f t="shared" si="0"/>
        <v>1</v>
      </c>
      <c r="DI27" s="1">
        <f t="shared" si="1"/>
        <v>1</v>
      </c>
    </row>
    <row r="28" spans="1:113" ht="15.75" customHeight="1" x14ac:dyDescent="0.35">
      <c r="A28" s="15" t="s">
        <v>119</v>
      </c>
      <c r="B28" s="16" t="s">
        <v>198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7">
        <v>3</v>
      </c>
      <c r="AC28" s="15"/>
      <c r="AL28" s="15"/>
      <c r="AR28" s="15"/>
      <c r="AS28" s="15"/>
      <c r="AV28" s="15"/>
      <c r="AX28" s="15"/>
      <c r="AY28" s="15">
        <v>1</v>
      </c>
      <c r="BL28" s="15"/>
      <c r="BQ28" s="15"/>
      <c r="BS28" s="15"/>
      <c r="BT28" s="15"/>
      <c r="BX28" s="15"/>
      <c r="CR28" s="15"/>
      <c r="CS28" s="15"/>
      <c r="CX28" s="15"/>
      <c r="CY28" s="15"/>
      <c r="DC28" s="15"/>
      <c r="DH28" s="1">
        <f t="shared" si="0"/>
        <v>1</v>
      </c>
      <c r="DI28" s="1">
        <f t="shared" si="1"/>
        <v>1</v>
      </c>
    </row>
    <row r="29" spans="1:113" ht="15.75" customHeight="1" x14ac:dyDescent="0.35">
      <c r="A29" s="15" t="s">
        <v>119</v>
      </c>
      <c r="B29" s="16" t="s">
        <v>198</v>
      </c>
      <c r="C29" s="16" t="s">
        <v>120</v>
      </c>
      <c r="D29" s="19">
        <v>45165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7">
        <v>3</v>
      </c>
      <c r="AC29" s="15"/>
      <c r="AL29" s="15"/>
      <c r="AR29" s="15"/>
      <c r="AS29" s="15"/>
      <c r="AV29" s="15"/>
      <c r="AX29" s="15"/>
      <c r="AY29" s="15"/>
      <c r="BL29" s="15"/>
      <c r="BQ29" s="15"/>
      <c r="BS29" s="15"/>
      <c r="BT29" s="15"/>
      <c r="BX29" s="15"/>
      <c r="CI29" s="1">
        <v>1</v>
      </c>
      <c r="CR29" s="15"/>
      <c r="CS29" s="15"/>
      <c r="CX29" s="15"/>
      <c r="CY29" s="15"/>
      <c r="DC29" s="15"/>
      <c r="DH29" s="1">
        <f t="shared" si="0"/>
        <v>1</v>
      </c>
      <c r="DI29" s="1">
        <f t="shared" si="1"/>
        <v>1</v>
      </c>
    </row>
    <row r="30" spans="1:113" ht="15.75" customHeight="1" x14ac:dyDescent="0.35">
      <c r="A30" s="15" t="s">
        <v>119</v>
      </c>
      <c r="B30" s="16" t="s">
        <v>198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21">
        <v>3</v>
      </c>
      <c r="AC30" s="15"/>
      <c r="AL30" s="15"/>
      <c r="AR30" s="15"/>
      <c r="AS30" s="15"/>
      <c r="AV30" s="15"/>
      <c r="AX30" s="15">
        <v>1</v>
      </c>
      <c r="AY30" s="15">
        <v>1</v>
      </c>
      <c r="BL30" s="15"/>
      <c r="BQ30" s="15"/>
      <c r="BS30" s="15"/>
      <c r="BT30" s="15"/>
      <c r="BX30" s="15">
        <v>1</v>
      </c>
      <c r="CR30" s="15"/>
      <c r="CS30" s="15"/>
      <c r="CX30" s="15"/>
      <c r="CY30" s="15"/>
      <c r="DC30" s="15"/>
      <c r="DH30" s="1">
        <f t="shared" si="0"/>
        <v>3</v>
      </c>
      <c r="DI30" s="1">
        <f t="shared" si="1"/>
        <v>3</v>
      </c>
    </row>
    <row r="31" spans="1:113" ht="15.75" customHeight="1" x14ac:dyDescent="0.35">
      <c r="A31" s="15" t="s">
        <v>119</v>
      </c>
      <c r="B31" s="16" t="s">
        <v>198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21">
        <v>3</v>
      </c>
      <c r="AC31" s="15"/>
      <c r="AL31" s="15"/>
      <c r="AR31" s="15"/>
      <c r="AS31" s="15"/>
      <c r="AV31" s="15"/>
      <c r="AX31" s="15"/>
      <c r="AY31" s="15">
        <v>1</v>
      </c>
      <c r="BL31" s="15"/>
      <c r="BQ31" s="15"/>
      <c r="BS31" s="15"/>
      <c r="BT31" s="15"/>
      <c r="BX31" s="15"/>
      <c r="CR31" s="15"/>
      <c r="CS31" s="15"/>
      <c r="CX31" s="15"/>
      <c r="CY31" s="15"/>
      <c r="DC31" s="15"/>
      <c r="DH31" s="1">
        <f t="shared" si="0"/>
        <v>1</v>
      </c>
      <c r="DI31" s="1">
        <f t="shared" si="1"/>
        <v>1</v>
      </c>
    </row>
    <row r="32" spans="1:113" ht="15.75" customHeight="1" x14ac:dyDescent="0.35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7"/>
      <c r="AC32" s="15"/>
      <c r="AL32" s="15"/>
      <c r="AR32" s="15"/>
      <c r="AS32" s="15"/>
      <c r="AV32" s="15"/>
      <c r="AX32" s="15"/>
      <c r="AY32" s="15"/>
      <c r="BL32" s="15"/>
      <c r="BQ32" s="15"/>
      <c r="BS32" s="15"/>
      <c r="BT32" s="15"/>
      <c r="BX32" s="15"/>
      <c r="CR32" s="15"/>
      <c r="CS32" s="15"/>
      <c r="CX32" s="15"/>
      <c r="CY32" s="15"/>
      <c r="DC32" s="15"/>
      <c r="DH32" s="1">
        <f t="shared" si="0"/>
        <v>0</v>
      </c>
      <c r="DI32" s="1">
        <f t="shared" si="1"/>
        <v>0</v>
      </c>
    </row>
    <row r="33" spans="1:113" ht="15.75" customHeight="1" x14ac:dyDescent="0.35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47">
        <v>480</v>
      </c>
      <c r="N33" s="17">
        <v>4</v>
      </c>
      <c r="AC33" s="15">
        <v>1</v>
      </c>
      <c r="AD33" s="22">
        <v>1</v>
      </c>
      <c r="AL33" s="15"/>
      <c r="AR33" s="15"/>
      <c r="AS33" s="15"/>
      <c r="AV33" s="15">
        <v>1</v>
      </c>
      <c r="AX33" s="15"/>
      <c r="AY33" s="15"/>
      <c r="BL33" s="15"/>
      <c r="BQ33" s="15"/>
      <c r="BS33" s="15">
        <v>1</v>
      </c>
      <c r="BT33" s="15">
        <v>1</v>
      </c>
      <c r="BV33" s="22">
        <v>1</v>
      </c>
      <c r="BX33" s="15"/>
      <c r="CR33" s="15">
        <v>1</v>
      </c>
      <c r="CS33" s="15"/>
      <c r="CX33" s="15"/>
      <c r="CY33" s="15"/>
      <c r="CZ33" s="22">
        <v>1</v>
      </c>
      <c r="DC33" s="15">
        <v>1</v>
      </c>
      <c r="DE33" s="22">
        <v>1</v>
      </c>
      <c r="DH33" s="1">
        <f t="shared" si="0"/>
        <v>10</v>
      </c>
      <c r="DI33" s="1">
        <f t="shared" si="1"/>
        <v>10</v>
      </c>
    </row>
    <row r="34" spans="1:113" ht="15.75" customHeight="1" x14ac:dyDescent="0.35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47"/>
      <c r="N34" s="17">
        <v>4</v>
      </c>
      <c r="AC34" s="15">
        <v>1</v>
      </c>
      <c r="AL34" s="15"/>
      <c r="AR34" s="15"/>
      <c r="AS34" s="15"/>
      <c r="AU34" s="22">
        <v>1</v>
      </c>
      <c r="AV34" s="15">
        <v>1</v>
      </c>
      <c r="AX34" s="15"/>
      <c r="AY34" s="15"/>
      <c r="BC34" s="1">
        <v>1</v>
      </c>
      <c r="BJ34" s="22">
        <v>1</v>
      </c>
      <c r="BK34" s="22"/>
      <c r="BL34" s="15"/>
      <c r="BQ34" s="15"/>
      <c r="BS34" s="15"/>
      <c r="BT34" s="15"/>
      <c r="BX34" s="15"/>
      <c r="CH34" s="1">
        <v>1</v>
      </c>
      <c r="CR34" s="15">
        <v>1</v>
      </c>
      <c r="CS34" s="15"/>
      <c r="CX34" s="15"/>
      <c r="CY34" s="15"/>
      <c r="DC34" s="15"/>
      <c r="DH34" s="1">
        <f t="shared" si="0"/>
        <v>7</v>
      </c>
      <c r="DI34" s="1">
        <f t="shared" si="1"/>
        <v>7</v>
      </c>
    </row>
    <row r="35" spans="1:113" ht="15.75" customHeight="1" x14ac:dyDescent="0.35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47">
        <v>480</v>
      </c>
      <c r="N35" s="17">
        <v>3</v>
      </c>
      <c r="AC35" s="15">
        <v>1</v>
      </c>
      <c r="AI35" s="4">
        <v>1</v>
      </c>
      <c r="AL35" s="15"/>
      <c r="AN35" s="22">
        <v>1</v>
      </c>
      <c r="AR35" s="15"/>
      <c r="AS35" s="15"/>
      <c r="AV35" s="15"/>
      <c r="AX35" s="15"/>
      <c r="AY35" s="15">
        <v>1</v>
      </c>
      <c r="BL35" s="15">
        <v>1</v>
      </c>
      <c r="BQ35" s="15">
        <v>2</v>
      </c>
      <c r="BS35" s="15"/>
      <c r="BT35" s="15">
        <v>3</v>
      </c>
      <c r="BX35" s="15">
        <v>1</v>
      </c>
      <c r="CA35" s="1">
        <v>1</v>
      </c>
      <c r="CM35" s="4">
        <v>1</v>
      </c>
      <c r="CR35" s="15"/>
      <c r="CS35" s="15"/>
      <c r="CT35" s="22">
        <v>1</v>
      </c>
      <c r="CX35" s="15"/>
      <c r="CY35" s="15"/>
      <c r="DA35" s="22">
        <v>1</v>
      </c>
      <c r="DB35" s="22">
        <v>1</v>
      </c>
      <c r="DC35" s="15"/>
      <c r="DD35" s="22">
        <v>1</v>
      </c>
      <c r="DH35" s="1">
        <f t="shared" si="0"/>
        <v>14</v>
      </c>
      <c r="DI35" s="1">
        <f t="shared" si="1"/>
        <v>17</v>
      </c>
    </row>
    <row r="36" spans="1:113" ht="15.75" customHeight="1" x14ac:dyDescent="0.35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47"/>
      <c r="N36" s="17">
        <v>3</v>
      </c>
      <c r="AC36" s="22">
        <v>1</v>
      </c>
      <c r="AL36" s="15"/>
      <c r="AQ36" s="22">
        <v>1</v>
      </c>
      <c r="AR36" s="15"/>
      <c r="AS36" s="15"/>
      <c r="AV36" s="15"/>
      <c r="AX36" s="15">
        <v>1</v>
      </c>
      <c r="AY36" s="15"/>
      <c r="BS36" s="15"/>
      <c r="BT36" s="15"/>
      <c r="BX36" s="15"/>
      <c r="CR36" s="15"/>
      <c r="CS36" s="15"/>
      <c r="CT36" s="22">
        <v>1</v>
      </c>
      <c r="CX36" s="15">
        <v>1</v>
      </c>
      <c r="CY36" s="15"/>
      <c r="DC36" s="15"/>
      <c r="DH36" s="1">
        <f t="shared" si="0"/>
        <v>5</v>
      </c>
      <c r="DI36" s="1">
        <f t="shared" si="1"/>
        <v>5</v>
      </c>
    </row>
    <row r="37" spans="1:113" ht="15.75" customHeight="1" x14ac:dyDescent="0.35">
      <c r="A37" s="15" t="s">
        <v>134</v>
      </c>
      <c r="B37" s="23" t="s">
        <v>200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7">
        <v>5</v>
      </c>
      <c r="AC37" s="22"/>
      <c r="AL37" s="15"/>
      <c r="AP37" s="1">
        <v>1</v>
      </c>
      <c r="AQ37" s="22"/>
      <c r="AR37" s="15"/>
      <c r="AS37" s="15"/>
      <c r="AV37" s="15"/>
      <c r="AX37" s="15"/>
      <c r="AY37" s="15"/>
      <c r="BS37" s="15"/>
      <c r="BT37" s="15"/>
      <c r="BX37" s="15"/>
      <c r="CI37" s="1">
        <v>1</v>
      </c>
      <c r="CR37" s="15"/>
      <c r="CS37" s="15"/>
      <c r="CT37" s="22"/>
      <c r="CX37" s="15"/>
      <c r="CY37" s="15"/>
      <c r="DC37" s="15"/>
      <c r="DH37" s="1">
        <f t="shared" si="0"/>
        <v>2</v>
      </c>
      <c r="DI37" s="1">
        <f t="shared" si="1"/>
        <v>2</v>
      </c>
    </row>
    <row r="38" spans="1:113" ht="15.75" customHeight="1" x14ac:dyDescent="0.35">
      <c r="A38" s="15" t="s">
        <v>134</v>
      </c>
      <c r="B38" s="23" t="s">
        <v>200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47">
        <v>480</v>
      </c>
      <c r="N38" s="17">
        <v>5</v>
      </c>
      <c r="X38" s="22">
        <v>1</v>
      </c>
      <c r="AC38" s="15"/>
      <c r="AL38" s="15"/>
      <c r="AR38" s="15"/>
      <c r="AS38" s="15"/>
      <c r="AV38" s="15"/>
      <c r="AX38" s="22">
        <v>1</v>
      </c>
      <c r="AY38" s="15">
        <v>1</v>
      </c>
      <c r="BF38" s="22">
        <v>1</v>
      </c>
      <c r="BG38" s="22">
        <v>1</v>
      </c>
      <c r="BL38" s="15"/>
      <c r="BQ38" s="15">
        <v>1</v>
      </c>
      <c r="BS38" s="15">
        <v>1</v>
      </c>
      <c r="BT38" s="22">
        <v>1</v>
      </c>
      <c r="BX38" s="15">
        <v>1</v>
      </c>
      <c r="CN38" s="22">
        <v>1</v>
      </c>
      <c r="CR38" s="15"/>
      <c r="CS38" s="15"/>
      <c r="CX38" s="15"/>
      <c r="CY38" s="15"/>
      <c r="CZ38" s="22">
        <v>1</v>
      </c>
      <c r="DC38" s="15"/>
      <c r="DF38" s="22">
        <v>1</v>
      </c>
      <c r="DH38" s="1">
        <f t="shared" si="0"/>
        <v>12</v>
      </c>
      <c r="DI38" s="1">
        <f t="shared" si="1"/>
        <v>12</v>
      </c>
    </row>
    <row r="39" spans="1:113" ht="15.75" customHeight="1" x14ac:dyDescent="0.35">
      <c r="A39" s="15" t="s">
        <v>134</v>
      </c>
      <c r="B39" s="23" t="s">
        <v>200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47"/>
      <c r="N39" s="17">
        <v>5</v>
      </c>
      <c r="AC39" s="15"/>
      <c r="AD39" s="1">
        <v>1</v>
      </c>
      <c r="AL39" s="15"/>
      <c r="AR39" s="15"/>
      <c r="AS39" s="15"/>
      <c r="AV39" s="15"/>
      <c r="AX39" s="15"/>
      <c r="AY39" s="15"/>
      <c r="AZ39" s="22">
        <v>1</v>
      </c>
      <c r="BA39" s="22">
        <v>1</v>
      </c>
      <c r="BL39" s="15"/>
      <c r="BQ39" s="15"/>
      <c r="BS39" s="15"/>
      <c r="BT39" s="15"/>
      <c r="BX39" s="15"/>
      <c r="CR39" s="15"/>
      <c r="CS39" s="15"/>
      <c r="CX39" s="15"/>
      <c r="CY39" s="15"/>
      <c r="DC39" s="15"/>
      <c r="DH39" s="1">
        <f t="shared" si="0"/>
        <v>3</v>
      </c>
      <c r="DI39" s="1">
        <f t="shared" si="1"/>
        <v>3</v>
      </c>
    </row>
    <row r="40" spans="1:113" ht="15.75" customHeight="1" x14ac:dyDescent="0.35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47">
        <v>480</v>
      </c>
      <c r="N40" s="17">
        <v>5</v>
      </c>
      <c r="AC40" s="15"/>
      <c r="AL40" s="15"/>
      <c r="AR40" s="15"/>
      <c r="AS40" s="15"/>
      <c r="AV40" s="15"/>
      <c r="AX40" s="15"/>
      <c r="AY40" s="15"/>
      <c r="BL40" s="15"/>
      <c r="BQ40" s="15"/>
      <c r="BS40" s="15"/>
      <c r="BT40" s="15"/>
      <c r="BX40" s="15"/>
      <c r="CR40" s="15"/>
      <c r="CS40" s="15"/>
      <c r="CX40" s="15"/>
      <c r="CY40" s="15"/>
      <c r="DC40" s="15"/>
      <c r="DH40" s="1">
        <f t="shared" si="0"/>
        <v>0</v>
      </c>
      <c r="DI40" s="1">
        <f t="shared" si="1"/>
        <v>0</v>
      </c>
    </row>
    <row r="41" spans="1:113" ht="15.75" customHeight="1" x14ac:dyDescent="0.35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47"/>
      <c r="N41" s="17">
        <v>5</v>
      </c>
      <c r="X41" s="4"/>
      <c r="AC41" s="15"/>
      <c r="AD41" s="4"/>
      <c r="AI41" s="4"/>
      <c r="AL41" s="15"/>
      <c r="AN41" s="4"/>
      <c r="AQ41" s="4"/>
      <c r="AR41" s="15"/>
      <c r="AS41" s="15"/>
      <c r="AU41" s="4"/>
      <c r="AV41" s="15"/>
      <c r="AX41" s="15"/>
      <c r="AY41" s="15">
        <v>2</v>
      </c>
      <c r="AZ41" s="4"/>
      <c r="BA41" s="4"/>
      <c r="BF41" s="4"/>
      <c r="BG41" s="4"/>
      <c r="BJ41" s="4"/>
      <c r="BK41" s="4"/>
      <c r="BL41" s="15"/>
      <c r="BQ41" s="15"/>
      <c r="BS41" s="15"/>
      <c r="BT41" s="15"/>
      <c r="BV41" s="4"/>
      <c r="BX41" s="15">
        <v>1</v>
      </c>
      <c r="CM41" s="4"/>
      <c r="CN41" s="4"/>
      <c r="CR41" s="15"/>
      <c r="CS41" s="15"/>
      <c r="CT41" s="4"/>
      <c r="CX41" s="15"/>
      <c r="CY41" s="15"/>
      <c r="CZ41" s="4"/>
      <c r="DA41" s="4"/>
      <c r="DB41" s="4"/>
      <c r="DC41" s="15"/>
      <c r="DD41" s="4"/>
      <c r="DE41" s="4"/>
      <c r="DF41" s="4"/>
      <c r="DH41" s="1">
        <f t="shared" si="0"/>
        <v>2</v>
      </c>
      <c r="DI41" s="1">
        <f t="shared" si="1"/>
        <v>3</v>
      </c>
    </row>
    <row r="42" spans="1:113" ht="15.75" customHeight="1" x14ac:dyDescent="0.35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7">
        <v>3</v>
      </c>
      <c r="X42" s="4"/>
      <c r="AC42" s="15"/>
      <c r="AD42" s="4"/>
      <c r="AI42" s="4"/>
      <c r="AL42" s="15"/>
      <c r="AN42" s="4"/>
      <c r="AQ42" s="4"/>
      <c r="AR42" s="15"/>
      <c r="AS42" s="15"/>
      <c r="AU42" s="4"/>
      <c r="AV42" s="15"/>
      <c r="AX42" s="15"/>
      <c r="AY42" s="15"/>
      <c r="AZ42" s="4"/>
      <c r="BA42" s="4"/>
      <c r="BF42" s="4"/>
      <c r="BG42" s="4"/>
      <c r="BJ42" s="4"/>
      <c r="BK42" s="4"/>
      <c r="BL42" s="15"/>
      <c r="BQ42" s="15"/>
      <c r="BS42" s="15"/>
      <c r="BT42" s="15">
        <v>1</v>
      </c>
      <c r="BV42" s="4"/>
      <c r="BX42" s="15"/>
      <c r="CM42" s="4"/>
      <c r="CN42" s="4"/>
      <c r="CR42" s="15"/>
      <c r="CS42" s="15"/>
      <c r="CT42" s="4"/>
      <c r="CX42" s="15"/>
      <c r="CY42" s="15"/>
      <c r="CZ42" s="4"/>
      <c r="DA42" s="4"/>
      <c r="DB42" s="4"/>
      <c r="DC42" s="15"/>
      <c r="DD42" s="4"/>
      <c r="DE42" s="4"/>
      <c r="DF42" s="4"/>
      <c r="DH42" s="1">
        <f t="shared" si="0"/>
        <v>1</v>
      </c>
      <c r="DI42" s="1">
        <f t="shared" si="1"/>
        <v>1</v>
      </c>
    </row>
    <row r="43" spans="1:113" ht="15.75" customHeight="1" x14ac:dyDescent="0.35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47">
        <v>480</v>
      </c>
      <c r="N43" s="17">
        <v>3</v>
      </c>
      <c r="AC43" s="15"/>
      <c r="AL43" s="15"/>
      <c r="AR43" s="15"/>
      <c r="AS43" s="15"/>
      <c r="AV43" s="15"/>
      <c r="AX43" s="15">
        <v>1</v>
      </c>
      <c r="AY43" s="15">
        <v>1</v>
      </c>
      <c r="AZ43" s="1">
        <v>1</v>
      </c>
      <c r="BL43" s="15"/>
      <c r="BQ43" s="15"/>
      <c r="BS43" s="15"/>
      <c r="BT43" s="15"/>
      <c r="BX43" s="15">
        <v>1</v>
      </c>
      <c r="CR43" s="15"/>
      <c r="CS43" s="15"/>
      <c r="CX43" s="15"/>
      <c r="CY43" s="15"/>
      <c r="DC43" s="15"/>
      <c r="DH43" s="1">
        <f t="shared" si="0"/>
        <v>4</v>
      </c>
      <c r="DI43" s="1">
        <f t="shared" si="1"/>
        <v>4</v>
      </c>
    </row>
    <row r="44" spans="1:113" ht="15.75" customHeight="1" x14ac:dyDescent="0.35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47"/>
      <c r="N44" s="17">
        <v>3</v>
      </c>
      <c r="Z44" s="1">
        <v>1</v>
      </c>
      <c r="AC44" s="15"/>
      <c r="AL44" s="15"/>
      <c r="AR44" s="15"/>
      <c r="AS44" s="15"/>
      <c r="AV44" s="15"/>
      <c r="AX44" s="15"/>
      <c r="AY44" s="15">
        <v>1</v>
      </c>
      <c r="BA44" s="1">
        <v>1</v>
      </c>
      <c r="BL44" s="15"/>
      <c r="BO44" s="1">
        <v>1</v>
      </c>
      <c r="BQ44" s="15"/>
      <c r="BS44" s="15"/>
      <c r="BT44" s="15"/>
      <c r="BX44" s="15"/>
      <c r="CR44" s="15"/>
      <c r="CS44" s="15"/>
      <c r="CX44" s="15"/>
      <c r="CY44" s="15"/>
      <c r="DC44" s="15"/>
      <c r="DH44" s="1">
        <f t="shared" si="0"/>
        <v>4</v>
      </c>
      <c r="DI44" s="1">
        <f t="shared" si="1"/>
        <v>4</v>
      </c>
    </row>
    <row r="45" spans="1:113" ht="15.75" customHeight="1" x14ac:dyDescent="0.35">
      <c r="A45" s="15" t="s">
        <v>134</v>
      </c>
      <c r="B45" s="23" t="s">
        <v>198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47">
        <v>480</v>
      </c>
      <c r="N45" s="17">
        <v>3</v>
      </c>
      <c r="AC45" s="15"/>
      <c r="AL45" s="15"/>
      <c r="AR45" s="15"/>
      <c r="AS45" s="15"/>
      <c r="AV45" s="15"/>
      <c r="AX45" s="15"/>
      <c r="AY45" s="15"/>
      <c r="BL45" s="15"/>
      <c r="BO45" s="1">
        <v>1</v>
      </c>
      <c r="BQ45" s="15"/>
      <c r="BS45" s="15"/>
      <c r="BT45" s="15"/>
      <c r="BX45" s="15"/>
      <c r="CR45" s="15"/>
      <c r="CS45" s="15"/>
      <c r="CX45" s="15"/>
      <c r="CY45" s="15"/>
      <c r="DC45" s="15"/>
      <c r="DH45" s="1">
        <f t="shared" si="0"/>
        <v>1</v>
      </c>
      <c r="DI45" s="1">
        <f t="shared" si="1"/>
        <v>1</v>
      </c>
    </row>
    <row r="46" spans="1:113" ht="15.75" customHeight="1" x14ac:dyDescent="0.35">
      <c r="A46" s="15" t="s">
        <v>134</v>
      </c>
      <c r="B46" s="15" t="s">
        <v>198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47"/>
      <c r="N46" s="17">
        <v>3</v>
      </c>
      <c r="V46" s="1">
        <v>1</v>
      </c>
      <c r="AC46" s="15"/>
      <c r="AL46" s="15"/>
      <c r="AR46" s="15"/>
      <c r="AS46" s="15"/>
      <c r="AV46" s="15"/>
      <c r="AX46" s="15"/>
      <c r="AY46" s="15"/>
      <c r="BL46" s="15"/>
      <c r="BQ46" s="15"/>
      <c r="BS46" s="15"/>
      <c r="BT46" s="15"/>
      <c r="BX46" s="15">
        <v>1</v>
      </c>
      <c r="CR46" s="15"/>
      <c r="CS46" s="15"/>
      <c r="CX46" s="15"/>
      <c r="CY46" s="15"/>
      <c r="DC46" s="15"/>
      <c r="DH46" s="1">
        <f t="shared" si="0"/>
        <v>2</v>
      </c>
      <c r="DI46" s="1">
        <f t="shared" si="1"/>
        <v>2</v>
      </c>
    </row>
    <row r="47" spans="1:113" ht="15.75" customHeight="1" x14ac:dyDescent="0.35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7"/>
      <c r="AC47" s="15"/>
      <c r="AL47" s="15"/>
      <c r="AR47" s="15"/>
      <c r="AS47" s="15"/>
      <c r="AV47" s="15"/>
      <c r="AX47" s="15"/>
      <c r="AY47" s="15"/>
      <c r="BL47" s="15"/>
      <c r="BQ47" s="15"/>
      <c r="BS47" s="15"/>
      <c r="BT47" s="15"/>
      <c r="BX47" s="15"/>
      <c r="CR47" s="15"/>
      <c r="CS47" s="15"/>
      <c r="CX47" s="15"/>
      <c r="CY47" s="15"/>
      <c r="DC47" s="15"/>
      <c r="DH47" s="1">
        <f t="shared" si="0"/>
        <v>0</v>
      </c>
      <c r="DI47" s="1">
        <f t="shared" si="1"/>
        <v>0</v>
      </c>
    </row>
    <row r="48" spans="1:113" ht="15.75" customHeight="1" x14ac:dyDescent="0.35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480</v>
      </c>
      <c r="N48" s="21">
        <v>4</v>
      </c>
      <c r="AC48" s="15">
        <v>1</v>
      </c>
      <c r="AD48" s="1">
        <v>1</v>
      </c>
      <c r="AL48" s="15"/>
      <c r="AR48" s="15">
        <v>5</v>
      </c>
      <c r="AS48" s="15"/>
      <c r="AV48" s="15"/>
      <c r="AX48" s="15">
        <v>1</v>
      </c>
      <c r="AY48" s="15"/>
      <c r="BL48" s="15">
        <v>1</v>
      </c>
      <c r="BQ48" s="15"/>
      <c r="BS48" s="15"/>
      <c r="BT48" s="15">
        <v>2</v>
      </c>
      <c r="BV48" s="1">
        <v>2</v>
      </c>
      <c r="BX48" s="15"/>
      <c r="CO48" s="1">
        <v>4</v>
      </c>
      <c r="CR48" s="15"/>
      <c r="CS48" s="15"/>
      <c r="CX48" s="15"/>
      <c r="CY48" s="15"/>
      <c r="CZ48" s="1">
        <v>1</v>
      </c>
      <c r="DC48" s="15"/>
      <c r="DH48" s="1">
        <f t="shared" si="0"/>
        <v>9</v>
      </c>
      <c r="DI48" s="1">
        <f t="shared" si="1"/>
        <v>18</v>
      </c>
    </row>
    <row r="49" spans="1:113" ht="15.75" customHeight="1" x14ac:dyDescent="0.35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21">
        <v>3</v>
      </c>
      <c r="W49" s="1">
        <v>1</v>
      </c>
      <c r="AC49" s="15">
        <v>1</v>
      </c>
      <c r="AE49" s="1">
        <v>1</v>
      </c>
      <c r="AL49" s="15"/>
      <c r="AR49" s="15"/>
      <c r="AS49" s="15"/>
      <c r="AV49" s="15"/>
      <c r="AX49" s="15">
        <v>1</v>
      </c>
      <c r="AY49" s="15"/>
      <c r="BB49" s="1">
        <v>1</v>
      </c>
      <c r="BL49" s="15"/>
      <c r="BQ49" s="15"/>
      <c r="BS49" s="15"/>
      <c r="BT49" s="15">
        <v>1</v>
      </c>
      <c r="BX49" s="15">
        <v>1</v>
      </c>
      <c r="CB49" s="1">
        <v>1</v>
      </c>
      <c r="CC49" s="1">
        <v>1</v>
      </c>
      <c r="CR49" s="15"/>
      <c r="CS49" s="15"/>
      <c r="CX49" s="15">
        <v>1</v>
      </c>
      <c r="CY49" s="15"/>
      <c r="CZ49" s="1">
        <v>1</v>
      </c>
      <c r="DC49" s="15"/>
      <c r="DH49" s="1">
        <f t="shared" si="0"/>
        <v>11</v>
      </c>
      <c r="DI49" s="1">
        <f t="shared" si="1"/>
        <v>11</v>
      </c>
    </row>
    <row r="50" spans="1:113" ht="15.75" customHeight="1" x14ac:dyDescent="0.35">
      <c r="A50" s="15" t="s">
        <v>141</v>
      </c>
      <c r="B50" s="26" t="s">
        <v>200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21">
        <v>5</v>
      </c>
      <c r="P50" s="1">
        <v>1</v>
      </c>
      <c r="AC50" s="15"/>
      <c r="AL50" s="15"/>
      <c r="AR50" s="15"/>
      <c r="AS50" s="15"/>
      <c r="AV50" s="15"/>
      <c r="AX50" s="15"/>
      <c r="AY50" s="15">
        <v>1</v>
      </c>
      <c r="BB50" s="1">
        <v>3</v>
      </c>
      <c r="BL50" s="15">
        <v>1</v>
      </c>
      <c r="BQ50" s="15"/>
      <c r="BS50" s="15"/>
      <c r="BT50" s="15">
        <v>2</v>
      </c>
      <c r="BX50" s="15"/>
      <c r="CF50" s="1">
        <v>1</v>
      </c>
      <c r="CI50" s="1">
        <v>1</v>
      </c>
      <c r="CR50" s="15"/>
      <c r="CS50" s="15"/>
      <c r="CX50" s="15"/>
      <c r="CY50" s="15"/>
      <c r="DC50" s="15"/>
      <c r="DH50" s="1">
        <f t="shared" si="0"/>
        <v>7</v>
      </c>
      <c r="DI50" s="1">
        <f t="shared" si="1"/>
        <v>10</v>
      </c>
    </row>
    <row r="51" spans="1:113" ht="15.75" customHeight="1" x14ac:dyDescent="0.35">
      <c r="A51" s="15" t="s">
        <v>141</v>
      </c>
      <c r="B51" s="26" t="s">
        <v>200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480</v>
      </c>
      <c r="N51" s="21">
        <v>5</v>
      </c>
      <c r="W51" s="1">
        <v>1</v>
      </c>
      <c r="AC51" s="15"/>
      <c r="AD51" s="1">
        <v>1</v>
      </c>
      <c r="AE51" s="1">
        <v>1</v>
      </c>
      <c r="AL51" s="15"/>
      <c r="AR51" s="15"/>
      <c r="AS51" s="15"/>
      <c r="AV51" s="15"/>
      <c r="AX51" s="15"/>
      <c r="AY51" s="15">
        <v>1</v>
      </c>
      <c r="BL51" s="15"/>
      <c r="BQ51" s="15"/>
      <c r="BS51" s="15"/>
      <c r="BT51" s="15"/>
      <c r="BX51" s="15"/>
      <c r="CG51" s="1">
        <v>1</v>
      </c>
      <c r="CI51" s="1">
        <v>2</v>
      </c>
      <c r="CR51" s="15"/>
      <c r="CS51" s="15"/>
      <c r="CX51" s="15">
        <v>1</v>
      </c>
      <c r="CY51" s="15"/>
      <c r="CZ51" s="1">
        <v>1</v>
      </c>
      <c r="DC51" s="15"/>
      <c r="DH51" s="1">
        <f t="shared" si="0"/>
        <v>8</v>
      </c>
      <c r="DI51" s="1">
        <f t="shared" si="1"/>
        <v>9</v>
      </c>
    </row>
    <row r="52" spans="1:113" ht="15.75" customHeight="1" x14ac:dyDescent="0.35">
      <c r="A52" s="15" t="s">
        <v>141</v>
      </c>
      <c r="B52" s="26" t="s">
        <v>200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/>
      <c r="N52" s="21">
        <v>5</v>
      </c>
      <c r="AC52" s="15"/>
      <c r="AL52" s="15"/>
      <c r="AR52" s="15"/>
      <c r="AS52" s="15"/>
      <c r="AV52" s="15"/>
      <c r="AX52" s="15"/>
      <c r="AY52" s="15">
        <v>1</v>
      </c>
      <c r="BL52" s="15"/>
      <c r="BQ52" s="15"/>
      <c r="BS52" s="15"/>
      <c r="BT52" s="15"/>
      <c r="BX52" s="15"/>
      <c r="CG52" s="1">
        <v>1</v>
      </c>
      <c r="CR52" s="15"/>
      <c r="CS52" s="15"/>
      <c r="CV52" s="1">
        <v>1</v>
      </c>
      <c r="CX52" s="15"/>
      <c r="CY52" s="15"/>
      <c r="DC52" s="15"/>
      <c r="DH52" s="1">
        <f t="shared" si="0"/>
        <v>3</v>
      </c>
      <c r="DI52" s="1">
        <f t="shared" si="1"/>
        <v>3</v>
      </c>
    </row>
    <row r="53" spans="1:113" ht="15.75" customHeight="1" x14ac:dyDescent="0.35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480</v>
      </c>
      <c r="N53" s="21">
        <v>5</v>
      </c>
      <c r="AC53" s="15"/>
      <c r="AL53" s="15"/>
      <c r="AR53" s="15">
        <v>4</v>
      </c>
      <c r="AS53" s="15"/>
      <c r="AV53" s="15"/>
      <c r="AX53" s="15"/>
      <c r="AY53" s="15"/>
      <c r="BL53" s="15"/>
      <c r="BQ53" s="15"/>
      <c r="BS53" s="15"/>
      <c r="BT53" s="15"/>
      <c r="BX53" s="15"/>
      <c r="CR53" s="15"/>
      <c r="CS53" s="15"/>
      <c r="CV53" s="1">
        <v>1</v>
      </c>
      <c r="CX53" s="15">
        <v>1</v>
      </c>
      <c r="CY53" s="15"/>
      <c r="CZ53" s="1">
        <v>1</v>
      </c>
      <c r="DB53" s="1">
        <v>2</v>
      </c>
      <c r="DC53" s="15"/>
      <c r="DH53" s="1">
        <f t="shared" si="0"/>
        <v>5</v>
      </c>
      <c r="DI53" s="1">
        <f t="shared" si="1"/>
        <v>9</v>
      </c>
    </row>
    <row r="54" spans="1:113" ht="15.75" customHeight="1" x14ac:dyDescent="0.35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/>
      <c r="N54" s="21">
        <v>5</v>
      </c>
      <c r="AC54" s="15"/>
      <c r="AL54" s="15"/>
      <c r="AR54" s="15"/>
      <c r="AS54" s="15"/>
      <c r="AV54" s="15"/>
      <c r="AX54" s="15"/>
      <c r="AY54" s="15"/>
      <c r="BL54" s="15"/>
      <c r="BQ54" s="15"/>
      <c r="BS54" s="15"/>
      <c r="BT54" s="15"/>
      <c r="BX54" s="15"/>
      <c r="CR54" s="15"/>
      <c r="CS54" s="15"/>
      <c r="CV54" s="1">
        <v>1</v>
      </c>
      <c r="CX54" s="15"/>
      <c r="CY54" s="15"/>
      <c r="DC54" s="15"/>
      <c r="DH54" s="1">
        <f t="shared" si="0"/>
        <v>1</v>
      </c>
      <c r="DI54" s="1">
        <f t="shared" si="1"/>
        <v>1</v>
      </c>
    </row>
    <row r="55" spans="1:113" ht="15.75" customHeight="1" x14ac:dyDescent="0.35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480</v>
      </c>
      <c r="N55" s="21">
        <v>3</v>
      </c>
      <c r="W55" s="1">
        <v>1</v>
      </c>
      <c r="AC55" s="15"/>
      <c r="AL55" s="15"/>
      <c r="AR55" s="15"/>
      <c r="AS55" s="15"/>
      <c r="AV55" s="15"/>
      <c r="AX55" s="15"/>
      <c r="AY55" s="15">
        <v>1</v>
      </c>
      <c r="BL55" s="15"/>
      <c r="BQ55" s="15"/>
      <c r="BS55" s="15"/>
      <c r="BT55" s="15"/>
      <c r="BV55" s="1">
        <v>2</v>
      </c>
      <c r="BX55" s="15">
        <v>3</v>
      </c>
      <c r="CR55" s="15"/>
      <c r="CS55" s="15"/>
      <c r="CX55" s="15"/>
      <c r="CY55" s="15"/>
      <c r="DC55" s="15"/>
      <c r="DH55" s="1">
        <f t="shared" si="0"/>
        <v>4</v>
      </c>
      <c r="DI55" s="1">
        <f t="shared" si="1"/>
        <v>7</v>
      </c>
    </row>
    <row r="56" spans="1:113" ht="15.75" customHeight="1" x14ac:dyDescent="0.35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/>
      <c r="N56" s="21">
        <v>3</v>
      </c>
      <c r="AC56" s="15"/>
      <c r="AL56" s="15"/>
      <c r="AR56" s="15"/>
      <c r="AS56" s="15"/>
      <c r="AV56" s="15"/>
      <c r="AX56" s="15"/>
      <c r="AY56" s="15">
        <v>2</v>
      </c>
      <c r="BL56" s="15"/>
      <c r="BQ56" s="15"/>
      <c r="BS56" s="15"/>
      <c r="BT56" s="15"/>
      <c r="BX56" s="15">
        <v>2</v>
      </c>
      <c r="CR56" s="15"/>
      <c r="CS56" s="15"/>
      <c r="CX56" s="15"/>
      <c r="CY56" s="15"/>
      <c r="DC56" s="15"/>
      <c r="DH56" s="1">
        <f t="shared" si="0"/>
        <v>2</v>
      </c>
      <c r="DI56" s="1">
        <f t="shared" si="1"/>
        <v>4</v>
      </c>
    </row>
    <row r="57" spans="1:113" ht="15.75" customHeight="1" x14ac:dyDescent="0.35">
      <c r="A57" s="15" t="s">
        <v>141</v>
      </c>
      <c r="B57" s="26" t="s">
        <v>198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480</v>
      </c>
      <c r="N57" s="21">
        <v>3</v>
      </c>
      <c r="T57" s="1">
        <v>2</v>
      </c>
      <c r="AC57" s="15"/>
      <c r="AL57" s="15"/>
      <c r="AR57" s="15"/>
      <c r="AS57" s="15"/>
      <c r="AV57" s="15"/>
      <c r="AX57" s="15"/>
      <c r="AY57" s="15"/>
      <c r="BL57" s="15"/>
      <c r="BQ57" s="15"/>
      <c r="BS57" s="15"/>
      <c r="BT57" s="15">
        <v>3</v>
      </c>
      <c r="BX57" s="15">
        <v>1</v>
      </c>
      <c r="CG57" s="1">
        <v>1</v>
      </c>
      <c r="CR57" s="15"/>
      <c r="CS57" s="15"/>
      <c r="CX57" s="15"/>
      <c r="CY57" s="15"/>
      <c r="DC57" s="15"/>
      <c r="DD57" s="1">
        <v>4</v>
      </c>
      <c r="DF57" s="1">
        <v>1</v>
      </c>
      <c r="DH57" s="1">
        <f t="shared" si="0"/>
        <v>6</v>
      </c>
      <c r="DI57" s="1">
        <f t="shared" si="1"/>
        <v>12</v>
      </c>
    </row>
    <row r="58" spans="1:113" ht="15.75" customHeight="1" x14ac:dyDescent="0.35">
      <c r="A58" s="15" t="s">
        <v>141</v>
      </c>
      <c r="B58" s="26" t="s">
        <v>198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/>
      <c r="N58" s="21">
        <v>3</v>
      </c>
      <c r="AC58" s="15"/>
      <c r="AL58" s="15"/>
      <c r="AR58" s="15"/>
      <c r="AS58" s="15"/>
      <c r="AV58" s="15"/>
      <c r="AX58" s="15"/>
      <c r="AY58" s="15">
        <v>3</v>
      </c>
      <c r="BL58" s="15"/>
      <c r="BQ58" s="15"/>
      <c r="BS58" s="15"/>
      <c r="BT58" s="15">
        <v>2</v>
      </c>
      <c r="BX58" s="15">
        <v>2</v>
      </c>
      <c r="CR58" s="15"/>
      <c r="CS58" s="15"/>
      <c r="CX58" s="15"/>
      <c r="CY58" s="15"/>
      <c r="DC58" s="15"/>
      <c r="DE58" s="1">
        <v>8</v>
      </c>
      <c r="DH58" s="1">
        <f t="shared" si="0"/>
        <v>4</v>
      </c>
      <c r="DI58" s="1">
        <f t="shared" si="1"/>
        <v>15</v>
      </c>
    </row>
    <row r="59" spans="1:113" ht="15.75" customHeight="1" x14ac:dyDescent="0.35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21">
        <v>3</v>
      </c>
      <c r="AC59" s="15"/>
      <c r="AL59" s="15"/>
      <c r="AR59" s="15"/>
      <c r="AS59" s="15"/>
      <c r="AV59" s="15"/>
      <c r="AX59" s="15"/>
      <c r="AY59" s="15"/>
      <c r="BL59" s="15"/>
      <c r="BQ59" s="15"/>
      <c r="BS59" s="15"/>
      <c r="BT59" s="15"/>
      <c r="BX59" s="15"/>
      <c r="CR59" s="15"/>
      <c r="CS59" s="15"/>
      <c r="CX59" s="15"/>
      <c r="CY59" s="15"/>
      <c r="DC59" s="15"/>
      <c r="DH59" s="1">
        <f t="shared" si="0"/>
        <v>0</v>
      </c>
      <c r="DI59" s="1">
        <f t="shared" si="1"/>
        <v>0</v>
      </c>
    </row>
    <row r="60" spans="1:113" ht="15.75" customHeight="1" x14ac:dyDescent="0.35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21"/>
      <c r="AC60" s="15"/>
      <c r="AL60" s="15"/>
      <c r="AR60" s="15"/>
      <c r="AS60" s="15"/>
      <c r="AV60" s="15"/>
      <c r="AX60" s="15"/>
      <c r="AY60" s="15"/>
      <c r="BL60" s="15"/>
      <c r="BQ60" s="15"/>
      <c r="BS60" s="15"/>
      <c r="BT60" s="15"/>
      <c r="BX60" s="15"/>
      <c r="CI60" s="1">
        <v>1</v>
      </c>
      <c r="CJ60" s="1">
        <v>1</v>
      </c>
      <c r="CR60" s="15"/>
      <c r="CS60" s="15"/>
      <c r="CX60" s="15"/>
      <c r="CY60" s="15"/>
      <c r="DC60" s="15"/>
      <c r="DH60" s="1">
        <f t="shared" si="0"/>
        <v>2</v>
      </c>
      <c r="DI60" s="1">
        <f t="shared" si="1"/>
        <v>2</v>
      </c>
    </row>
    <row r="61" spans="1:113" ht="15.75" customHeight="1" x14ac:dyDescent="0.35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21">
        <v>1</v>
      </c>
      <c r="T61" s="1">
        <v>2</v>
      </c>
      <c r="AC61" s="15"/>
      <c r="AL61" s="15"/>
      <c r="AR61" s="15"/>
      <c r="AS61" s="15"/>
      <c r="AV61" s="15"/>
      <c r="AX61" s="15"/>
      <c r="AY61" s="15"/>
      <c r="BL61" s="15"/>
      <c r="BN61" s="1">
        <v>2</v>
      </c>
      <c r="BO61" s="1">
        <v>3</v>
      </c>
      <c r="BQ61" s="15"/>
      <c r="BS61" s="15"/>
      <c r="BT61" s="15"/>
      <c r="BX61" s="15"/>
      <c r="CR61" s="15"/>
      <c r="CS61" s="15"/>
      <c r="CX61" s="15"/>
      <c r="CY61" s="15"/>
      <c r="DC61" s="15"/>
      <c r="DH61" s="1">
        <f t="shared" si="0"/>
        <v>3</v>
      </c>
      <c r="DI61" s="1">
        <f t="shared" si="1"/>
        <v>7</v>
      </c>
    </row>
    <row r="62" spans="1:113" ht="15.75" customHeight="1" x14ac:dyDescent="0.35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21">
        <v>6</v>
      </c>
      <c r="AC62" s="15"/>
      <c r="AL62" s="15"/>
      <c r="AR62" s="15"/>
      <c r="AS62" s="15"/>
      <c r="AV62" s="15"/>
      <c r="AX62" s="15"/>
      <c r="AY62" s="15"/>
      <c r="BL62" s="15"/>
      <c r="BQ62" s="15"/>
      <c r="BS62" s="15"/>
      <c r="BT62" s="15"/>
      <c r="BX62" s="15"/>
      <c r="CR62" s="15"/>
      <c r="CS62" s="15"/>
      <c r="CX62" s="15"/>
      <c r="CY62" s="15"/>
      <c r="DC62" s="15"/>
      <c r="DH62" s="1">
        <f t="shared" si="0"/>
        <v>0</v>
      </c>
      <c r="DI62" s="1">
        <f t="shared" si="1"/>
        <v>0</v>
      </c>
    </row>
    <row r="63" spans="1:113" ht="15.75" customHeight="1" x14ac:dyDescent="0.35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7"/>
      <c r="AC63" s="15"/>
      <c r="AL63" s="15"/>
      <c r="AR63" s="15"/>
      <c r="AS63" s="15"/>
      <c r="AV63" s="15"/>
      <c r="AX63" s="15"/>
      <c r="AY63" s="15"/>
      <c r="BL63" s="15"/>
      <c r="BQ63" s="15"/>
      <c r="BS63" s="15"/>
      <c r="BT63" s="15"/>
      <c r="BX63" s="15"/>
      <c r="CR63" s="15"/>
      <c r="CS63" s="15"/>
      <c r="CX63" s="15"/>
      <c r="CY63" s="15"/>
      <c r="DC63" s="15"/>
      <c r="DH63" s="1">
        <f t="shared" si="0"/>
        <v>0</v>
      </c>
      <c r="DI63" s="1">
        <f t="shared" si="1"/>
        <v>0</v>
      </c>
    </row>
    <row r="64" spans="1:113" ht="15.75" customHeight="1" x14ac:dyDescent="0.35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7">
        <v>4</v>
      </c>
      <c r="AC64" s="15">
        <v>2</v>
      </c>
      <c r="AK64" s="1">
        <v>1</v>
      </c>
      <c r="AL64" s="15"/>
      <c r="AR64" s="15"/>
      <c r="AS64" s="15"/>
      <c r="AV64" s="15"/>
      <c r="AX64" s="15"/>
      <c r="AY64" s="15"/>
      <c r="BL64" s="15">
        <v>1</v>
      </c>
      <c r="BQ64" s="15"/>
      <c r="BS64" s="15"/>
      <c r="BT64" s="15">
        <v>3</v>
      </c>
      <c r="BX64" s="15"/>
      <c r="CM64" s="1">
        <v>4</v>
      </c>
      <c r="CO64" s="1">
        <v>11</v>
      </c>
      <c r="CR64" s="15"/>
      <c r="CS64" s="15"/>
      <c r="CX64" s="15"/>
      <c r="CY64" s="15"/>
      <c r="DC64" s="15"/>
      <c r="DH64" s="1">
        <f t="shared" si="0"/>
        <v>6</v>
      </c>
      <c r="DI64" s="1">
        <f t="shared" si="1"/>
        <v>22</v>
      </c>
    </row>
    <row r="65" spans="1:113" ht="15.75" customHeight="1" x14ac:dyDescent="0.35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7">
        <v>3</v>
      </c>
      <c r="P65" s="1">
        <v>1</v>
      </c>
      <c r="AC65" s="15">
        <v>3</v>
      </c>
      <c r="AL65" s="15">
        <v>1</v>
      </c>
      <c r="AR65" s="15"/>
      <c r="AS65" s="15"/>
      <c r="AV65" s="15"/>
      <c r="AX65" s="15"/>
      <c r="AY65" s="15"/>
      <c r="BH65" s="1">
        <v>1</v>
      </c>
      <c r="BL65" s="15"/>
      <c r="BQ65" s="15"/>
      <c r="BS65" s="15"/>
      <c r="BT65" s="15">
        <v>4</v>
      </c>
      <c r="BX65" s="15"/>
      <c r="BY65" s="1">
        <v>1</v>
      </c>
      <c r="CF65" s="1">
        <v>1</v>
      </c>
      <c r="CI65" s="1">
        <v>1</v>
      </c>
      <c r="CP65" s="1">
        <v>1</v>
      </c>
      <c r="CR65" s="15"/>
      <c r="CS65" s="15"/>
      <c r="CX65" s="15"/>
      <c r="CY65" s="15"/>
      <c r="DC65" s="15"/>
      <c r="DH65" s="1">
        <f t="shared" si="0"/>
        <v>9</v>
      </c>
      <c r="DI65" s="1">
        <f t="shared" si="1"/>
        <v>14</v>
      </c>
    </row>
    <row r="66" spans="1:113" ht="15.75" customHeight="1" x14ac:dyDescent="0.35">
      <c r="A66" s="15" t="s">
        <v>146</v>
      </c>
      <c r="B66" s="23" t="s">
        <v>200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7">
        <v>5</v>
      </c>
      <c r="AC66" s="15"/>
      <c r="AE66" s="1">
        <v>1</v>
      </c>
      <c r="AL66" s="15"/>
      <c r="AR66" s="15"/>
      <c r="AS66" s="15"/>
      <c r="AV66" s="15"/>
      <c r="AX66" s="15"/>
      <c r="AY66" s="15"/>
      <c r="AZ66" s="1">
        <v>1</v>
      </c>
      <c r="BC66" s="1">
        <v>1</v>
      </c>
      <c r="BD66" s="1">
        <v>1</v>
      </c>
      <c r="BL66" s="15">
        <v>1</v>
      </c>
      <c r="BQ66" s="15"/>
      <c r="BS66" s="15"/>
      <c r="BT66" s="15"/>
      <c r="BX66" s="15"/>
      <c r="CC66" s="1">
        <v>1</v>
      </c>
      <c r="CE66" s="1">
        <v>1</v>
      </c>
      <c r="CF66" s="1">
        <v>1</v>
      </c>
      <c r="CR66" s="15"/>
      <c r="CS66" s="15"/>
      <c r="CX66" s="15"/>
      <c r="CY66" s="15"/>
      <c r="DC66" s="15"/>
      <c r="DH66" s="1">
        <f t="shared" si="0"/>
        <v>8</v>
      </c>
      <c r="DI66" s="1">
        <f t="shared" si="1"/>
        <v>8</v>
      </c>
    </row>
    <row r="67" spans="1:113" ht="15.75" customHeight="1" x14ac:dyDescent="0.35">
      <c r="A67" s="15" t="s">
        <v>146</v>
      </c>
      <c r="B67" s="23" t="s">
        <v>200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>
        <v>870</v>
      </c>
      <c r="N67" s="17">
        <v>5</v>
      </c>
      <c r="AC67" s="15"/>
      <c r="AL67" s="15"/>
      <c r="AR67" s="15"/>
      <c r="AS67" s="15"/>
      <c r="AV67" s="15"/>
      <c r="AX67" s="15"/>
      <c r="AY67" s="15"/>
      <c r="BL67" s="15"/>
      <c r="BQ67" s="15"/>
      <c r="BS67" s="15"/>
      <c r="BT67" s="15"/>
      <c r="BX67" s="15"/>
      <c r="CK67" s="1">
        <v>5</v>
      </c>
      <c r="CR67" s="15"/>
      <c r="CS67" s="15"/>
      <c r="CX67" s="15">
        <v>1</v>
      </c>
      <c r="CY67" s="15"/>
      <c r="DC67" s="15"/>
      <c r="DH67" s="1">
        <f t="shared" si="0"/>
        <v>2</v>
      </c>
      <c r="DI67" s="1">
        <f t="shared" si="1"/>
        <v>6</v>
      </c>
    </row>
    <row r="68" spans="1:113" ht="15.75" customHeight="1" x14ac:dyDescent="0.35">
      <c r="A68" s="15" t="s">
        <v>146</v>
      </c>
      <c r="B68" s="23" t="s">
        <v>200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7">
        <v>5</v>
      </c>
      <c r="AC68" s="15"/>
      <c r="AE68" s="1">
        <v>1</v>
      </c>
      <c r="AL68" s="15"/>
      <c r="AM68" s="1">
        <v>1</v>
      </c>
      <c r="AR68" s="15"/>
      <c r="AS68" s="15"/>
      <c r="AV68" s="15"/>
      <c r="AX68" s="15">
        <v>1</v>
      </c>
      <c r="AY68" s="15"/>
      <c r="BL68" s="15"/>
      <c r="BQ68" s="15"/>
      <c r="BS68" s="15"/>
      <c r="BT68" s="15"/>
      <c r="BX68" s="15"/>
      <c r="CC68" s="1">
        <v>1</v>
      </c>
      <c r="CF68" s="1">
        <v>1</v>
      </c>
      <c r="CR68" s="15"/>
      <c r="CS68" s="15"/>
      <c r="CX68" s="15"/>
      <c r="CY68" s="15"/>
      <c r="DC68" s="15"/>
      <c r="DH68" s="1">
        <f t="shared" si="0"/>
        <v>5</v>
      </c>
      <c r="DI68" s="1">
        <f t="shared" si="1"/>
        <v>5</v>
      </c>
    </row>
    <row r="69" spans="1:113" ht="15.75" customHeight="1" x14ac:dyDescent="0.35">
      <c r="A69" s="15" t="s">
        <v>146</v>
      </c>
      <c r="B69" s="23" t="s">
        <v>200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7">
        <v>5</v>
      </c>
      <c r="AC69" s="15"/>
      <c r="AL69" s="15">
        <v>1</v>
      </c>
      <c r="AR69" s="15"/>
      <c r="AS69" s="15"/>
      <c r="AV69" s="15"/>
      <c r="AX69" s="15"/>
      <c r="AY69" s="15"/>
      <c r="BL69" s="15"/>
      <c r="BQ69" s="15"/>
      <c r="BS69" s="15"/>
      <c r="BT69" s="15"/>
      <c r="BX69" s="15"/>
      <c r="CR69" s="15"/>
      <c r="CS69" s="15"/>
      <c r="CX69" s="15"/>
      <c r="CY69" s="15"/>
      <c r="DC69" s="15"/>
      <c r="DH69" s="1">
        <f t="shared" si="0"/>
        <v>1</v>
      </c>
      <c r="DI69" s="1">
        <f t="shared" si="1"/>
        <v>1</v>
      </c>
    </row>
    <row r="70" spans="1:113" ht="15.75" customHeight="1" x14ac:dyDescent="0.35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870</v>
      </c>
      <c r="N70" s="17">
        <v>3</v>
      </c>
      <c r="AC70" s="15"/>
      <c r="AL70" s="15"/>
      <c r="AR70" s="15"/>
      <c r="AS70" s="15"/>
      <c r="AV70" s="15"/>
      <c r="AX70" s="15"/>
      <c r="AY70" s="15"/>
      <c r="BL70" s="15"/>
      <c r="BQ70" s="15"/>
      <c r="BS70" s="15"/>
      <c r="BT70" s="15"/>
      <c r="BX70" s="15"/>
      <c r="CF70" s="1">
        <v>1</v>
      </c>
      <c r="CH70" s="1">
        <v>1</v>
      </c>
      <c r="CI70" s="1">
        <v>1</v>
      </c>
      <c r="CR70" s="15"/>
      <c r="CS70" s="15"/>
      <c r="CV70" s="1">
        <v>2</v>
      </c>
      <c r="CX70" s="15"/>
      <c r="CY70" s="15"/>
      <c r="CZ70" s="1">
        <v>1</v>
      </c>
      <c r="DC70" s="15"/>
      <c r="DH70" s="1">
        <f t="shared" ref="DH70:DH133" si="2">COUNT(O70:DG70)</f>
        <v>5</v>
      </c>
      <c r="DI70" s="1">
        <f t="shared" ref="DI70:DI133" si="3">SUM(O70:DG70)</f>
        <v>6</v>
      </c>
    </row>
    <row r="71" spans="1:113" ht="15.75" customHeight="1" x14ac:dyDescent="0.35">
      <c r="A71" s="15" t="s">
        <v>146</v>
      </c>
      <c r="B71" s="23" t="s">
        <v>198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870</v>
      </c>
      <c r="N71" s="17">
        <v>3</v>
      </c>
      <c r="AC71" s="15"/>
      <c r="AL71" s="15"/>
      <c r="AR71" s="15"/>
      <c r="AS71" s="15"/>
      <c r="AV71" s="15"/>
      <c r="AX71" s="15"/>
      <c r="AY71" s="15"/>
      <c r="BL71" s="15"/>
      <c r="BQ71" s="15"/>
      <c r="BS71" s="15"/>
      <c r="BT71" s="15"/>
      <c r="BX71" s="15">
        <v>1</v>
      </c>
      <c r="CI71" s="1">
        <v>1</v>
      </c>
      <c r="CJ71" s="1">
        <v>1</v>
      </c>
      <c r="CR71" s="15"/>
      <c r="CS71" s="15"/>
      <c r="CV71" s="1">
        <v>1</v>
      </c>
      <c r="CX71" s="15"/>
      <c r="CY71" s="15"/>
      <c r="DC71" s="15"/>
      <c r="DH71" s="1">
        <f t="shared" si="2"/>
        <v>4</v>
      </c>
      <c r="DI71" s="1">
        <f t="shared" si="3"/>
        <v>4</v>
      </c>
    </row>
    <row r="72" spans="1:113" ht="15.75" customHeight="1" x14ac:dyDescent="0.35">
      <c r="A72" s="15" t="s">
        <v>146</v>
      </c>
      <c r="B72" s="23" t="s">
        <v>199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870</v>
      </c>
      <c r="N72" s="17">
        <v>2</v>
      </c>
      <c r="X72" s="1">
        <v>1</v>
      </c>
      <c r="AC72" s="15"/>
      <c r="AL72" s="15"/>
      <c r="AR72" s="15"/>
      <c r="AS72" s="15"/>
      <c r="AU72" s="1">
        <v>2</v>
      </c>
      <c r="AV72" s="15"/>
      <c r="AX72" s="15"/>
      <c r="AY72" s="15"/>
      <c r="BF72" s="1">
        <v>3</v>
      </c>
      <c r="BH72" s="1">
        <v>2</v>
      </c>
      <c r="BL72" s="15"/>
      <c r="BM72" s="1">
        <v>3</v>
      </c>
      <c r="BQ72" s="15"/>
      <c r="BS72" s="15"/>
      <c r="BT72" s="15"/>
      <c r="BX72" s="15"/>
      <c r="BZ72" s="1">
        <v>1</v>
      </c>
      <c r="CA72" s="1">
        <v>1</v>
      </c>
      <c r="CR72" s="15"/>
      <c r="CS72" s="15"/>
      <c r="CX72" s="15"/>
      <c r="CY72" s="15"/>
      <c r="DC72" s="15"/>
      <c r="DH72" s="1">
        <f t="shared" si="2"/>
        <v>7</v>
      </c>
      <c r="DI72" s="1">
        <f t="shared" si="3"/>
        <v>13</v>
      </c>
    </row>
    <row r="73" spans="1:113" ht="15.75" customHeight="1" x14ac:dyDescent="0.35">
      <c r="A73" s="15" t="s">
        <v>146</v>
      </c>
      <c r="B73" s="23" t="s">
        <v>199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7">
        <v>2</v>
      </c>
      <c r="AC73" s="15"/>
      <c r="AL73" s="15"/>
      <c r="AR73" s="15">
        <v>3</v>
      </c>
      <c r="AS73" s="15"/>
      <c r="AT73" s="1">
        <v>3</v>
      </c>
      <c r="AU73" s="1">
        <v>1</v>
      </c>
      <c r="AV73" s="15"/>
      <c r="AX73" s="15"/>
      <c r="AY73" s="15"/>
      <c r="BL73" s="15"/>
      <c r="BM73" s="1">
        <v>2</v>
      </c>
      <c r="BQ73" s="15"/>
      <c r="BS73" s="15"/>
      <c r="BT73" s="15"/>
      <c r="BX73" s="15"/>
      <c r="CR73" s="15"/>
      <c r="CS73" s="15"/>
      <c r="CX73" s="15"/>
      <c r="CY73" s="15"/>
      <c r="DC73" s="15"/>
      <c r="DH73" s="1">
        <f t="shared" si="2"/>
        <v>4</v>
      </c>
      <c r="DI73" s="1">
        <f t="shared" si="3"/>
        <v>9</v>
      </c>
    </row>
    <row r="74" spans="1:113" ht="15.75" customHeight="1" x14ac:dyDescent="0.35">
      <c r="A74" s="15" t="s">
        <v>146</v>
      </c>
      <c r="B74" s="23" t="s">
        <v>199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7">
        <v>2</v>
      </c>
      <c r="AC74" s="15"/>
      <c r="AL74" s="15"/>
      <c r="AR74" s="15"/>
      <c r="AS74" s="15"/>
      <c r="AV74" s="15"/>
      <c r="AX74" s="15"/>
      <c r="AY74" s="15"/>
      <c r="BL74" s="15"/>
      <c r="BQ74" s="15"/>
      <c r="BS74" s="15"/>
      <c r="BT74" s="15"/>
      <c r="BX74" s="15"/>
      <c r="CR74" s="15"/>
      <c r="CS74" s="15"/>
      <c r="CX74" s="15"/>
      <c r="CY74" s="15"/>
      <c r="DC74" s="15"/>
      <c r="DH74" s="1">
        <f t="shared" si="2"/>
        <v>0</v>
      </c>
      <c r="DI74" s="1">
        <f t="shared" si="3"/>
        <v>0</v>
      </c>
    </row>
    <row r="75" spans="1:113" ht="15.75" customHeight="1" x14ac:dyDescent="0.35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>
        <v>1360</v>
      </c>
      <c r="N75" s="17">
        <v>3</v>
      </c>
      <c r="V75" s="1">
        <v>1</v>
      </c>
      <c r="X75" s="1">
        <v>1</v>
      </c>
      <c r="AC75" s="15"/>
      <c r="AL75" s="15"/>
      <c r="AR75" s="15"/>
      <c r="AS75" s="15"/>
      <c r="AV75" s="15"/>
      <c r="AX75" s="15"/>
      <c r="AY75" s="15"/>
      <c r="BL75" s="15"/>
      <c r="BQ75" s="15"/>
      <c r="BS75" s="15"/>
      <c r="BT75" s="15"/>
      <c r="BX75" s="15"/>
      <c r="CR75" s="15"/>
      <c r="CS75" s="15"/>
      <c r="CX75" s="15"/>
      <c r="CY75" s="15"/>
      <c r="CZ75" s="1">
        <v>1</v>
      </c>
      <c r="DC75" s="15"/>
      <c r="DH75" s="1">
        <f t="shared" si="2"/>
        <v>3</v>
      </c>
      <c r="DI75" s="1">
        <f t="shared" si="3"/>
        <v>3</v>
      </c>
    </row>
    <row r="76" spans="1:113" ht="15.75" customHeight="1" x14ac:dyDescent="0.35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7">
        <v>3</v>
      </c>
      <c r="AC76" s="15"/>
      <c r="AL76" s="15"/>
      <c r="AR76" s="15"/>
      <c r="AS76" s="15"/>
      <c r="AV76" s="15"/>
      <c r="AX76" s="15"/>
      <c r="AY76" s="15"/>
      <c r="BL76" s="15"/>
      <c r="BQ76" s="15"/>
      <c r="BS76" s="15"/>
      <c r="BT76" s="15"/>
      <c r="BX76" s="15"/>
      <c r="CR76" s="15"/>
      <c r="CS76" s="15"/>
      <c r="CX76" s="15"/>
      <c r="CY76" s="15"/>
      <c r="DC76" s="15"/>
      <c r="DH76" s="1">
        <f t="shared" si="2"/>
        <v>0</v>
      </c>
      <c r="DI76" s="1">
        <f t="shared" si="3"/>
        <v>0</v>
      </c>
    </row>
    <row r="77" spans="1:113" ht="15.75" customHeight="1" x14ac:dyDescent="0.35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>
        <v>1360</v>
      </c>
      <c r="N77" s="17">
        <v>1</v>
      </c>
      <c r="X77" s="1">
        <v>2</v>
      </c>
      <c r="AC77" s="15"/>
      <c r="AL77" s="15"/>
      <c r="AR77" s="15">
        <v>2</v>
      </c>
      <c r="AS77" s="15"/>
      <c r="AV77" s="15"/>
      <c r="AX77" s="15"/>
      <c r="AY77" s="15"/>
      <c r="BL77" s="15"/>
      <c r="BQ77" s="15"/>
      <c r="BS77" s="15"/>
      <c r="BT77" s="15"/>
      <c r="BX77" s="15"/>
      <c r="CR77" s="15"/>
      <c r="CS77" s="15"/>
      <c r="CX77" s="15"/>
      <c r="CY77" s="15"/>
      <c r="CZ77" s="1">
        <v>1</v>
      </c>
      <c r="DC77" s="15"/>
      <c r="DH77" s="1">
        <f t="shared" si="2"/>
        <v>3</v>
      </c>
      <c r="DI77" s="1">
        <f t="shared" si="3"/>
        <v>5</v>
      </c>
    </row>
    <row r="78" spans="1:113" ht="15.75" customHeight="1" x14ac:dyDescent="0.35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>
        <v>1360</v>
      </c>
      <c r="N78" s="17">
        <v>6</v>
      </c>
      <c r="V78" s="1">
        <v>1</v>
      </c>
      <c r="X78" s="1">
        <v>1</v>
      </c>
      <c r="AC78" s="15"/>
      <c r="AL78" s="15"/>
      <c r="AR78" s="15">
        <v>2</v>
      </c>
      <c r="AS78" s="15"/>
      <c r="AV78" s="15"/>
      <c r="AX78" s="15"/>
      <c r="AY78" s="15"/>
      <c r="BL78" s="15"/>
      <c r="BQ78" s="15"/>
      <c r="BS78" s="15"/>
      <c r="BT78" s="15"/>
      <c r="BX78" s="15"/>
      <c r="CR78" s="15"/>
      <c r="CS78" s="15"/>
      <c r="CX78" s="15"/>
      <c r="CY78" s="15"/>
      <c r="DC78" s="15"/>
      <c r="DH78" s="1">
        <f t="shared" si="2"/>
        <v>3</v>
      </c>
      <c r="DI78" s="1">
        <f t="shared" si="3"/>
        <v>4</v>
      </c>
    </row>
    <row r="79" spans="1:113" ht="15.75" customHeight="1" x14ac:dyDescent="0.35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/>
      <c r="N79" s="17">
        <v>6</v>
      </c>
      <c r="AC79" s="15"/>
      <c r="AL79" s="15"/>
      <c r="AR79" s="15"/>
      <c r="AS79" s="15"/>
      <c r="AV79" s="15"/>
      <c r="AX79" s="15"/>
      <c r="AY79" s="15"/>
      <c r="BC79" s="1">
        <v>1</v>
      </c>
      <c r="BL79" s="15"/>
      <c r="BQ79" s="15"/>
      <c r="BS79" s="15"/>
      <c r="BT79" s="15"/>
      <c r="BX79" s="15"/>
      <c r="CL79" s="1">
        <v>5</v>
      </c>
      <c r="CR79" s="15"/>
      <c r="CS79" s="15"/>
      <c r="CX79" s="15"/>
      <c r="CY79" s="15"/>
      <c r="DC79" s="15"/>
      <c r="DH79" s="1">
        <f t="shared" si="2"/>
        <v>2</v>
      </c>
      <c r="DI79" s="1">
        <f t="shared" si="3"/>
        <v>6</v>
      </c>
    </row>
    <row r="80" spans="1:113" ht="15.75" customHeight="1" x14ac:dyDescent="0.35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7">
        <v>6</v>
      </c>
      <c r="AC80" s="15"/>
      <c r="AL80" s="15"/>
      <c r="AR80" s="15"/>
      <c r="AS80" s="15"/>
      <c r="AV80" s="15"/>
      <c r="AX80" s="15"/>
      <c r="AY80" s="15"/>
      <c r="BL80" s="15"/>
      <c r="BO80" s="1">
        <v>1</v>
      </c>
      <c r="BP80" s="1">
        <v>2</v>
      </c>
      <c r="BQ80" s="15"/>
      <c r="BS80" s="15"/>
      <c r="BT80" s="15"/>
      <c r="BX80" s="15"/>
      <c r="CR80" s="15"/>
      <c r="CS80" s="15"/>
      <c r="CX80" s="15"/>
      <c r="CY80" s="15"/>
      <c r="DC80" s="15"/>
      <c r="DH80" s="1">
        <f t="shared" si="2"/>
        <v>2</v>
      </c>
      <c r="DI80" s="1">
        <f t="shared" si="3"/>
        <v>3</v>
      </c>
    </row>
    <row r="81" spans="1:113" ht="15.75" customHeight="1" x14ac:dyDescent="0.35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7"/>
      <c r="AC81" s="15"/>
      <c r="AL81" s="15"/>
      <c r="AR81" s="15"/>
      <c r="AS81" s="15"/>
      <c r="AV81" s="15"/>
      <c r="AX81" s="15"/>
      <c r="AY81" s="15"/>
      <c r="BL81" s="15"/>
      <c r="BQ81" s="15"/>
      <c r="BS81" s="15"/>
      <c r="BT81" s="15"/>
      <c r="BX81" s="15"/>
      <c r="CR81" s="15"/>
      <c r="CS81" s="15"/>
      <c r="CX81" s="15"/>
      <c r="CY81" s="15"/>
      <c r="DC81" s="15"/>
      <c r="DH81" s="1">
        <f t="shared" si="2"/>
        <v>0</v>
      </c>
      <c r="DI81" s="1">
        <f t="shared" si="3"/>
        <v>0</v>
      </c>
    </row>
    <row r="82" spans="1:113" ht="15.75" customHeight="1" x14ac:dyDescent="0.35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7">
        <v>4</v>
      </c>
      <c r="R82" s="1">
        <v>1</v>
      </c>
      <c r="W82" s="1">
        <v>1</v>
      </c>
      <c r="AC82" s="15"/>
      <c r="AL82" s="15"/>
      <c r="AR82" s="15"/>
      <c r="AS82" s="15"/>
      <c r="AV82" s="15"/>
      <c r="AX82" s="15">
        <v>1</v>
      </c>
      <c r="AY82" s="15"/>
      <c r="BL82" s="15"/>
      <c r="BQ82" s="15"/>
      <c r="BS82" s="15"/>
      <c r="BT82" s="15">
        <v>2</v>
      </c>
      <c r="BX82" s="15"/>
      <c r="CR82" s="15"/>
      <c r="CS82" s="15"/>
      <c r="CV82" s="1">
        <v>2</v>
      </c>
      <c r="CX82" s="15"/>
      <c r="CY82" s="15"/>
      <c r="DC82" s="15"/>
      <c r="DH82" s="1">
        <f t="shared" si="2"/>
        <v>5</v>
      </c>
      <c r="DI82" s="1">
        <f t="shared" si="3"/>
        <v>7</v>
      </c>
    </row>
    <row r="83" spans="1:113" ht="15.75" customHeight="1" x14ac:dyDescent="0.35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>
        <v>580</v>
      </c>
      <c r="N83" s="17">
        <v>4</v>
      </c>
      <c r="Q83" s="1">
        <v>1</v>
      </c>
      <c r="AC83" s="15"/>
      <c r="AL83" s="15"/>
      <c r="AR83" s="15"/>
      <c r="AS83" s="15"/>
      <c r="AV83" s="15"/>
      <c r="AX83" s="15"/>
      <c r="AY83" s="15"/>
      <c r="BL83" s="15">
        <v>1</v>
      </c>
      <c r="BQ83" s="15"/>
      <c r="BS83" s="15"/>
      <c r="BT83" s="15"/>
      <c r="BX83" s="15">
        <v>1</v>
      </c>
      <c r="CC83" s="1">
        <v>1</v>
      </c>
      <c r="CJ83" s="1">
        <v>1</v>
      </c>
      <c r="CR83" s="15">
        <v>1</v>
      </c>
      <c r="CS83" s="15"/>
      <c r="CX83" s="15">
        <v>1</v>
      </c>
      <c r="CY83" s="15"/>
      <c r="CZ83" s="1">
        <v>1</v>
      </c>
      <c r="DC83" s="15">
        <v>1</v>
      </c>
      <c r="DH83" s="1">
        <f t="shared" si="2"/>
        <v>9</v>
      </c>
      <c r="DI83" s="1">
        <f t="shared" si="3"/>
        <v>9</v>
      </c>
    </row>
    <row r="84" spans="1:113" ht="15.75" customHeight="1" x14ac:dyDescent="0.35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>
        <v>580</v>
      </c>
      <c r="N84" s="17">
        <v>3</v>
      </c>
      <c r="AC84" s="15">
        <v>3</v>
      </c>
      <c r="AH84" s="1">
        <v>1</v>
      </c>
      <c r="AL84" s="15"/>
      <c r="AR84" s="15"/>
      <c r="AS84" s="15"/>
      <c r="AV84" s="15"/>
      <c r="AX84" s="15"/>
      <c r="AY84" s="15">
        <v>1</v>
      </c>
      <c r="BL84" s="15"/>
      <c r="BQ84" s="15"/>
      <c r="BS84" s="15"/>
      <c r="BT84" s="15">
        <v>1</v>
      </c>
      <c r="BX84" s="15">
        <v>1</v>
      </c>
      <c r="CF84" s="1">
        <v>1</v>
      </c>
      <c r="CM84" s="1">
        <v>5</v>
      </c>
      <c r="CR84" s="15"/>
      <c r="CS84" s="15"/>
      <c r="CX84" s="15">
        <v>1</v>
      </c>
      <c r="CY84" s="15"/>
      <c r="DC84" s="15"/>
      <c r="DH84" s="1">
        <f t="shared" si="2"/>
        <v>8</v>
      </c>
      <c r="DI84" s="1">
        <f t="shared" si="3"/>
        <v>14</v>
      </c>
    </row>
    <row r="85" spans="1:113" ht="15.75" customHeight="1" x14ac:dyDescent="0.35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7">
        <v>3</v>
      </c>
      <c r="AC85" s="15">
        <v>1</v>
      </c>
      <c r="AE85" s="1">
        <v>1</v>
      </c>
      <c r="AL85" s="15"/>
      <c r="AR85" s="15"/>
      <c r="AS85" s="15"/>
      <c r="AV85" s="15"/>
      <c r="AX85" s="15"/>
      <c r="AY85" s="15">
        <v>1</v>
      </c>
      <c r="BH85" s="1">
        <v>1</v>
      </c>
      <c r="BL85" s="15">
        <v>1</v>
      </c>
      <c r="BQ85" s="15"/>
      <c r="BS85" s="15"/>
      <c r="BT85" s="15"/>
      <c r="BX85" s="15"/>
      <c r="CM85" s="1">
        <v>3</v>
      </c>
      <c r="CN85" s="1">
        <v>1</v>
      </c>
      <c r="CR85" s="15"/>
      <c r="CS85" s="15">
        <v>1</v>
      </c>
      <c r="CV85" s="1">
        <v>2</v>
      </c>
      <c r="CX85" s="15"/>
      <c r="CY85" s="15"/>
      <c r="DC85" s="15"/>
      <c r="DH85" s="1">
        <f t="shared" si="2"/>
        <v>9</v>
      </c>
      <c r="DI85" s="1">
        <f t="shared" si="3"/>
        <v>12</v>
      </c>
    </row>
    <row r="86" spans="1:113" ht="15.75" customHeight="1" x14ac:dyDescent="0.35">
      <c r="A86" s="15" t="s">
        <v>153</v>
      </c>
      <c r="B86" s="23" t="s">
        <v>200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>
        <v>870</v>
      </c>
      <c r="N86" s="17">
        <v>5</v>
      </c>
      <c r="AC86" s="15"/>
      <c r="AL86" s="15"/>
      <c r="AR86" s="15"/>
      <c r="AS86" s="15"/>
      <c r="AV86" s="15"/>
      <c r="AX86" s="15"/>
      <c r="AY86" s="15">
        <v>1</v>
      </c>
      <c r="BL86" s="15"/>
      <c r="BQ86" s="15"/>
      <c r="BS86" s="15"/>
      <c r="BT86" s="15"/>
      <c r="BX86" s="15"/>
      <c r="CF86" s="1">
        <v>1</v>
      </c>
      <c r="CK86" s="1">
        <v>5</v>
      </c>
      <c r="CR86" s="15"/>
      <c r="CS86" s="15"/>
      <c r="CX86" s="15"/>
      <c r="CY86" s="15"/>
      <c r="DC86" s="15"/>
      <c r="DH86" s="1">
        <f t="shared" si="2"/>
        <v>3</v>
      </c>
      <c r="DI86" s="1">
        <f t="shared" si="3"/>
        <v>7</v>
      </c>
    </row>
    <row r="87" spans="1:113" ht="15.75" customHeight="1" x14ac:dyDescent="0.35">
      <c r="A87" s="15" t="s">
        <v>153</v>
      </c>
      <c r="B87" s="23" t="s">
        <v>200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>
        <v>870</v>
      </c>
      <c r="N87" s="17">
        <v>5</v>
      </c>
      <c r="AC87" s="15"/>
      <c r="AL87" s="15">
        <v>1</v>
      </c>
      <c r="AM87" s="1">
        <v>1</v>
      </c>
      <c r="AR87" s="15"/>
      <c r="AS87" s="15"/>
      <c r="AV87" s="15"/>
      <c r="AX87" s="15"/>
      <c r="AY87" s="15"/>
      <c r="BH87" s="1">
        <v>1</v>
      </c>
      <c r="BK87" s="1">
        <v>1</v>
      </c>
      <c r="BL87" s="15"/>
      <c r="BQ87" s="15"/>
      <c r="BS87" s="15">
        <v>1</v>
      </c>
      <c r="BT87" s="15"/>
      <c r="BX87" s="15"/>
      <c r="BY87" s="1">
        <v>1</v>
      </c>
      <c r="CC87" s="1">
        <v>1</v>
      </c>
      <c r="CF87" s="1">
        <v>1</v>
      </c>
      <c r="CH87" s="1">
        <v>2</v>
      </c>
      <c r="CI87" s="1">
        <v>1</v>
      </c>
      <c r="CR87" s="15"/>
      <c r="CS87" s="15"/>
      <c r="CT87" s="1">
        <v>1</v>
      </c>
      <c r="CX87" s="15">
        <v>1</v>
      </c>
      <c r="CY87" s="15"/>
      <c r="CZ87" s="1">
        <v>1</v>
      </c>
      <c r="DC87" s="15"/>
      <c r="DH87" s="1">
        <f t="shared" si="2"/>
        <v>13</v>
      </c>
      <c r="DI87" s="1">
        <f t="shared" si="3"/>
        <v>14</v>
      </c>
    </row>
    <row r="88" spans="1:113" ht="15.75" customHeight="1" x14ac:dyDescent="0.35">
      <c r="A88" s="15" t="s">
        <v>153</v>
      </c>
      <c r="B88" s="23" t="s">
        <v>200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7">
        <v>5</v>
      </c>
      <c r="AC88" s="15"/>
      <c r="AL88" s="15"/>
      <c r="AM88" s="1">
        <v>1</v>
      </c>
      <c r="AR88" s="15"/>
      <c r="AS88" s="15"/>
      <c r="AV88" s="15"/>
      <c r="AX88" s="15"/>
      <c r="AY88" s="15"/>
      <c r="BL88" s="15"/>
      <c r="BQ88" s="15"/>
      <c r="BS88" s="15"/>
      <c r="BT88" s="15"/>
      <c r="BX88" s="15"/>
      <c r="CR88" s="15"/>
      <c r="CS88" s="15"/>
      <c r="CX88" s="15"/>
      <c r="CY88" s="15"/>
      <c r="DC88" s="15"/>
      <c r="DH88" s="1">
        <f t="shared" si="2"/>
        <v>1</v>
      </c>
      <c r="DI88" s="1">
        <f t="shared" si="3"/>
        <v>1</v>
      </c>
    </row>
    <row r="89" spans="1:113" ht="15.75" customHeight="1" x14ac:dyDescent="0.35">
      <c r="A89" s="15" t="s">
        <v>153</v>
      </c>
      <c r="B89" s="23" t="s">
        <v>200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7">
        <v>5</v>
      </c>
      <c r="AC89" s="15"/>
      <c r="AE89" s="1">
        <v>1</v>
      </c>
      <c r="AJ89" s="1">
        <v>1</v>
      </c>
      <c r="AL89" s="15"/>
      <c r="AR89" s="15"/>
      <c r="AS89" s="15"/>
      <c r="AV89" s="15"/>
      <c r="AX89" s="15"/>
      <c r="AY89" s="15">
        <v>2</v>
      </c>
      <c r="BC89" s="1">
        <v>2</v>
      </c>
      <c r="BL89" s="15"/>
      <c r="BQ89" s="15"/>
      <c r="BS89" s="15"/>
      <c r="BT89" s="15"/>
      <c r="BX89" s="15"/>
      <c r="CC89" s="1">
        <v>1</v>
      </c>
      <c r="CJ89" s="1">
        <v>1</v>
      </c>
      <c r="CR89" s="15"/>
      <c r="CS89" s="15"/>
      <c r="CX89" s="15"/>
      <c r="CY89" s="15"/>
      <c r="DC89" s="15"/>
      <c r="DH89" s="1">
        <f t="shared" si="2"/>
        <v>6</v>
      </c>
      <c r="DI89" s="1">
        <f t="shared" si="3"/>
        <v>8</v>
      </c>
    </row>
    <row r="90" spans="1:113" ht="15.75" customHeight="1" x14ac:dyDescent="0.35">
      <c r="A90" s="15" t="s">
        <v>153</v>
      </c>
      <c r="B90" s="23" t="s">
        <v>200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/>
      <c r="N90" s="17">
        <v>5</v>
      </c>
      <c r="AC90" s="15"/>
      <c r="AL90" s="15"/>
      <c r="AR90" s="15"/>
      <c r="AS90" s="15"/>
      <c r="AV90" s="15"/>
      <c r="AX90" s="15"/>
      <c r="AY90" s="15">
        <v>1</v>
      </c>
      <c r="BL90" s="15"/>
      <c r="BQ90" s="15"/>
      <c r="BS90" s="15"/>
      <c r="BT90" s="15"/>
      <c r="BX90" s="15"/>
      <c r="CF90" s="1">
        <v>1</v>
      </c>
      <c r="CI90" s="1">
        <v>1</v>
      </c>
      <c r="CR90" s="15"/>
      <c r="CS90" s="15"/>
      <c r="CX90" s="15"/>
      <c r="CY90" s="15"/>
      <c r="DC90" s="15"/>
      <c r="DH90" s="1">
        <f t="shared" si="2"/>
        <v>3</v>
      </c>
      <c r="DI90" s="1">
        <f t="shared" si="3"/>
        <v>3</v>
      </c>
    </row>
    <row r="91" spans="1:113" ht="15.75" customHeight="1" x14ac:dyDescent="0.35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>
        <v>870</v>
      </c>
      <c r="N91" s="17">
        <v>5</v>
      </c>
      <c r="W91" s="1">
        <v>1</v>
      </c>
      <c r="AC91" s="15"/>
      <c r="AL91" s="15"/>
      <c r="AR91" s="15"/>
      <c r="AS91" s="15"/>
      <c r="AV91" s="15"/>
      <c r="AX91" s="15"/>
      <c r="AY91" s="15"/>
      <c r="BL91" s="15"/>
      <c r="BQ91" s="15"/>
      <c r="BS91" s="15"/>
      <c r="BT91" s="15"/>
      <c r="BX91" s="15"/>
      <c r="CF91" s="1">
        <v>1</v>
      </c>
      <c r="CR91" s="15"/>
      <c r="CS91" s="15"/>
      <c r="CX91" s="15"/>
      <c r="CY91" s="15"/>
      <c r="CZ91" s="1">
        <v>1</v>
      </c>
      <c r="DC91" s="15"/>
      <c r="DH91" s="1">
        <f t="shared" si="2"/>
        <v>3</v>
      </c>
      <c r="DI91" s="1">
        <f t="shared" si="3"/>
        <v>3</v>
      </c>
    </row>
    <row r="92" spans="1:113" ht="15.75" customHeight="1" x14ac:dyDescent="0.35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7">
        <v>5</v>
      </c>
      <c r="AC92" s="15"/>
      <c r="AL92" s="15"/>
      <c r="AR92" s="15"/>
      <c r="AS92" s="15"/>
      <c r="AV92" s="15"/>
      <c r="AX92" s="15"/>
      <c r="AY92" s="15"/>
      <c r="BL92" s="15"/>
      <c r="BQ92" s="15"/>
      <c r="BS92" s="15"/>
      <c r="BT92" s="15"/>
      <c r="BX92" s="15"/>
      <c r="CR92" s="15"/>
      <c r="CS92" s="15"/>
      <c r="CX92" s="15"/>
      <c r="CY92" s="15"/>
      <c r="DC92" s="15"/>
      <c r="DH92" s="1">
        <f t="shared" si="2"/>
        <v>0</v>
      </c>
      <c r="DI92" s="1">
        <f t="shared" si="3"/>
        <v>0</v>
      </c>
    </row>
    <row r="93" spans="1:113" ht="15.75" customHeight="1" x14ac:dyDescent="0.35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7">
        <v>5</v>
      </c>
      <c r="AC93" s="15"/>
      <c r="AL93" s="15"/>
      <c r="AR93" s="15"/>
      <c r="AS93" s="15"/>
      <c r="AV93" s="15"/>
      <c r="AX93" s="15"/>
      <c r="AY93" s="15">
        <v>1</v>
      </c>
      <c r="BA93" s="1">
        <v>1</v>
      </c>
      <c r="BL93" s="15"/>
      <c r="BQ93" s="15"/>
      <c r="BS93" s="15"/>
      <c r="BT93" s="15"/>
      <c r="BX93" s="15"/>
      <c r="CR93" s="15"/>
      <c r="CS93" s="15"/>
      <c r="CX93" s="15"/>
      <c r="CY93" s="15"/>
      <c r="DC93" s="15"/>
      <c r="DH93" s="1">
        <f t="shared" si="2"/>
        <v>2</v>
      </c>
      <c r="DI93" s="1">
        <f t="shared" si="3"/>
        <v>2</v>
      </c>
    </row>
    <row r="94" spans="1:113" ht="15.75" customHeight="1" x14ac:dyDescent="0.35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/>
      <c r="N94" s="17">
        <v>5</v>
      </c>
      <c r="AC94" s="15"/>
      <c r="AE94" s="1">
        <v>4</v>
      </c>
      <c r="AL94" s="15"/>
      <c r="AR94" s="15"/>
      <c r="AS94" s="15"/>
      <c r="AV94" s="15"/>
      <c r="AX94" s="15"/>
      <c r="AY94" s="15">
        <v>1</v>
      </c>
      <c r="BL94" s="15"/>
      <c r="BQ94" s="15"/>
      <c r="BS94" s="15"/>
      <c r="BT94" s="15"/>
      <c r="BX94" s="15"/>
      <c r="CR94" s="15"/>
      <c r="CS94" s="15"/>
      <c r="CX94" s="15"/>
      <c r="CY94" s="15"/>
      <c r="DC94" s="15"/>
      <c r="DH94" s="1">
        <f t="shared" si="2"/>
        <v>2</v>
      </c>
      <c r="DI94" s="1">
        <f t="shared" si="3"/>
        <v>5</v>
      </c>
    </row>
    <row r="95" spans="1:113" ht="15.75" customHeight="1" x14ac:dyDescent="0.35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>
        <v>870</v>
      </c>
      <c r="N95" s="17">
        <v>3</v>
      </c>
      <c r="AC95" s="15"/>
      <c r="AL95" s="15"/>
      <c r="AR95" s="15"/>
      <c r="AS95" s="15"/>
      <c r="AT95" s="1">
        <v>2</v>
      </c>
      <c r="AV95" s="15"/>
      <c r="AX95" s="15"/>
      <c r="AY95" s="15"/>
      <c r="BL95" s="15"/>
      <c r="BQ95" s="15"/>
      <c r="BS95" s="15"/>
      <c r="BT95" s="15"/>
      <c r="BX95" s="15"/>
      <c r="CF95" s="1">
        <v>1</v>
      </c>
      <c r="CH95" s="1">
        <v>2</v>
      </c>
      <c r="CR95" s="15"/>
      <c r="CS95" s="15"/>
      <c r="CX95" s="15"/>
      <c r="CY95" s="15"/>
      <c r="CZ95" s="1">
        <v>1</v>
      </c>
      <c r="DC95" s="15"/>
      <c r="DH95" s="1">
        <f t="shared" si="2"/>
        <v>4</v>
      </c>
      <c r="DI95" s="1">
        <f t="shared" si="3"/>
        <v>6</v>
      </c>
    </row>
    <row r="96" spans="1:113" ht="15.75" customHeight="1" x14ac:dyDescent="0.35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7">
        <v>3</v>
      </c>
      <c r="AC96" s="15"/>
      <c r="AL96" s="15"/>
      <c r="AR96" s="15"/>
      <c r="AS96" s="15"/>
      <c r="AV96" s="15"/>
      <c r="AX96" s="15"/>
      <c r="AY96" s="15"/>
      <c r="BL96" s="15"/>
      <c r="BQ96" s="15"/>
      <c r="BS96" s="15"/>
      <c r="BT96" s="15"/>
      <c r="BX96" s="15"/>
      <c r="CR96" s="15"/>
      <c r="CS96" s="15"/>
      <c r="CX96" s="15"/>
      <c r="CY96" s="15"/>
      <c r="DC96" s="15"/>
      <c r="DH96" s="1">
        <f t="shared" si="2"/>
        <v>0</v>
      </c>
      <c r="DI96" s="1">
        <f t="shared" si="3"/>
        <v>0</v>
      </c>
    </row>
    <row r="97" spans="1:113" ht="15.75" customHeight="1" x14ac:dyDescent="0.35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7">
        <v>3</v>
      </c>
      <c r="AC97" s="15"/>
      <c r="AK97" s="1">
        <v>1</v>
      </c>
      <c r="AL97" s="15"/>
      <c r="AR97" s="15"/>
      <c r="AS97" s="15"/>
      <c r="AV97" s="15"/>
      <c r="AX97" s="15"/>
      <c r="AY97" s="15">
        <v>1</v>
      </c>
      <c r="BL97" s="15"/>
      <c r="BQ97" s="15"/>
      <c r="BS97" s="15"/>
      <c r="BT97" s="15"/>
      <c r="BX97" s="15"/>
      <c r="CR97" s="15"/>
      <c r="CS97" s="15"/>
      <c r="CX97" s="15"/>
      <c r="CY97" s="15"/>
      <c r="DC97" s="15"/>
      <c r="DH97" s="1">
        <f t="shared" si="2"/>
        <v>2</v>
      </c>
      <c r="DI97" s="1">
        <f t="shared" si="3"/>
        <v>2</v>
      </c>
    </row>
    <row r="98" spans="1:113" ht="15.75" customHeight="1" x14ac:dyDescent="0.35">
      <c r="A98" s="15" t="s">
        <v>153</v>
      </c>
      <c r="B98" s="23" t="s">
        <v>198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>
        <v>870</v>
      </c>
      <c r="N98" s="17">
        <v>3</v>
      </c>
      <c r="V98" s="1">
        <v>1</v>
      </c>
      <c r="X98" s="1">
        <v>1</v>
      </c>
      <c r="AC98" s="15"/>
      <c r="AL98" s="15"/>
      <c r="AR98" s="15"/>
      <c r="AS98" s="15">
        <v>3</v>
      </c>
      <c r="AT98" s="1">
        <v>2</v>
      </c>
      <c r="AU98" s="1">
        <v>2</v>
      </c>
      <c r="AV98" s="15"/>
      <c r="AX98" s="15"/>
      <c r="AY98" s="15"/>
      <c r="AZ98" s="1">
        <v>1</v>
      </c>
      <c r="BI98" s="1">
        <v>1</v>
      </c>
      <c r="BL98" s="15"/>
      <c r="BM98" s="1">
        <v>2</v>
      </c>
      <c r="BQ98" s="15"/>
      <c r="BS98" s="15">
        <v>1</v>
      </c>
      <c r="BT98" s="15"/>
      <c r="BX98" s="15">
        <v>1</v>
      </c>
      <c r="CH98" s="1">
        <v>1</v>
      </c>
      <c r="CR98" s="15"/>
      <c r="CS98" s="15"/>
      <c r="CX98" s="15"/>
      <c r="CY98" s="15"/>
      <c r="CZ98" s="1">
        <v>1</v>
      </c>
      <c r="DC98" s="15"/>
      <c r="DH98" s="1">
        <f t="shared" si="2"/>
        <v>12</v>
      </c>
      <c r="DI98" s="1">
        <f t="shared" si="3"/>
        <v>17</v>
      </c>
    </row>
    <row r="99" spans="1:113" ht="15.75" customHeight="1" x14ac:dyDescent="0.35">
      <c r="A99" s="15" t="s">
        <v>153</v>
      </c>
      <c r="B99" s="16" t="s">
        <v>198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7">
        <v>3</v>
      </c>
      <c r="AC99" s="15"/>
      <c r="AL99" s="15"/>
      <c r="AR99" s="15"/>
      <c r="AS99" s="15"/>
      <c r="AU99" s="1">
        <v>1</v>
      </c>
      <c r="AV99" s="15"/>
      <c r="AX99" s="15"/>
      <c r="AY99" s="15"/>
      <c r="BL99" s="15"/>
      <c r="BQ99" s="15"/>
      <c r="BS99" s="15">
        <v>1</v>
      </c>
      <c r="BT99" s="15"/>
      <c r="BX99" s="15"/>
      <c r="CR99" s="15"/>
      <c r="CS99" s="15"/>
      <c r="CX99" s="15"/>
      <c r="CY99" s="15"/>
      <c r="DC99" s="15"/>
      <c r="DH99" s="1">
        <f t="shared" si="2"/>
        <v>2</v>
      </c>
      <c r="DI99" s="1">
        <f t="shared" si="3"/>
        <v>2</v>
      </c>
    </row>
    <row r="100" spans="1:113" ht="15.75" customHeight="1" x14ac:dyDescent="0.35">
      <c r="A100" s="15" t="s">
        <v>153</v>
      </c>
      <c r="B100" s="23" t="s">
        <v>199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1100</v>
      </c>
      <c r="N100" s="17">
        <v>2</v>
      </c>
      <c r="X100" s="1">
        <v>1</v>
      </c>
      <c r="AC100" s="15"/>
      <c r="AL100" s="15"/>
      <c r="AR100" s="15"/>
      <c r="AS100" s="15"/>
      <c r="AU100" s="1">
        <v>1</v>
      </c>
      <c r="AV100" s="15"/>
      <c r="AX100" s="15"/>
      <c r="AY100" s="15"/>
      <c r="BL100" s="15"/>
      <c r="BQ100" s="15"/>
      <c r="BS100" s="15"/>
      <c r="BT100" s="15"/>
      <c r="BX100" s="15"/>
      <c r="CA100" s="1">
        <v>1</v>
      </c>
      <c r="CR100" s="15"/>
      <c r="CS100" s="15"/>
      <c r="CX100" s="15"/>
      <c r="CY100" s="15"/>
      <c r="DC100" s="15"/>
      <c r="DH100" s="1">
        <f t="shared" si="2"/>
        <v>3</v>
      </c>
      <c r="DI100" s="1">
        <f t="shared" si="3"/>
        <v>3</v>
      </c>
    </row>
    <row r="101" spans="1:113" ht="15.75" customHeight="1" x14ac:dyDescent="0.35">
      <c r="A101" s="15" t="s">
        <v>153</v>
      </c>
      <c r="B101" s="23" t="s">
        <v>199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1420</v>
      </c>
      <c r="N101" s="17">
        <v>2</v>
      </c>
      <c r="X101" s="1">
        <v>1</v>
      </c>
      <c r="AC101" s="15"/>
      <c r="AL101" s="15"/>
      <c r="AR101" s="15">
        <v>5</v>
      </c>
      <c r="AS101" s="15"/>
      <c r="AT101" s="1">
        <v>3</v>
      </c>
      <c r="AU101" s="1">
        <v>1</v>
      </c>
      <c r="AV101" s="15"/>
      <c r="AX101" s="15"/>
      <c r="AY101" s="15"/>
      <c r="BL101" s="15"/>
      <c r="BM101" s="1">
        <v>3</v>
      </c>
      <c r="BQ101" s="15"/>
      <c r="BS101" s="15"/>
      <c r="BT101" s="15"/>
      <c r="BX101" s="15"/>
      <c r="CR101" s="15"/>
      <c r="CS101" s="15"/>
      <c r="CX101" s="15"/>
      <c r="CY101" s="15"/>
      <c r="CZ101" s="1">
        <v>1</v>
      </c>
      <c r="DC101" s="15"/>
      <c r="DH101" s="1">
        <f t="shared" si="2"/>
        <v>6</v>
      </c>
      <c r="DI101" s="1">
        <f t="shared" si="3"/>
        <v>14</v>
      </c>
    </row>
    <row r="102" spans="1:113" ht="15.75" customHeight="1" x14ac:dyDescent="0.35">
      <c r="A102" s="15" t="s">
        <v>153</v>
      </c>
      <c r="B102" s="23" t="s">
        <v>199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/>
      <c r="N102" s="17">
        <v>2</v>
      </c>
      <c r="AC102" s="15"/>
      <c r="AL102" s="15"/>
      <c r="AR102" s="15"/>
      <c r="AS102" s="15"/>
      <c r="AV102" s="15"/>
      <c r="AX102" s="15"/>
      <c r="AY102" s="15"/>
      <c r="BL102" s="15"/>
      <c r="BQ102" s="15"/>
      <c r="BS102" s="15"/>
      <c r="BT102" s="15"/>
      <c r="BX102" s="15"/>
      <c r="CR102" s="15"/>
      <c r="CS102" s="15"/>
      <c r="CX102" s="15"/>
      <c r="CY102" s="15"/>
      <c r="CZ102" s="1">
        <v>1</v>
      </c>
      <c r="DC102" s="15"/>
      <c r="DH102" s="1">
        <f t="shared" si="2"/>
        <v>1</v>
      </c>
      <c r="DI102" s="1">
        <f t="shared" si="3"/>
        <v>1</v>
      </c>
    </row>
    <row r="103" spans="1:113" ht="15.75" customHeight="1" x14ac:dyDescent="0.35">
      <c r="A103" s="15" t="s">
        <v>153</v>
      </c>
      <c r="B103" s="23" t="s">
        <v>199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/>
      <c r="N103" s="17">
        <v>2</v>
      </c>
      <c r="X103" s="1">
        <v>5</v>
      </c>
      <c r="AC103" s="15"/>
      <c r="AL103" s="15"/>
      <c r="AR103" s="15"/>
      <c r="AS103" s="15"/>
      <c r="AV103" s="15"/>
      <c r="AX103" s="15"/>
      <c r="AY103" s="15"/>
      <c r="BL103" s="15"/>
      <c r="BQ103" s="15"/>
      <c r="BS103" s="15"/>
      <c r="BT103" s="15"/>
      <c r="BX103" s="15"/>
      <c r="CR103" s="15"/>
      <c r="CS103" s="15"/>
      <c r="CX103" s="15"/>
      <c r="CY103" s="15"/>
      <c r="DC103" s="15"/>
      <c r="DH103" s="1">
        <f t="shared" si="2"/>
        <v>1</v>
      </c>
      <c r="DI103" s="1">
        <f t="shared" si="3"/>
        <v>5</v>
      </c>
    </row>
    <row r="104" spans="1:113" ht="15.75" customHeight="1" x14ac:dyDescent="0.35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1100</v>
      </c>
      <c r="N104" s="17">
        <v>3</v>
      </c>
      <c r="AC104" s="15"/>
      <c r="AL104" s="15"/>
      <c r="AR104" s="15"/>
      <c r="AS104" s="15"/>
      <c r="AT104" s="1">
        <v>1</v>
      </c>
      <c r="AU104" s="1">
        <v>4</v>
      </c>
      <c r="AV104" s="15"/>
      <c r="AX104" s="15"/>
      <c r="AY104" s="15"/>
      <c r="BL104" s="15"/>
      <c r="BM104" s="1">
        <v>1</v>
      </c>
      <c r="BQ104" s="15"/>
      <c r="BS104" s="15"/>
      <c r="BT104" s="15"/>
      <c r="BX104" s="15"/>
      <c r="CR104" s="15"/>
      <c r="CS104" s="15"/>
      <c r="CX104" s="15"/>
      <c r="CY104" s="15"/>
      <c r="CZ104" s="1">
        <v>1</v>
      </c>
      <c r="DC104" s="15"/>
      <c r="DH104" s="1">
        <f t="shared" si="2"/>
        <v>4</v>
      </c>
      <c r="DI104" s="1">
        <f t="shared" si="3"/>
        <v>7</v>
      </c>
    </row>
    <row r="105" spans="1:113" ht="15.75" customHeight="1" x14ac:dyDescent="0.35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1420</v>
      </c>
      <c r="N105" s="17">
        <v>3</v>
      </c>
      <c r="W105" s="1">
        <v>3</v>
      </c>
      <c r="AC105" s="15"/>
      <c r="AL105" s="15"/>
      <c r="AR105" s="15"/>
      <c r="AS105" s="15"/>
      <c r="AV105" s="15"/>
      <c r="AX105" s="15"/>
      <c r="AY105" s="15"/>
      <c r="BI105" s="1">
        <v>1</v>
      </c>
      <c r="BL105" s="15"/>
      <c r="BQ105" s="15"/>
      <c r="BS105" s="15">
        <v>1</v>
      </c>
      <c r="BT105" s="15"/>
      <c r="BX105" s="15"/>
      <c r="CF105" s="1">
        <v>1</v>
      </c>
      <c r="CJ105" s="1">
        <v>1</v>
      </c>
      <c r="CR105" s="15"/>
      <c r="CS105" s="15"/>
      <c r="CX105" s="15"/>
      <c r="CY105" s="15"/>
      <c r="DC105" s="15"/>
      <c r="DH105" s="1">
        <f t="shared" si="2"/>
        <v>5</v>
      </c>
      <c r="DI105" s="1">
        <f t="shared" si="3"/>
        <v>7</v>
      </c>
    </row>
    <row r="106" spans="1:113" ht="15.75" customHeight="1" x14ac:dyDescent="0.35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/>
      <c r="N106" s="17">
        <v>3</v>
      </c>
      <c r="AC106" s="15"/>
      <c r="AL106" s="15"/>
      <c r="AR106" s="15"/>
      <c r="AS106" s="15"/>
      <c r="AV106" s="15"/>
      <c r="AX106" s="15"/>
      <c r="AY106" s="15"/>
      <c r="BL106" s="15"/>
      <c r="BQ106" s="15"/>
      <c r="BS106" s="15"/>
      <c r="BT106" s="15"/>
      <c r="BX106" s="15"/>
      <c r="CR106" s="15"/>
      <c r="CS106" s="15"/>
      <c r="CX106" s="15"/>
      <c r="CY106" s="15"/>
      <c r="DC106" s="15"/>
      <c r="DH106" s="1">
        <f t="shared" si="2"/>
        <v>0</v>
      </c>
      <c r="DI106" s="1">
        <f t="shared" si="3"/>
        <v>0</v>
      </c>
    </row>
    <row r="107" spans="1:113" ht="15.75" customHeight="1" x14ac:dyDescent="0.35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/>
      <c r="N107" s="17">
        <v>3</v>
      </c>
      <c r="W107" s="1">
        <v>1</v>
      </c>
      <c r="AC107" s="15"/>
      <c r="AL107" s="15"/>
      <c r="AR107" s="15"/>
      <c r="AS107" s="15"/>
      <c r="AV107" s="15"/>
      <c r="AX107" s="15"/>
      <c r="AY107" s="15"/>
      <c r="BL107" s="15"/>
      <c r="BQ107" s="15"/>
      <c r="BS107" s="15"/>
      <c r="BT107" s="15"/>
      <c r="BX107" s="15"/>
      <c r="CF107" s="1">
        <v>1</v>
      </c>
      <c r="CR107" s="15"/>
      <c r="CS107" s="15"/>
      <c r="CX107" s="15"/>
      <c r="CY107" s="15"/>
      <c r="DC107" s="15"/>
      <c r="DH107" s="1">
        <f t="shared" si="2"/>
        <v>2</v>
      </c>
      <c r="DI107" s="1">
        <f t="shared" si="3"/>
        <v>2</v>
      </c>
    </row>
    <row r="108" spans="1:113" ht="15.75" customHeight="1" x14ac:dyDescent="0.35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1420</v>
      </c>
      <c r="N108" s="17">
        <v>1</v>
      </c>
      <c r="AC108" s="15"/>
      <c r="AL108" s="15"/>
      <c r="AR108" s="15"/>
      <c r="AS108" s="15"/>
      <c r="AT108" s="1">
        <v>1</v>
      </c>
      <c r="AU108" s="1">
        <v>5</v>
      </c>
      <c r="AV108" s="15"/>
      <c r="AX108" s="15"/>
      <c r="AY108" s="15"/>
      <c r="BL108" s="15"/>
      <c r="BQ108" s="15"/>
      <c r="BS108" s="15"/>
      <c r="BT108" s="15"/>
      <c r="BX108" s="15"/>
      <c r="CD108" s="1">
        <v>5</v>
      </c>
      <c r="CR108" s="15"/>
      <c r="CS108" s="15"/>
      <c r="CX108" s="15"/>
      <c r="CY108" s="15"/>
      <c r="DC108" s="15"/>
      <c r="DH108" s="1">
        <f t="shared" si="2"/>
        <v>3</v>
      </c>
      <c r="DI108" s="1">
        <f t="shared" si="3"/>
        <v>11</v>
      </c>
    </row>
    <row r="109" spans="1:113" ht="15.75" customHeight="1" x14ac:dyDescent="0.35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1420</v>
      </c>
      <c r="N109" s="17">
        <v>1</v>
      </c>
      <c r="AC109" s="15"/>
      <c r="AL109" s="15"/>
      <c r="AR109" s="15"/>
      <c r="AS109" s="15"/>
      <c r="AT109" s="1">
        <v>1</v>
      </c>
      <c r="AV109" s="15"/>
      <c r="AX109" s="15"/>
      <c r="AY109" s="15"/>
      <c r="BL109" s="15"/>
      <c r="BM109" s="1">
        <v>1</v>
      </c>
      <c r="BN109" s="1">
        <v>1</v>
      </c>
      <c r="BO109" s="1">
        <v>2</v>
      </c>
      <c r="BQ109" s="15"/>
      <c r="BS109" s="15"/>
      <c r="BT109" s="15"/>
      <c r="BX109" s="15"/>
      <c r="CR109" s="15"/>
      <c r="CS109" s="15"/>
      <c r="CX109" s="15"/>
      <c r="CY109" s="15"/>
      <c r="DC109" s="15"/>
      <c r="DH109" s="1">
        <f t="shared" si="2"/>
        <v>4</v>
      </c>
      <c r="DI109" s="1">
        <f t="shared" si="3"/>
        <v>5</v>
      </c>
    </row>
    <row r="110" spans="1:113" ht="15.75" customHeight="1" x14ac:dyDescent="0.35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/>
      <c r="N110" s="17">
        <v>1</v>
      </c>
      <c r="AC110" s="15"/>
      <c r="AL110" s="15"/>
      <c r="AR110" s="15"/>
      <c r="AS110" s="15"/>
      <c r="AV110" s="15"/>
      <c r="AX110" s="15"/>
      <c r="AY110" s="15"/>
      <c r="BL110" s="15"/>
      <c r="BQ110" s="15"/>
      <c r="BS110" s="15"/>
      <c r="BT110" s="15"/>
      <c r="BX110" s="15"/>
      <c r="CR110" s="15"/>
      <c r="CS110" s="15"/>
      <c r="CX110" s="15"/>
      <c r="CY110" s="15"/>
      <c r="DC110" s="15"/>
      <c r="DH110" s="1">
        <f t="shared" si="2"/>
        <v>0</v>
      </c>
      <c r="DI110" s="1">
        <f t="shared" si="3"/>
        <v>0</v>
      </c>
    </row>
    <row r="111" spans="1:113" ht="15.75" customHeight="1" x14ac:dyDescent="0.35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/>
      <c r="N111" s="17">
        <v>1</v>
      </c>
      <c r="AC111" s="15"/>
      <c r="AL111" s="15"/>
      <c r="AR111" s="15"/>
      <c r="AS111" s="15"/>
      <c r="AV111" s="15"/>
      <c r="AX111" s="15"/>
      <c r="AY111" s="15"/>
      <c r="BL111" s="15"/>
      <c r="BQ111" s="15"/>
      <c r="BS111" s="15"/>
      <c r="BT111" s="15"/>
      <c r="BX111" s="15"/>
      <c r="CR111" s="15"/>
      <c r="CS111" s="15"/>
      <c r="CX111" s="15"/>
      <c r="CY111" s="15"/>
      <c r="DC111" s="15"/>
      <c r="DH111" s="1">
        <f t="shared" si="2"/>
        <v>0</v>
      </c>
      <c r="DI111" s="1">
        <f t="shared" si="3"/>
        <v>0</v>
      </c>
    </row>
    <row r="112" spans="1:113" ht="15.75" customHeight="1" x14ac:dyDescent="0.35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1420</v>
      </c>
      <c r="N112" s="17">
        <v>6</v>
      </c>
      <c r="AC112" s="15"/>
      <c r="AL112" s="15"/>
      <c r="AR112" s="15">
        <v>4</v>
      </c>
      <c r="AS112" s="15"/>
      <c r="AT112" s="1">
        <v>3</v>
      </c>
      <c r="AV112" s="15"/>
      <c r="AX112" s="15"/>
      <c r="AY112" s="15"/>
      <c r="BL112" s="15"/>
      <c r="BQ112" s="15"/>
      <c r="BS112" s="15"/>
      <c r="BT112" s="15"/>
      <c r="BX112" s="15"/>
      <c r="CR112" s="15"/>
      <c r="CS112" s="15"/>
      <c r="CX112" s="15"/>
      <c r="CY112" s="15"/>
      <c r="DC112" s="15"/>
      <c r="DH112" s="1">
        <f t="shared" si="2"/>
        <v>2</v>
      </c>
      <c r="DI112" s="1">
        <f t="shared" si="3"/>
        <v>7</v>
      </c>
    </row>
    <row r="113" spans="1:113" ht="15.75" customHeight="1" x14ac:dyDescent="0.35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1420</v>
      </c>
      <c r="N113" s="17">
        <v>6</v>
      </c>
      <c r="AC113" s="15"/>
      <c r="AL113" s="15"/>
      <c r="AO113" s="1">
        <v>1</v>
      </c>
      <c r="AR113" s="15"/>
      <c r="AS113" s="15"/>
      <c r="AV113" s="15"/>
      <c r="AX113" s="15"/>
      <c r="AY113" s="15"/>
      <c r="BL113" s="15"/>
      <c r="BQ113" s="15"/>
      <c r="BS113" s="15"/>
      <c r="BT113" s="15"/>
      <c r="BW113" s="1">
        <v>1</v>
      </c>
      <c r="BX113" s="15"/>
      <c r="CR113" s="15"/>
      <c r="CS113" s="15"/>
      <c r="CX113" s="15"/>
      <c r="CY113" s="15"/>
      <c r="CZ113" s="1">
        <v>1</v>
      </c>
      <c r="DC113" s="15"/>
      <c r="DH113" s="1">
        <f t="shared" si="2"/>
        <v>3</v>
      </c>
      <c r="DI113" s="1">
        <f t="shared" si="3"/>
        <v>3</v>
      </c>
    </row>
    <row r="114" spans="1:113" ht="15.75" customHeight="1" x14ac:dyDescent="0.35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/>
      <c r="N114" s="17">
        <v>6</v>
      </c>
      <c r="X114" s="1">
        <v>1</v>
      </c>
      <c r="AC114" s="15"/>
      <c r="AL114" s="15"/>
      <c r="AR114" s="15">
        <v>4</v>
      </c>
      <c r="AS114" s="15"/>
      <c r="AT114" s="1">
        <v>3</v>
      </c>
      <c r="AV114" s="15"/>
      <c r="AX114" s="15"/>
      <c r="AY114" s="15"/>
      <c r="BL114" s="15"/>
      <c r="BQ114" s="15"/>
      <c r="BS114" s="15"/>
      <c r="BT114" s="15"/>
      <c r="BX114" s="15"/>
      <c r="CR114" s="15"/>
      <c r="CS114" s="15"/>
      <c r="CX114" s="15"/>
      <c r="CY114" s="15"/>
      <c r="DC114" s="15"/>
      <c r="DH114" s="1">
        <f t="shared" si="2"/>
        <v>3</v>
      </c>
      <c r="DI114" s="1">
        <f t="shared" si="3"/>
        <v>8</v>
      </c>
    </row>
    <row r="115" spans="1:113" ht="15.75" customHeight="1" x14ac:dyDescent="0.35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/>
      <c r="N115" s="17">
        <v>6</v>
      </c>
      <c r="AC115" s="15"/>
      <c r="AL115" s="15"/>
      <c r="AR115" s="15"/>
      <c r="AS115" s="15"/>
      <c r="AV115" s="15"/>
      <c r="AX115" s="15"/>
      <c r="AY115" s="15"/>
      <c r="BL115" s="15"/>
      <c r="BQ115" s="15"/>
      <c r="BS115" s="15"/>
      <c r="BT115" s="15"/>
      <c r="BX115" s="15"/>
      <c r="CE115" s="1">
        <v>1</v>
      </c>
      <c r="CJ115" s="1">
        <v>1</v>
      </c>
      <c r="CR115" s="15"/>
      <c r="CS115" s="15"/>
      <c r="CX115" s="15"/>
      <c r="CY115" s="15"/>
      <c r="DC115" s="15"/>
      <c r="DG115" s="1">
        <v>2</v>
      </c>
      <c r="DH115" s="1">
        <f t="shared" si="2"/>
        <v>3</v>
      </c>
      <c r="DI115" s="1">
        <f t="shared" si="3"/>
        <v>4</v>
      </c>
    </row>
    <row r="116" spans="1:113" ht="15.75" customHeight="1" x14ac:dyDescent="0.35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7"/>
      <c r="AC116" s="15"/>
      <c r="AL116" s="15"/>
      <c r="AR116" s="15"/>
      <c r="AS116" s="15"/>
      <c r="AV116" s="15"/>
      <c r="AX116" s="15"/>
      <c r="AY116" s="15"/>
      <c r="BL116" s="15"/>
      <c r="BQ116" s="15"/>
      <c r="BS116" s="15"/>
      <c r="BT116" s="15"/>
      <c r="BX116" s="15"/>
      <c r="CR116" s="15"/>
      <c r="CS116" s="15"/>
      <c r="CX116" s="15"/>
      <c r="CY116" s="15"/>
      <c r="DC116" s="15"/>
      <c r="DH116" s="1">
        <f t="shared" si="2"/>
        <v>0</v>
      </c>
      <c r="DI116" s="1">
        <f t="shared" si="3"/>
        <v>0</v>
      </c>
    </row>
    <row r="117" spans="1:113" ht="15.75" customHeight="1" x14ac:dyDescent="0.35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550</v>
      </c>
      <c r="N117" s="17">
        <v>4</v>
      </c>
      <c r="R117" s="1">
        <v>1</v>
      </c>
      <c r="AC117" s="15"/>
      <c r="AL117" s="15"/>
      <c r="AR117" s="15">
        <v>4</v>
      </c>
      <c r="AS117" s="15"/>
      <c r="AV117" s="15"/>
      <c r="AX117" s="15"/>
      <c r="AY117" s="15"/>
      <c r="BL117" s="15"/>
      <c r="BQ117" s="15"/>
      <c r="BS117" s="15"/>
      <c r="BT117" s="15"/>
      <c r="BX117" s="15"/>
      <c r="CC117" s="1">
        <v>1</v>
      </c>
      <c r="CI117" s="1">
        <v>1</v>
      </c>
      <c r="CR117" s="15"/>
      <c r="CS117" s="15"/>
      <c r="CX117" s="15"/>
      <c r="CY117" s="15"/>
      <c r="DC117" s="15"/>
      <c r="DH117" s="1">
        <f t="shared" si="2"/>
        <v>4</v>
      </c>
      <c r="DI117" s="1">
        <f t="shared" si="3"/>
        <v>7</v>
      </c>
    </row>
    <row r="118" spans="1:113" ht="15.75" customHeight="1" x14ac:dyDescent="0.35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7">
        <v>4</v>
      </c>
      <c r="AC118" s="15"/>
      <c r="AL118" s="15">
        <v>1</v>
      </c>
      <c r="AR118" s="15"/>
      <c r="AS118" s="15"/>
      <c r="AV118" s="15"/>
      <c r="AX118" s="15">
        <v>1</v>
      </c>
      <c r="AY118" s="15"/>
      <c r="BL118" s="15"/>
      <c r="BQ118" s="15"/>
      <c r="BS118" s="15"/>
      <c r="BT118" s="15"/>
      <c r="BX118" s="15"/>
      <c r="CC118" s="1">
        <v>1</v>
      </c>
      <c r="CI118" s="1">
        <v>1</v>
      </c>
      <c r="CK118" s="1">
        <v>1</v>
      </c>
      <c r="CR118" s="15"/>
      <c r="CS118" s="15"/>
      <c r="CU118" s="1">
        <v>1</v>
      </c>
      <c r="CX118" s="15"/>
      <c r="CY118" s="15"/>
      <c r="CZ118" s="1">
        <v>1</v>
      </c>
      <c r="DA118" s="1">
        <v>1</v>
      </c>
      <c r="DC118" s="15"/>
      <c r="DF118" s="1">
        <v>1</v>
      </c>
      <c r="DH118" s="1">
        <f t="shared" si="2"/>
        <v>9</v>
      </c>
      <c r="DI118" s="1">
        <f t="shared" si="3"/>
        <v>9</v>
      </c>
    </row>
    <row r="119" spans="1:113" ht="15.75" customHeight="1" x14ac:dyDescent="0.35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7">
        <v>4</v>
      </c>
      <c r="AC119" s="15"/>
      <c r="AL119" s="15"/>
      <c r="AR119" s="15"/>
      <c r="AS119" s="15"/>
      <c r="AV119" s="15"/>
      <c r="AX119" s="15"/>
      <c r="AY119" s="15"/>
      <c r="BC119" s="1">
        <v>1</v>
      </c>
      <c r="BI119" s="1">
        <v>1</v>
      </c>
      <c r="BL119" s="15"/>
      <c r="BQ119" s="15"/>
      <c r="BS119" s="15"/>
      <c r="BT119" s="15"/>
      <c r="BV119" s="1">
        <v>1</v>
      </c>
      <c r="BX119" s="15"/>
      <c r="CI119" s="1">
        <v>1</v>
      </c>
      <c r="CJ119" s="1">
        <v>2</v>
      </c>
      <c r="CR119" s="15"/>
      <c r="CS119" s="15"/>
      <c r="CX119" s="15"/>
      <c r="CY119" s="15"/>
      <c r="DC119" s="15"/>
      <c r="DH119" s="1">
        <f t="shared" si="2"/>
        <v>5</v>
      </c>
      <c r="DI119" s="1">
        <f t="shared" si="3"/>
        <v>6</v>
      </c>
    </row>
    <row r="120" spans="1:113" ht="15.75" customHeight="1" x14ac:dyDescent="0.35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7">
        <v>3</v>
      </c>
      <c r="W120" s="1">
        <v>1</v>
      </c>
      <c r="AC120" s="15">
        <v>1</v>
      </c>
      <c r="AE120" s="1">
        <v>1</v>
      </c>
      <c r="AL120" s="15"/>
      <c r="AR120" s="15"/>
      <c r="AS120" s="15"/>
      <c r="AV120" s="15"/>
      <c r="AX120" s="15">
        <v>1</v>
      </c>
      <c r="AY120" s="15"/>
      <c r="BB120" s="1">
        <v>1</v>
      </c>
      <c r="BI120" s="1">
        <v>1</v>
      </c>
      <c r="BL120" s="15"/>
      <c r="BQ120" s="15"/>
      <c r="BS120" s="15"/>
      <c r="BT120" s="15"/>
      <c r="BX120" s="15"/>
      <c r="CI120" s="1">
        <v>1</v>
      </c>
      <c r="CR120" s="15"/>
      <c r="CS120" s="15"/>
      <c r="CX120" s="15"/>
      <c r="CY120" s="15"/>
      <c r="DC120" s="15"/>
      <c r="DH120" s="1">
        <f t="shared" si="2"/>
        <v>7</v>
      </c>
      <c r="DI120" s="1">
        <f t="shared" si="3"/>
        <v>7</v>
      </c>
    </row>
    <row r="121" spans="1:113" ht="15.75" customHeight="1" x14ac:dyDescent="0.35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7">
        <v>3</v>
      </c>
      <c r="AC121" s="15"/>
      <c r="AL121" s="15"/>
      <c r="AR121" s="15"/>
      <c r="AS121" s="15"/>
      <c r="AV121" s="15"/>
      <c r="AX121" s="15"/>
      <c r="AY121" s="15"/>
      <c r="BL121" s="15"/>
      <c r="BQ121" s="15"/>
      <c r="BS121" s="15">
        <v>1</v>
      </c>
      <c r="BT121" s="15"/>
      <c r="BX121" s="15"/>
      <c r="CR121" s="15"/>
      <c r="CS121" s="15"/>
      <c r="CX121" s="15"/>
      <c r="CY121" s="15"/>
      <c r="DC121" s="15"/>
      <c r="DH121" s="1">
        <f t="shared" si="2"/>
        <v>1</v>
      </c>
      <c r="DI121" s="1">
        <f t="shared" si="3"/>
        <v>1</v>
      </c>
    </row>
    <row r="122" spans="1:113" ht="15.75" customHeight="1" x14ac:dyDescent="0.35">
      <c r="A122" s="15" t="s">
        <v>158</v>
      </c>
      <c r="B122" s="23" t="s">
        <v>200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700</v>
      </c>
      <c r="N122" s="17">
        <v>5</v>
      </c>
      <c r="AC122" s="15"/>
      <c r="AE122" s="1">
        <v>1</v>
      </c>
      <c r="AL122" s="15"/>
      <c r="AM122" s="1">
        <v>1</v>
      </c>
      <c r="AR122" s="15"/>
      <c r="AS122" s="15"/>
      <c r="AV122" s="15"/>
      <c r="AW122" s="1">
        <v>2</v>
      </c>
      <c r="AX122" s="15">
        <v>1</v>
      </c>
      <c r="AY122" s="15">
        <v>2</v>
      </c>
      <c r="BL122" s="15"/>
      <c r="BQ122" s="15">
        <v>1</v>
      </c>
      <c r="BS122" s="15">
        <v>1</v>
      </c>
      <c r="BT122" s="15"/>
      <c r="BX122" s="15">
        <v>1</v>
      </c>
      <c r="CH122" s="1">
        <v>1</v>
      </c>
      <c r="CR122" s="15"/>
      <c r="CS122" s="15"/>
      <c r="CV122" s="1">
        <v>1</v>
      </c>
      <c r="CX122" s="15"/>
      <c r="CY122" s="15"/>
      <c r="CZ122" s="1">
        <v>1</v>
      </c>
      <c r="DA122" s="1">
        <v>1</v>
      </c>
      <c r="DC122" s="15"/>
      <c r="DF122" s="1">
        <v>2</v>
      </c>
      <c r="DH122" s="1">
        <f t="shared" si="2"/>
        <v>13</v>
      </c>
      <c r="DI122" s="1">
        <f t="shared" si="3"/>
        <v>16</v>
      </c>
    </row>
    <row r="123" spans="1:113" ht="15.75" customHeight="1" x14ac:dyDescent="0.35">
      <c r="A123" s="15" t="s">
        <v>158</v>
      </c>
      <c r="B123" s="23" t="s">
        <v>200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7">
        <v>5</v>
      </c>
      <c r="AC123" s="15"/>
      <c r="AL123" s="15"/>
      <c r="AR123" s="15"/>
      <c r="AS123" s="15"/>
      <c r="AV123" s="15"/>
      <c r="AX123" s="15"/>
      <c r="AY123" s="15">
        <v>1</v>
      </c>
      <c r="BL123" s="15"/>
      <c r="BQ123" s="15"/>
      <c r="BS123" s="15"/>
      <c r="BT123" s="15"/>
      <c r="BX123" s="15"/>
      <c r="CR123" s="15"/>
      <c r="CS123" s="15"/>
      <c r="CU123" s="1">
        <v>1</v>
      </c>
      <c r="CX123" s="15">
        <v>1</v>
      </c>
      <c r="CY123" s="15"/>
      <c r="DC123" s="15"/>
      <c r="DH123" s="1">
        <f t="shared" si="2"/>
        <v>3</v>
      </c>
      <c r="DI123" s="1">
        <f t="shared" si="3"/>
        <v>3</v>
      </c>
    </row>
    <row r="124" spans="1:113" ht="15.75" customHeight="1" x14ac:dyDescent="0.35">
      <c r="A124" s="15" t="s">
        <v>158</v>
      </c>
      <c r="B124" s="23" t="s">
        <v>200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/>
      <c r="N124" s="17">
        <v>5</v>
      </c>
      <c r="AC124" s="15"/>
      <c r="AL124" s="15">
        <v>1</v>
      </c>
      <c r="AR124" s="15"/>
      <c r="AS124" s="15"/>
      <c r="AV124" s="15"/>
      <c r="AX124" s="15"/>
      <c r="AY124" s="15">
        <v>1</v>
      </c>
      <c r="BL124" s="15"/>
      <c r="BQ124" s="15"/>
      <c r="BS124" s="15">
        <v>1</v>
      </c>
      <c r="BT124" s="15"/>
      <c r="BX124" s="15"/>
      <c r="CR124" s="15"/>
      <c r="CS124" s="15"/>
      <c r="CX124" s="15"/>
      <c r="CY124" s="15"/>
      <c r="DC124" s="15"/>
      <c r="DH124" s="1">
        <f t="shared" si="2"/>
        <v>3</v>
      </c>
      <c r="DI124" s="1">
        <f t="shared" si="3"/>
        <v>3</v>
      </c>
    </row>
    <row r="125" spans="1:113" ht="15.75" customHeight="1" x14ac:dyDescent="0.35">
      <c r="A125" s="15" t="s">
        <v>158</v>
      </c>
      <c r="B125" s="23" t="s">
        <v>200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/>
      <c r="N125" s="17">
        <v>5</v>
      </c>
      <c r="AC125" s="15"/>
      <c r="AL125" s="15"/>
      <c r="AR125" s="15"/>
      <c r="AS125" s="15"/>
      <c r="AV125" s="15"/>
      <c r="AX125" s="15"/>
      <c r="AY125" s="15"/>
      <c r="BL125" s="15"/>
      <c r="BQ125" s="15"/>
      <c r="BS125" s="15"/>
      <c r="BT125" s="15"/>
      <c r="BX125" s="15"/>
      <c r="CH125" s="1">
        <v>1</v>
      </c>
      <c r="CR125" s="15"/>
      <c r="CS125" s="15"/>
      <c r="CX125" s="15"/>
      <c r="CY125" s="15"/>
      <c r="DC125" s="15"/>
      <c r="DH125" s="1">
        <f t="shared" si="2"/>
        <v>1</v>
      </c>
      <c r="DI125" s="1">
        <f t="shared" si="3"/>
        <v>1</v>
      </c>
    </row>
    <row r="126" spans="1:113" ht="15.75" customHeight="1" x14ac:dyDescent="0.35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700</v>
      </c>
      <c r="N126" s="17">
        <v>5</v>
      </c>
      <c r="AB126" s="1">
        <v>2</v>
      </c>
      <c r="AC126" s="15"/>
      <c r="AL126" s="15"/>
      <c r="AR126" s="15"/>
      <c r="AS126" s="15"/>
      <c r="AV126" s="15"/>
      <c r="AW126" s="1">
        <v>1</v>
      </c>
      <c r="AX126" s="15"/>
      <c r="AY126" s="15">
        <v>1</v>
      </c>
      <c r="BB126" s="1">
        <v>1</v>
      </c>
      <c r="BL126" s="15"/>
      <c r="BQ126" s="15"/>
      <c r="BS126" s="15"/>
      <c r="BT126" s="15"/>
      <c r="BX126" s="15"/>
      <c r="BZ126" s="1">
        <v>1</v>
      </c>
      <c r="CF126" s="1">
        <v>1</v>
      </c>
      <c r="CJ126" s="1">
        <v>1</v>
      </c>
      <c r="CK126" s="1">
        <v>1</v>
      </c>
      <c r="CR126" s="15"/>
      <c r="CS126" s="15"/>
      <c r="CX126" s="15"/>
      <c r="CY126" s="15"/>
      <c r="DC126" s="15"/>
      <c r="DH126" s="1">
        <f t="shared" si="2"/>
        <v>8</v>
      </c>
      <c r="DI126" s="1">
        <f t="shared" si="3"/>
        <v>9</v>
      </c>
    </row>
    <row r="127" spans="1:113" ht="15.75" customHeight="1" x14ac:dyDescent="0.35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/>
      <c r="N127" s="17">
        <v>5</v>
      </c>
      <c r="AC127" s="15"/>
      <c r="AL127" s="15"/>
      <c r="AR127" s="15"/>
      <c r="AS127" s="15"/>
      <c r="AV127" s="15"/>
      <c r="AX127" s="15"/>
      <c r="AY127" s="15"/>
      <c r="BH127" s="1">
        <v>1</v>
      </c>
      <c r="BL127" s="15"/>
      <c r="BQ127" s="15"/>
      <c r="BS127" s="15">
        <v>1</v>
      </c>
      <c r="BT127" s="15"/>
      <c r="BX127" s="15"/>
      <c r="CH127" s="1">
        <v>1</v>
      </c>
      <c r="CR127" s="15"/>
      <c r="CS127" s="15"/>
      <c r="CV127" s="1">
        <v>1</v>
      </c>
      <c r="CX127" s="15"/>
      <c r="CY127" s="15"/>
      <c r="DC127" s="15"/>
      <c r="DH127" s="1">
        <f t="shared" si="2"/>
        <v>4</v>
      </c>
      <c r="DI127" s="1">
        <f t="shared" si="3"/>
        <v>4</v>
      </c>
    </row>
    <row r="128" spans="1:113" ht="15.75" customHeight="1" x14ac:dyDescent="0.35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700</v>
      </c>
      <c r="N128" s="17">
        <v>3</v>
      </c>
      <c r="AA128" s="1">
        <v>1</v>
      </c>
      <c r="AC128" s="15"/>
      <c r="AL128" s="15"/>
      <c r="AR128" s="15"/>
      <c r="AS128" s="15"/>
      <c r="AV128" s="15"/>
      <c r="AX128" s="15"/>
      <c r="AY128" s="15">
        <v>1</v>
      </c>
      <c r="BL128" s="15"/>
      <c r="BQ128" s="15"/>
      <c r="BS128" s="15"/>
      <c r="BT128" s="15"/>
      <c r="BX128" s="15">
        <v>1</v>
      </c>
      <c r="CF128" s="1">
        <v>1</v>
      </c>
      <c r="CR128" s="15"/>
      <c r="CS128" s="15"/>
      <c r="CX128" s="15"/>
      <c r="CY128" s="15"/>
      <c r="CZ128" s="1">
        <v>1</v>
      </c>
      <c r="DC128" s="15"/>
      <c r="DH128" s="1">
        <f t="shared" si="2"/>
        <v>5</v>
      </c>
      <c r="DI128" s="1">
        <f t="shared" si="3"/>
        <v>5</v>
      </c>
    </row>
    <row r="129" spans="1:113" ht="15.75" customHeight="1" x14ac:dyDescent="0.35">
      <c r="A129" s="15" t="s">
        <v>158</v>
      </c>
      <c r="B129" s="23" t="s">
        <v>198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700</v>
      </c>
      <c r="N129" s="17">
        <v>3</v>
      </c>
      <c r="W129" s="1">
        <v>1</v>
      </c>
      <c r="AC129" s="15"/>
      <c r="AL129" s="15"/>
      <c r="AR129" s="15">
        <v>3</v>
      </c>
      <c r="AS129" s="15"/>
      <c r="AU129" s="1">
        <v>1</v>
      </c>
      <c r="AV129" s="15"/>
      <c r="AX129" s="15"/>
      <c r="AY129" s="15">
        <v>1</v>
      </c>
      <c r="BL129" s="15"/>
      <c r="BM129" s="1">
        <v>1</v>
      </c>
      <c r="BQ129" s="15"/>
      <c r="BS129" s="15"/>
      <c r="BT129" s="15"/>
      <c r="BX129" s="15"/>
      <c r="CA129" s="1">
        <v>1</v>
      </c>
      <c r="CR129" s="15"/>
      <c r="CS129" s="15"/>
      <c r="CW129" s="1">
        <v>1</v>
      </c>
      <c r="CX129" s="15"/>
      <c r="CY129" s="15"/>
      <c r="CZ129" s="1">
        <v>1</v>
      </c>
      <c r="DC129" s="15">
        <v>1</v>
      </c>
      <c r="DH129" s="1">
        <f t="shared" si="2"/>
        <v>9</v>
      </c>
      <c r="DI129" s="1">
        <f t="shared" si="3"/>
        <v>11</v>
      </c>
    </row>
    <row r="130" spans="1:113" ht="15.75" customHeight="1" x14ac:dyDescent="0.35">
      <c r="A130" s="15" t="s">
        <v>158</v>
      </c>
      <c r="B130" s="23" t="s">
        <v>198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7">
        <v>3</v>
      </c>
      <c r="AC130" s="15"/>
      <c r="AL130" s="15"/>
      <c r="AR130" s="15"/>
      <c r="AS130" s="15"/>
      <c r="AV130" s="15"/>
      <c r="AX130" s="15"/>
      <c r="AY130" s="15"/>
      <c r="BL130" s="15"/>
      <c r="BP130" s="1">
        <v>1</v>
      </c>
      <c r="BQ130" s="15"/>
      <c r="BS130" s="15"/>
      <c r="BT130" s="15"/>
      <c r="BX130" s="15"/>
      <c r="CR130" s="15"/>
      <c r="CS130" s="15"/>
      <c r="CX130" s="15"/>
      <c r="CY130" s="15"/>
      <c r="DC130" s="15"/>
      <c r="DH130" s="1">
        <f t="shared" si="2"/>
        <v>1</v>
      </c>
      <c r="DI130" s="1">
        <f t="shared" si="3"/>
        <v>1</v>
      </c>
    </row>
    <row r="131" spans="1:113" ht="15.75" customHeight="1" x14ac:dyDescent="0.35">
      <c r="A131" s="15" t="s">
        <v>158</v>
      </c>
      <c r="B131" s="23" t="s">
        <v>198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/>
      <c r="N131" s="17">
        <v>3</v>
      </c>
      <c r="AC131" s="15"/>
      <c r="AL131" s="15"/>
      <c r="AR131" s="15"/>
      <c r="AS131" s="15"/>
      <c r="AV131" s="15"/>
      <c r="AX131" s="15"/>
      <c r="AY131" s="15">
        <v>1</v>
      </c>
      <c r="BL131" s="15"/>
      <c r="BQ131" s="15"/>
      <c r="BS131" s="15">
        <v>1</v>
      </c>
      <c r="BT131" s="15"/>
      <c r="BW131" s="1">
        <v>1</v>
      </c>
      <c r="BX131" s="15">
        <v>1</v>
      </c>
      <c r="CR131" s="15"/>
      <c r="CS131" s="15"/>
      <c r="CX131" s="15"/>
      <c r="CY131" s="15"/>
      <c r="DC131" s="15"/>
      <c r="DH131" s="1">
        <f t="shared" si="2"/>
        <v>4</v>
      </c>
      <c r="DI131" s="1">
        <f t="shared" si="3"/>
        <v>4</v>
      </c>
    </row>
    <row r="132" spans="1:113" ht="15.75" customHeight="1" x14ac:dyDescent="0.35">
      <c r="A132" s="15" t="s">
        <v>158</v>
      </c>
      <c r="B132" s="23" t="s">
        <v>199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5">
        <v>700</v>
      </c>
      <c r="N132" s="17">
        <v>2</v>
      </c>
      <c r="W132" s="1">
        <v>2</v>
      </c>
      <c r="CA132" s="1">
        <v>1</v>
      </c>
      <c r="DH132" s="1">
        <f t="shared" si="2"/>
        <v>2</v>
      </c>
      <c r="DI132" s="1">
        <f t="shared" si="3"/>
        <v>3</v>
      </c>
    </row>
    <row r="133" spans="1:113" ht="15.75" customHeight="1" x14ac:dyDescent="0.35">
      <c r="A133" s="15" t="s">
        <v>158</v>
      </c>
      <c r="B133" s="23" t="s">
        <v>199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/>
      <c r="N133" s="17">
        <v>2</v>
      </c>
      <c r="AC133" s="15"/>
      <c r="AE133" s="1">
        <v>1</v>
      </c>
      <c r="AL133" s="15"/>
      <c r="AR133" s="15"/>
      <c r="AS133" s="15"/>
      <c r="AV133" s="15"/>
      <c r="AX133" s="15"/>
      <c r="AY133" s="15"/>
      <c r="BL133" s="15"/>
      <c r="BQ133" s="15"/>
      <c r="BS133" s="15"/>
      <c r="BT133" s="15"/>
      <c r="BX133" s="15"/>
      <c r="CR133" s="15"/>
      <c r="CS133" s="15"/>
      <c r="CX133" s="15"/>
      <c r="CY133" s="15"/>
      <c r="DC133" s="15"/>
      <c r="DH133" s="1">
        <f t="shared" si="2"/>
        <v>1</v>
      </c>
      <c r="DI133" s="1">
        <f t="shared" si="3"/>
        <v>1</v>
      </c>
    </row>
    <row r="134" spans="1:113" ht="15.75" customHeight="1" x14ac:dyDescent="0.35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7">
        <v>3</v>
      </c>
      <c r="T134" s="1">
        <v>1</v>
      </c>
      <c r="X134" s="1">
        <v>1</v>
      </c>
      <c r="AC134" s="15"/>
      <c r="AL134" s="15"/>
      <c r="AR134" s="15">
        <v>6</v>
      </c>
      <c r="AS134" s="15"/>
      <c r="AU134" s="1">
        <v>5</v>
      </c>
      <c r="AV134" s="15"/>
      <c r="AX134" s="15"/>
      <c r="AY134" s="15"/>
      <c r="BL134" s="15"/>
      <c r="BQ134" s="15"/>
      <c r="BS134" s="15"/>
      <c r="BT134" s="15"/>
      <c r="BX134" s="15"/>
      <c r="CR134" s="15"/>
      <c r="CS134" s="15"/>
      <c r="CX134" s="15"/>
      <c r="CY134" s="15"/>
      <c r="DC134" s="15"/>
      <c r="DH134" s="1">
        <f t="shared" ref="DH134:DH197" si="4">COUNT(O134:DG134)</f>
        <v>4</v>
      </c>
      <c r="DI134" s="1">
        <f t="shared" ref="DI134:DI197" si="5">SUM(O134:DG134)</f>
        <v>13</v>
      </c>
    </row>
    <row r="135" spans="1:113" ht="15.75" customHeight="1" x14ac:dyDescent="0.35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700</v>
      </c>
      <c r="N135" s="17">
        <v>3</v>
      </c>
      <c r="X135" s="1">
        <v>1</v>
      </c>
      <c r="AC135" s="15"/>
      <c r="AL135" s="15"/>
      <c r="AR135" s="15">
        <v>2</v>
      </c>
      <c r="AS135" s="15"/>
      <c r="AV135" s="15"/>
      <c r="AX135" s="15"/>
      <c r="AY135" s="15"/>
      <c r="BL135" s="15"/>
      <c r="BM135" s="1">
        <v>2</v>
      </c>
      <c r="BO135" s="1">
        <v>2</v>
      </c>
      <c r="BQ135" s="15"/>
      <c r="BS135" s="15"/>
      <c r="BT135" s="15"/>
      <c r="BX135" s="15"/>
      <c r="CR135" s="15"/>
      <c r="CS135" s="15"/>
      <c r="CX135" s="15"/>
      <c r="CY135" s="15"/>
      <c r="DC135" s="15"/>
      <c r="DH135" s="1">
        <f t="shared" si="4"/>
        <v>4</v>
      </c>
      <c r="DI135" s="1">
        <f t="shared" si="5"/>
        <v>7</v>
      </c>
    </row>
    <row r="136" spans="1:113" ht="15.75" customHeight="1" x14ac:dyDescent="0.35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/>
      <c r="N136" s="17">
        <v>3</v>
      </c>
      <c r="AC136" s="15"/>
      <c r="AL136" s="15"/>
      <c r="AR136" s="15"/>
      <c r="AS136" s="15"/>
      <c r="AV136" s="15"/>
      <c r="AX136" s="15"/>
      <c r="AY136" s="15"/>
      <c r="BH136" s="1">
        <v>1</v>
      </c>
      <c r="BL136" s="15"/>
      <c r="BO136" s="1">
        <v>1</v>
      </c>
      <c r="BQ136" s="15"/>
      <c r="BS136" s="15"/>
      <c r="BT136" s="15"/>
      <c r="BX136" s="15"/>
      <c r="CR136" s="15"/>
      <c r="CS136" s="15"/>
      <c r="CX136" s="15"/>
      <c r="CY136" s="15"/>
      <c r="DC136" s="15"/>
      <c r="DH136" s="1">
        <f t="shared" si="4"/>
        <v>2</v>
      </c>
      <c r="DI136" s="1">
        <f t="shared" si="5"/>
        <v>2</v>
      </c>
    </row>
    <row r="137" spans="1:113" ht="15.75" customHeight="1" x14ac:dyDescent="0.35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700</v>
      </c>
      <c r="N137" s="17">
        <v>1</v>
      </c>
      <c r="X137" s="1">
        <v>1</v>
      </c>
      <c r="AC137" s="15"/>
      <c r="AL137" s="15"/>
      <c r="AR137" s="15">
        <v>6</v>
      </c>
      <c r="AS137" s="15"/>
      <c r="AT137" s="1">
        <v>2</v>
      </c>
      <c r="AU137" s="1">
        <v>1</v>
      </c>
      <c r="AV137" s="15"/>
      <c r="AX137" s="15"/>
      <c r="AY137" s="15"/>
      <c r="BL137" s="15"/>
      <c r="BM137" s="1">
        <v>5</v>
      </c>
      <c r="BQ137" s="15"/>
      <c r="BS137" s="15"/>
      <c r="BT137" s="15"/>
      <c r="BX137" s="15"/>
      <c r="CR137" s="15"/>
      <c r="CS137" s="15"/>
      <c r="CX137" s="15"/>
      <c r="CY137" s="15"/>
      <c r="DC137" s="15"/>
      <c r="DH137" s="1">
        <f t="shared" si="4"/>
        <v>5</v>
      </c>
      <c r="DI137" s="1">
        <f t="shared" si="5"/>
        <v>15</v>
      </c>
    </row>
    <row r="138" spans="1:113" ht="15.75" customHeight="1" x14ac:dyDescent="0.35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/>
      <c r="N138" s="17">
        <v>1</v>
      </c>
      <c r="AC138" s="15"/>
      <c r="AL138" s="15"/>
      <c r="AR138" s="15"/>
      <c r="AS138" s="15"/>
      <c r="AV138" s="15"/>
      <c r="AX138" s="15"/>
      <c r="AY138" s="15"/>
      <c r="BL138" s="15"/>
      <c r="BN138" s="1">
        <v>2</v>
      </c>
      <c r="BO138" s="1">
        <v>2</v>
      </c>
      <c r="BQ138" s="15"/>
      <c r="BS138" s="15"/>
      <c r="BT138" s="15"/>
      <c r="BX138" s="15"/>
      <c r="CR138" s="15"/>
      <c r="CS138" s="15"/>
      <c r="CX138" s="15"/>
      <c r="CY138" s="15"/>
      <c r="DC138" s="15"/>
      <c r="DH138" s="1">
        <f t="shared" si="4"/>
        <v>2</v>
      </c>
      <c r="DI138" s="1">
        <f t="shared" si="5"/>
        <v>4</v>
      </c>
    </row>
    <row r="139" spans="1:113" ht="15.75" customHeight="1" x14ac:dyDescent="0.35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700</v>
      </c>
      <c r="N139" s="17">
        <v>6</v>
      </c>
      <c r="Q139" s="1">
        <v>1</v>
      </c>
      <c r="AC139" s="15"/>
      <c r="AL139" s="15"/>
      <c r="AP139" s="1">
        <v>1</v>
      </c>
      <c r="AR139" s="15">
        <v>15</v>
      </c>
      <c r="AS139" s="15"/>
      <c r="AV139" s="15"/>
      <c r="AX139" s="15"/>
      <c r="AY139" s="15">
        <v>1</v>
      </c>
      <c r="BL139" s="15"/>
      <c r="BQ139" s="15"/>
      <c r="BS139" s="15"/>
      <c r="BT139" s="15"/>
      <c r="BU139" s="1">
        <v>1</v>
      </c>
      <c r="BX139" s="15"/>
      <c r="CQ139" s="1">
        <v>1</v>
      </c>
      <c r="CR139" s="15"/>
      <c r="CS139" s="15"/>
      <c r="CT139" s="1">
        <v>1</v>
      </c>
      <c r="CV139" s="1">
        <v>1</v>
      </c>
      <c r="CX139" s="15">
        <v>1</v>
      </c>
      <c r="CY139" s="15"/>
      <c r="DC139" s="15"/>
      <c r="DE139" s="1">
        <v>10</v>
      </c>
      <c r="DH139" s="1">
        <f t="shared" si="4"/>
        <v>10</v>
      </c>
      <c r="DI139" s="1">
        <f t="shared" si="5"/>
        <v>33</v>
      </c>
    </row>
    <row r="140" spans="1:113" ht="15.75" customHeight="1" x14ac:dyDescent="0.35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7">
        <v>6</v>
      </c>
      <c r="AC140" s="15"/>
      <c r="AL140" s="15"/>
      <c r="AR140" s="15"/>
      <c r="AS140" s="15"/>
      <c r="AV140" s="15"/>
      <c r="AX140" s="15"/>
      <c r="AY140" s="15"/>
      <c r="BL140" s="15"/>
      <c r="BQ140" s="15"/>
      <c r="BS140" s="15"/>
      <c r="BT140" s="15"/>
      <c r="BX140" s="15"/>
      <c r="CJ140" s="1">
        <v>1</v>
      </c>
      <c r="CR140" s="15"/>
      <c r="CS140" s="15"/>
      <c r="CX140" s="15"/>
      <c r="CY140" s="15"/>
      <c r="DC140" s="15"/>
      <c r="DH140" s="1">
        <f t="shared" si="4"/>
        <v>1</v>
      </c>
      <c r="DI140" s="1">
        <f t="shared" si="5"/>
        <v>1</v>
      </c>
    </row>
    <row r="141" spans="1:113" ht="15.75" customHeight="1" x14ac:dyDescent="0.35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700</v>
      </c>
      <c r="N141" s="17">
        <v>6</v>
      </c>
      <c r="O141" s="1">
        <v>1</v>
      </c>
      <c r="X141" s="1">
        <v>1</v>
      </c>
      <c r="AC141" s="15"/>
      <c r="AL141" s="15"/>
      <c r="AR141" s="15"/>
      <c r="AS141" s="15"/>
      <c r="AV141" s="15"/>
      <c r="AX141" s="15">
        <v>1</v>
      </c>
      <c r="AY141" s="15"/>
      <c r="BL141" s="15"/>
      <c r="BQ141" s="15"/>
      <c r="BR141" s="1">
        <v>1</v>
      </c>
      <c r="BS141" s="15"/>
      <c r="BT141" s="15"/>
      <c r="BX141" s="15"/>
      <c r="CD141" s="1">
        <v>1</v>
      </c>
      <c r="CI141" s="1">
        <v>1</v>
      </c>
      <c r="CR141" s="15"/>
      <c r="CS141" s="15"/>
      <c r="CX141" s="15"/>
      <c r="CY141" s="15"/>
      <c r="DC141" s="15"/>
      <c r="DE141" s="1">
        <v>3</v>
      </c>
      <c r="DG141" s="1">
        <v>2</v>
      </c>
      <c r="DH141" s="1">
        <f t="shared" si="4"/>
        <v>8</v>
      </c>
      <c r="DI141" s="1">
        <f t="shared" si="5"/>
        <v>11</v>
      </c>
    </row>
    <row r="142" spans="1:113" ht="15.75" customHeight="1" x14ac:dyDescent="0.35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/>
      <c r="N142" s="17">
        <v>6</v>
      </c>
      <c r="P142" s="1">
        <v>1</v>
      </c>
      <c r="Q142" s="1">
        <v>1</v>
      </c>
      <c r="U142" s="1">
        <v>1</v>
      </c>
      <c r="AC142" s="15"/>
      <c r="AG142" s="1">
        <v>1</v>
      </c>
      <c r="AL142" s="15"/>
      <c r="AR142" s="15"/>
      <c r="AS142" s="15"/>
      <c r="AV142" s="15"/>
      <c r="AX142" s="15"/>
      <c r="AY142" s="15"/>
      <c r="BF142" s="1">
        <v>1</v>
      </c>
      <c r="BL142" s="15"/>
      <c r="BQ142" s="15"/>
      <c r="BS142" s="15"/>
      <c r="BT142" s="15"/>
      <c r="BX142" s="15"/>
      <c r="CF142" s="1">
        <v>1</v>
      </c>
      <c r="CR142" s="15"/>
      <c r="CS142" s="15"/>
      <c r="CX142" s="15"/>
      <c r="CY142" s="15"/>
      <c r="DC142" s="15"/>
      <c r="DH142" s="1">
        <f t="shared" si="4"/>
        <v>6</v>
      </c>
      <c r="DI142" s="1">
        <f t="shared" si="5"/>
        <v>6</v>
      </c>
    </row>
    <row r="143" spans="1:113" ht="15.75" customHeight="1" x14ac:dyDescent="0.35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7"/>
      <c r="AC143" s="15"/>
      <c r="AL143" s="15"/>
      <c r="AR143" s="15"/>
      <c r="AS143" s="15"/>
      <c r="AV143" s="15"/>
      <c r="AX143" s="15"/>
      <c r="AY143" s="15"/>
      <c r="BL143" s="15"/>
      <c r="BQ143" s="15"/>
      <c r="BS143" s="15"/>
      <c r="BT143" s="15"/>
      <c r="BX143" s="15"/>
      <c r="CR143" s="15"/>
      <c r="CS143" s="15"/>
      <c r="CX143" s="15"/>
      <c r="CY143" s="15"/>
      <c r="DC143" s="15"/>
      <c r="DH143" s="1">
        <f t="shared" si="4"/>
        <v>0</v>
      </c>
      <c r="DI143" s="1">
        <f t="shared" si="5"/>
        <v>0</v>
      </c>
    </row>
    <row r="144" spans="1:113" ht="15.75" customHeight="1" x14ac:dyDescent="0.35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7"/>
      <c r="AC144" s="15"/>
      <c r="AL144" s="15"/>
      <c r="AR144" s="15"/>
      <c r="AS144" s="15"/>
      <c r="AV144" s="15"/>
      <c r="AX144" s="15"/>
      <c r="AY144" s="15"/>
      <c r="BL144" s="15"/>
      <c r="BQ144" s="15"/>
      <c r="BS144" s="15"/>
      <c r="BT144" s="15"/>
      <c r="BX144" s="15"/>
      <c r="CR144" s="15"/>
      <c r="CS144" s="15"/>
      <c r="CX144" s="15"/>
      <c r="CY144" s="15"/>
      <c r="DC144" s="15"/>
      <c r="DH144" s="1">
        <f t="shared" si="4"/>
        <v>0</v>
      </c>
      <c r="DI144" s="1">
        <f t="shared" si="5"/>
        <v>0</v>
      </c>
    </row>
    <row r="145" spans="1:113" ht="15.75" customHeight="1" x14ac:dyDescent="0.35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/>
      <c r="N145" s="17">
        <v>4</v>
      </c>
      <c r="AC145" s="15"/>
      <c r="AL145" s="15"/>
      <c r="AN145" s="1">
        <v>1</v>
      </c>
      <c r="AR145" s="15"/>
      <c r="AS145" s="15"/>
      <c r="AV145" s="15"/>
      <c r="AX145" s="15"/>
      <c r="AY145" s="15"/>
      <c r="BI145" s="1">
        <v>1</v>
      </c>
      <c r="BL145" s="15"/>
      <c r="BQ145" s="15"/>
      <c r="BS145" s="15">
        <v>2</v>
      </c>
      <c r="BT145" s="15">
        <v>2</v>
      </c>
      <c r="BX145" s="15"/>
      <c r="CR145" s="15"/>
      <c r="CS145" s="15"/>
      <c r="CX145" s="15">
        <v>1</v>
      </c>
      <c r="CY145" s="15"/>
      <c r="DA145" s="1">
        <v>2</v>
      </c>
      <c r="DC145" s="15">
        <v>1</v>
      </c>
      <c r="DD145" s="1">
        <v>1</v>
      </c>
      <c r="DH145" s="1">
        <f t="shared" si="4"/>
        <v>8</v>
      </c>
      <c r="DI145" s="1">
        <f t="shared" si="5"/>
        <v>11</v>
      </c>
    </row>
    <row r="146" spans="1:113" ht="15.75" customHeight="1" x14ac:dyDescent="0.35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/>
      <c r="N146" s="17">
        <v>3</v>
      </c>
      <c r="AC146" s="15"/>
      <c r="AL146" s="15"/>
      <c r="AR146" s="15"/>
      <c r="AS146" s="15"/>
      <c r="AV146" s="15"/>
      <c r="AX146" s="15"/>
      <c r="AY146" s="15">
        <v>1</v>
      </c>
      <c r="BC146" s="1">
        <v>1</v>
      </c>
      <c r="BL146" s="15"/>
      <c r="BQ146" s="15"/>
      <c r="BS146" s="15"/>
      <c r="BT146" s="15">
        <v>3</v>
      </c>
      <c r="BX146" s="15"/>
      <c r="CF146" s="1">
        <v>1</v>
      </c>
      <c r="CR146" s="15"/>
      <c r="CS146" s="15"/>
      <c r="CT146" s="1">
        <v>1</v>
      </c>
      <c r="CV146" s="1">
        <v>1</v>
      </c>
      <c r="CX146" s="15"/>
      <c r="CY146" s="15"/>
      <c r="DC146" s="15"/>
      <c r="DH146" s="1">
        <f t="shared" si="4"/>
        <v>6</v>
      </c>
      <c r="DI146" s="1">
        <f t="shared" si="5"/>
        <v>8</v>
      </c>
    </row>
    <row r="147" spans="1:113" ht="15.75" customHeight="1" x14ac:dyDescent="0.35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7">
        <v>3</v>
      </c>
      <c r="AC147" s="15"/>
      <c r="AL147" s="15"/>
      <c r="AR147" s="15"/>
      <c r="AS147" s="15"/>
      <c r="AV147" s="15"/>
      <c r="AX147" s="15"/>
      <c r="AY147" s="15"/>
      <c r="BL147" s="15"/>
      <c r="BQ147" s="15"/>
      <c r="BS147" s="15"/>
      <c r="BT147" s="15"/>
      <c r="BX147" s="15"/>
      <c r="CJ147" s="1">
        <v>1</v>
      </c>
      <c r="CR147" s="15"/>
      <c r="CS147" s="15"/>
      <c r="CX147" s="15"/>
      <c r="CY147" s="15"/>
      <c r="DC147" s="15"/>
      <c r="DH147" s="1">
        <f t="shared" si="4"/>
        <v>1</v>
      </c>
      <c r="DI147" s="1">
        <f t="shared" si="5"/>
        <v>1</v>
      </c>
    </row>
    <row r="148" spans="1:113" ht="15.75" customHeight="1" x14ac:dyDescent="0.35">
      <c r="A148" s="15" t="s">
        <v>164</v>
      </c>
      <c r="B148" s="23" t="s">
        <v>200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480</v>
      </c>
      <c r="N148" s="17">
        <v>5</v>
      </c>
      <c r="AC148" s="15"/>
      <c r="AE148" s="1">
        <v>1</v>
      </c>
      <c r="AL148" s="15"/>
      <c r="AM148" s="1">
        <v>1</v>
      </c>
      <c r="AR148" s="15"/>
      <c r="AS148" s="15"/>
      <c r="AV148" s="15"/>
      <c r="AX148" s="15"/>
      <c r="AY148" s="15">
        <v>1</v>
      </c>
      <c r="BI148" s="1">
        <v>1</v>
      </c>
      <c r="BL148" s="15"/>
      <c r="BQ148" s="15"/>
      <c r="BS148" s="15">
        <v>1</v>
      </c>
      <c r="BT148" s="15"/>
      <c r="BX148" s="15">
        <v>1</v>
      </c>
      <c r="CI148" s="1">
        <v>1</v>
      </c>
      <c r="CR148" s="15"/>
      <c r="CS148" s="15"/>
      <c r="CX148" s="15">
        <v>1</v>
      </c>
      <c r="CY148" s="15"/>
      <c r="DC148" s="15"/>
      <c r="DH148" s="1">
        <f t="shared" si="4"/>
        <v>8</v>
      </c>
      <c r="DI148" s="1">
        <f t="shared" si="5"/>
        <v>8</v>
      </c>
    </row>
    <row r="149" spans="1:113" ht="15.75" customHeight="1" x14ac:dyDescent="0.35">
      <c r="A149" s="15" t="s">
        <v>164</v>
      </c>
      <c r="B149" s="23" t="s">
        <v>200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7">
        <v>5</v>
      </c>
      <c r="AC149" s="15"/>
      <c r="AL149" s="15"/>
      <c r="AR149" s="15"/>
      <c r="AS149" s="15"/>
      <c r="AV149" s="15"/>
      <c r="AX149" s="15"/>
      <c r="AY149" s="15"/>
      <c r="BL149" s="15"/>
      <c r="BQ149" s="15"/>
      <c r="BS149" s="15"/>
      <c r="BT149" s="15"/>
      <c r="BX149" s="15"/>
      <c r="CI149" s="1">
        <v>1</v>
      </c>
      <c r="CR149" s="15"/>
      <c r="CS149" s="15"/>
      <c r="CX149" s="15"/>
      <c r="CY149" s="15"/>
      <c r="DC149" s="15"/>
      <c r="DH149" s="1">
        <f t="shared" si="4"/>
        <v>1</v>
      </c>
      <c r="DI149" s="1">
        <f t="shared" si="5"/>
        <v>1</v>
      </c>
    </row>
    <row r="150" spans="1:113" ht="15.75" customHeight="1" x14ac:dyDescent="0.35">
      <c r="A150" s="15" t="s">
        <v>164</v>
      </c>
      <c r="B150" s="23" t="s">
        <v>200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/>
      <c r="N150" s="17">
        <v>5</v>
      </c>
      <c r="AC150" s="15"/>
      <c r="AL150" s="15">
        <v>1</v>
      </c>
      <c r="AM150" s="1">
        <v>1</v>
      </c>
      <c r="AR150" s="15"/>
      <c r="AS150" s="15"/>
      <c r="AV150" s="15"/>
      <c r="AX150" s="15"/>
      <c r="AY150" s="15">
        <v>1</v>
      </c>
      <c r="BC150" s="1">
        <v>1</v>
      </c>
      <c r="BL150" s="15"/>
      <c r="BQ150" s="15"/>
      <c r="BS150" s="15">
        <v>1</v>
      </c>
      <c r="BT150" s="15"/>
      <c r="BX150" s="15"/>
      <c r="CF150" s="1">
        <v>1</v>
      </c>
      <c r="CH150" s="1">
        <v>1</v>
      </c>
      <c r="CR150" s="15"/>
      <c r="CS150" s="15"/>
      <c r="CU150" s="1">
        <v>1</v>
      </c>
      <c r="CX150" s="15"/>
      <c r="CY150" s="15"/>
      <c r="DC150" s="15"/>
      <c r="DH150" s="1">
        <f t="shared" si="4"/>
        <v>8</v>
      </c>
      <c r="DI150" s="1">
        <f t="shared" si="5"/>
        <v>8</v>
      </c>
    </row>
    <row r="151" spans="1:113" ht="15.75" customHeight="1" x14ac:dyDescent="0.35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780</v>
      </c>
      <c r="N151" s="17">
        <v>5</v>
      </c>
      <c r="P151" s="1">
        <v>1</v>
      </c>
      <c r="Q151" s="1">
        <v>1</v>
      </c>
      <c r="AC151" s="15"/>
      <c r="AE151" s="1">
        <v>1</v>
      </c>
      <c r="AL151" s="15"/>
      <c r="AP151" s="1">
        <v>1</v>
      </c>
      <c r="AR151" s="15"/>
      <c r="AS151" s="15"/>
      <c r="AV151" s="15"/>
      <c r="AX151" s="15"/>
      <c r="AY151" s="15"/>
      <c r="AZ151" s="1">
        <v>1</v>
      </c>
      <c r="BB151" s="1">
        <v>1</v>
      </c>
      <c r="BL151" s="15"/>
      <c r="BQ151" s="15"/>
      <c r="BS151" s="15">
        <v>1</v>
      </c>
      <c r="BT151" s="15"/>
      <c r="BX151" s="15"/>
      <c r="CE151" s="1">
        <v>1</v>
      </c>
      <c r="CR151" s="15"/>
      <c r="CS151" s="15"/>
      <c r="CT151" s="1">
        <v>1</v>
      </c>
      <c r="CX151" s="15">
        <v>1</v>
      </c>
      <c r="CY151" s="15"/>
      <c r="DC151" s="15"/>
      <c r="DH151" s="1">
        <f t="shared" si="4"/>
        <v>10</v>
      </c>
      <c r="DI151" s="1">
        <f t="shared" si="5"/>
        <v>10</v>
      </c>
    </row>
    <row r="152" spans="1:113" ht="15.75" customHeight="1" x14ac:dyDescent="0.35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480</v>
      </c>
      <c r="N152" s="17">
        <v>5</v>
      </c>
      <c r="AC152" s="15"/>
      <c r="AL152" s="15"/>
      <c r="AR152" s="15"/>
      <c r="AS152" s="15"/>
      <c r="AV152" s="15"/>
      <c r="AW152" s="1">
        <v>1</v>
      </c>
      <c r="AX152" s="15"/>
      <c r="AY152" s="15"/>
      <c r="BB152" s="1">
        <v>1</v>
      </c>
      <c r="BL152" s="15"/>
      <c r="BQ152" s="15"/>
      <c r="BS152" s="15"/>
      <c r="BT152" s="15"/>
      <c r="BX152" s="15"/>
      <c r="CH152" s="1">
        <v>1</v>
      </c>
      <c r="CR152" s="15"/>
      <c r="CS152" s="15"/>
      <c r="CU152" s="1">
        <v>1</v>
      </c>
      <c r="CX152" s="15">
        <v>1</v>
      </c>
      <c r="CY152" s="15"/>
      <c r="DC152" s="15"/>
      <c r="DH152" s="1">
        <f t="shared" si="4"/>
        <v>5</v>
      </c>
      <c r="DI152" s="1">
        <f t="shared" si="5"/>
        <v>5</v>
      </c>
    </row>
    <row r="153" spans="1:113" ht="15.75" customHeight="1" x14ac:dyDescent="0.35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7">
        <v>3</v>
      </c>
      <c r="AC153" s="15"/>
      <c r="AL153" s="15"/>
      <c r="AR153" s="15"/>
      <c r="AS153" s="15"/>
      <c r="AV153" s="15"/>
      <c r="AX153" s="15"/>
      <c r="AY153" s="15"/>
      <c r="BL153" s="15"/>
      <c r="BQ153" s="15"/>
      <c r="BS153" s="15"/>
      <c r="BT153" s="15"/>
      <c r="BX153" s="15"/>
      <c r="CJ153" s="1">
        <v>2</v>
      </c>
      <c r="CR153" s="15"/>
      <c r="CS153" s="15"/>
      <c r="CX153" s="15"/>
      <c r="CY153" s="15"/>
      <c r="DC153" s="15"/>
      <c r="DH153" s="1">
        <f t="shared" si="4"/>
        <v>1</v>
      </c>
      <c r="DI153" s="1">
        <f t="shared" si="5"/>
        <v>2</v>
      </c>
    </row>
    <row r="154" spans="1:113" ht="15.75" customHeight="1" x14ac:dyDescent="0.35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780</v>
      </c>
      <c r="N154" s="17">
        <v>3</v>
      </c>
      <c r="AC154" s="15"/>
      <c r="AL154" s="15"/>
      <c r="AR154" s="15"/>
      <c r="AS154" s="15"/>
      <c r="AV154" s="15"/>
      <c r="AX154" s="15"/>
      <c r="AY154" s="15">
        <v>1</v>
      </c>
      <c r="BL154" s="15"/>
      <c r="BQ154" s="15"/>
      <c r="BS154" s="15"/>
      <c r="BT154" s="15"/>
      <c r="BX154" s="15"/>
      <c r="CR154" s="15"/>
      <c r="CS154" s="15"/>
      <c r="CX154" s="15"/>
      <c r="CY154" s="15"/>
      <c r="DC154" s="15"/>
      <c r="DH154" s="1">
        <f t="shared" si="4"/>
        <v>1</v>
      </c>
      <c r="DI154" s="1">
        <f t="shared" si="5"/>
        <v>1</v>
      </c>
    </row>
    <row r="155" spans="1:113" ht="15.75" customHeight="1" x14ac:dyDescent="0.35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480</v>
      </c>
      <c r="N155" s="17">
        <v>3</v>
      </c>
      <c r="X155" s="1">
        <v>1</v>
      </c>
      <c r="AC155" s="15"/>
      <c r="AL155" s="15"/>
      <c r="AR155" s="15"/>
      <c r="AS155" s="15"/>
      <c r="AV155" s="15"/>
      <c r="AX155" s="15"/>
      <c r="AY155" s="15"/>
      <c r="BL155" s="15"/>
      <c r="BQ155" s="15"/>
      <c r="BS155" s="15"/>
      <c r="BT155" s="15"/>
      <c r="BX155" s="15"/>
      <c r="CF155" s="1">
        <v>1</v>
      </c>
      <c r="CR155" s="15"/>
      <c r="CS155" s="15"/>
      <c r="CT155" s="1">
        <v>1</v>
      </c>
      <c r="CX155" s="15"/>
      <c r="CY155" s="15"/>
      <c r="DC155" s="15"/>
      <c r="DH155" s="1">
        <f t="shared" si="4"/>
        <v>3</v>
      </c>
      <c r="DI155" s="1">
        <f t="shared" si="5"/>
        <v>3</v>
      </c>
    </row>
    <row r="156" spans="1:113" ht="15.75" customHeight="1" x14ac:dyDescent="0.35">
      <c r="A156" s="15" t="s">
        <v>164</v>
      </c>
      <c r="B156" s="23" t="s">
        <v>198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7">
        <v>3</v>
      </c>
      <c r="AC156" s="15"/>
      <c r="AL156" s="15"/>
      <c r="AR156" s="15"/>
      <c r="AS156" s="15"/>
      <c r="AV156" s="15"/>
      <c r="AX156" s="15"/>
      <c r="AY156" s="15"/>
      <c r="BL156" s="15"/>
      <c r="BQ156" s="15"/>
      <c r="BS156" s="15"/>
      <c r="BT156" s="15"/>
      <c r="BX156" s="15"/>
      <c r="CJ156" s="1">
        <v>1</v>
      </c>
      <c r="CQ156" s="1">
        <v>1</v>
      </c>
      <c r="CR156" s="15"/>
      <c r="CS156" s="15"/>
      <c r="CX156" s="15"/>
      <c r="CY156" s="15"/>
      <c r="DC156" s="15"/>
      <c r="DH156" s="1">
        <f t="shared" si="4"/>
        <v>2</v>
      </c>
      <c r="DI156" s="1">
        <f t="shared" si="5"/>
        <v>2</v>
      </c>
    </row>
    <row r="157" spans="1:113" s="44" customFormat="1" ht="15.75" customHeight="1" x14ac:dyDescent="0.35">
      <c r="A157" s="39" t="s">
        <v>164</v>
      </c>
      <c r="B157" s="40" t="s">
        <v>198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480</v>
      </c>
      <c r="N157" s="43">
        <v>3</v>
      </c>
      <c r="AC157" s="39"/>
      <c r="AL157" s="39"/>
      <c r="AR157" s="39"/>
      <c r="AS157" s="39"/>
      <c r="AV157" s="39"/>
      <c r="AX157" s="39"/>
      <c r="AY157" s="39">
        <v>1</v>
      </c>
      <c r="BL157" s="39"/>
      <c r="BM157" s="44">
        <v>4</v>
      </c>
      <c r="BO157" s="44">
        <v>1</v>
      </c>
      <c r="BQ157" s="39"/>
      <c r="BS157" s="39">
        <v>1</v>
      </c>
      <c r="BT157" s="39"/>
      <c r="BX157" s="39"/>
      <c r="CF157" s="44">
        <v>1</v>
      </c>
      <c r="CI157" s="44">
        <v>1</v>
      </c>
      <c r="CR157" s="39"/>
      <c r="CS157" s="39"/>
      <c r="CX157" s="39"/>
      <c r="CY157" s="39"/>
      <c r="DC157" s="39"/>
      <c r="DH157" s="1">
        <f t="shared" si="4"/>
        <v>6</v>
      </c>
      <c r="DI157" s="1">
        <f t="shared" si="5"/>
        <v>9</v>
      </c>
    </row>
    <row r="158" spans="1:113" ht="15.75" customHeight="1" x14ac:dyDescent="0.35">
      <c r="A158" s="15" t="s">
        <v>164</v>
      </c>
      <c r="B158" s="23" t="s">
        <v>198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/>
      <c r="N158" s="17">
        <v>3</v>
      </c>
      <c r="AC158" s="15"/>
      <c r="AL158" s="15"/>
      <c r="AR158" s="15"/>
      <c r="AS158" s="15"/>
      <c r="AV158" s="15"/>
      <c r="AX158" s="15"/>
      <c r="AY158" s="15"/>
      <c r="BL158" s="15"/>
      <c r="BM158" s="1">
        <v>1</v>
      </c>
      <c r="BO158" s="1">
        <v>1</v>
      </c>
      <c r="BQ158" s="15"/>
      <c r="BS158" s="15"/>
      <c r="BT158" s="15"/>
      <c r="BX158" s="15"/>
      <c r="CR158" s="15"/>
      <c r="CS158" s="15"/>
      <c r="CX158" s="15"/>
      <c r="CY158" s="15"/>
      <c r="DC158" s="15"/>
      <c r="DH158" s="1">
        <f t="shared" si="4"/>
        <v>2</v>
      </c>
      <c r="DI158" s="1">
        <f t="shared" si="5"/>
        <v>2</v>
      </c>
    </row>
    <row r="159" spans="1:113" ht="15.75" customHeight="1" x14ac:dyDescent="0.35">
      <c r="A159" s="15" t="s">
        <v>164</v>
      </c>
      <c r="B159" s="23" t="s">
        <v>199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480</v>
      </c>
      <c r="N159" s="17">
        <v>2</v>
      </c>
      <c r="AC159" s="15"/>
      <c r="AL159" s="15"/>
      <c r="AR159" s="15"/>
      <c r="AS159" s="15"/>
      <c r="AV159" s="15"/>
      <c r="AX159" s="15"/>
      <c r="AY159" s="15"/>
      <c r="BL159" s="15"/>
      <c r="BQ159" s="15"/>
      <c r="BS159" s="15"/>
      <c r="BT159" s="15"/>
      <c r="BX159" s="15"/>
      <c r="CR159" s="15"/>
      <c r="CS159" s="15"/>
      <c r="CX159" s="15"/>
      <c r="CY159" s="15"/>
      <c r="DC159" s="15"/>
      <c r="DH159" s="1">
        <f t="shared" si="4"/>
        <v>0</v>
      </c>
      <c r="DI159" s="1">
        <f t="shared" si="5"/>
        <v>0</v>
      </c>
    </row>
    <row r="160" spans="1:113" ht="15.75" customHeight="1" x14ac:dyDescent="0.35">
      <c r="A160" s="15" t="s">
        <v>164</v>
      </c>
      <c r="B160" s="23" t="s">
        <v>199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7">
        <v>2</v>
      </c>
      <c r="Y160" s="1">
        <v>1</v>
      </c>
      <c r="AC160" s="15"/>
      <c r="AL160" s="15"/>
      <c r="AR160" s="15"/>
      <c r="AS160" s="15"/>
      <c r="AV160" s="15"/>
      <c r="AX160" s="15"/>
      <c r="AY160" s="15"/>
      <c r="BL160" s="15"/>
      <c r="BM160" s="1">
        <v>3</v>
      </c>
      <c r="BO160" s="1">
        <v>2</v>
      </c>
      <c r="BQ160" s="15"/>
      <c r="BS160" s="15"/>
      <c r="BT160" s="15"/>
      <c r="BX160" s="15"/>
      <c r="CR160" s="15"/>
      <c r="CS160" s="15"/>
      <c r="CX160" s="15"/>
      <c r="CY160" s="15"/>
      <c r="DC160" s="15"/>
      <c r="DH160" s="1">
        <f t="shared" si="4"/>
        <v>3</v>
      </c>
      <c r="DI160" s="1">
        <f t="shared" si="5"/>
        <v>6</v>
      </c>
    </row>
    <row r="161" spans="1:113" ht="15.75" customHeight="1" x14ac:dyDescent="0.35">
      <c r="A161" s="15" t="s">
        <v>164</v>
      </c>
      <c r="B161" s="23" t="s">
        <v>199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/>
      <c r="N161" s="17">
        <v>2</v>
      </c>
      <c r="AC161" s="15"/>
      <c r="AJ161" s="1">
        <v>1</v>
      </c>
      <c r="AL161" s="15"/>
      <c r="AR161" s="15"/>
      <c r="AS161" s="15"/>
      <c r="AV161" s="15"/>
      <c r="AX161" s="15"/>
      <c r="AY161" s="15"/>
      <c r="BH161" s="1">
        <v>1</v>
      </c>
      <c r="BL161" s="15"/>
      <c r="BQ161" s="15"/>
      <c r="BS161" s="15"/>
      <c r="BT161" s="15">
        <v>1</v>
      </c>
      <c r="BX161" s="15"/>
      <c r="CR161" s="15"/>
      <c r="CS161" s="15"/>
      <c r="CX161" s="15"/>
      <c r="CY161" s="15"/>
      <c r="DC161" s="15"/>
      <c r="DH161" s="1">
        <f t="shared" si="4"/>
        <v>3</v>
      </c>
      <c r="DI161" s="1">
        <f t="shared" si="5"/>
        <v>3</v>
      </c>
    </row>
    <row r="162" spans="1:113" ht="15.75" customHeight="1" x14ac:dyDescent="0.35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7">
        <v>3</v>
      </c>
      <c r="AC162" s="15"/>
      <c r="AL162" s="15"/>
      <c r="AR162" s="15"/>
      <c r="AS162" s="15"/>
      <c r="AU162" s="1">
        <v>2</v>
      </c>
      <c r="AV162" s="15"/>
      <c r="AX162" s="15"/>
      <c r="AY162" s="15"/>
      <c r="BL162" s="15"/>
      <c r="BM162" s="1">
        <v>3</v>
      </c>
      <c r="BO162" s="1">
        <v>3</v>
      </c>
      <c r="BQ162" s="15"/>
      <c r="BS162" s="15"/>
      <c r="BT162" s="15"/>
      <c r="BX162" s="15"/>
      <c r="CD162" s="1">
        <v>1</v>
      </c>
      <c r="CR162" s="15"/>
      <c r="CS162" s="15"/>
      <c r="CU162" s="1">
        <v>1</v>
      </c>
      <c r="CX162" s="15"/>
      <c r="CY162" s="15"/>
      <c r="DC162" s="15"/>
      <c r="DH162" s="1">
        <f t="shared" si="4"/>
        <v>5</v>
      </c>
      <c r="DI162" s="1">
        <f t="shared" si="5"/>
        <v>10</v>
      </c>
    </row>
    <row r="163" spans="1:113" ht="15.75" customHeight="1" x14ac:dyDescent="0.35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480</v>
      </c>
      <c r="N163" s="17">
        <v>3</v>
      </c>
      <c r="V163" s="1">
        <v>1</v>
      </c>
      <c r="X163" s="1">
        <v>2</v>
      </c>
      <c r="Y163" s="1">
        <v>1</v>
      </c>
      <c r="AC163" s="15"/>
      <c r="AL163" s="15"/>
      <c r="AR163" s="15"/>
      <c r="AS163" s="15"/>
      <c r="AU163" s="1">
        <v>1</v>
      </c>
      <c r="AV163" s="15"/>
      <c r="AX163" s="15"/>
      <c r="AY163" s="15"/>
      <c r="BL163" s="15"/>
      <c r="BQ163" s="15"/>
      <c r="BS163" s="15"/>
      <c r="BT163" s="15"/>
      <c r="BX163" s="15"/>
      <c r="CR163" s="15"/>
      <c r="CS163" s="15"/>
      <c r="CX163" s="15"/>
      <c r="CY163" s="15"/>
      <c r="DC163" s="15"/>
      <c r="DH163" s="1">
        <f t="shared" si="4"/>
        <v>4</v>
      </c>
      <c r="DI163" s="1">
        <f t="shared" si="5"/>
        <v>5</v>
      </c>
    </row>
    <row r="164" spans="1:113" ht="15.75" customHeight="1" x14ac:dyDescent="0.35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7">
        <v>1</v>
      </c>
      <c r="AC164" s="15"/>
      <c r="AL164" s="15"/>
      <c r="AR164" s="15"/>
      <c r="AS164" s="15"/>
      <c r="AU164" s="1">
        <v>1</v>
      </c>
      <c r="AV164" s="15"/>
      <c r="AX164" s="15"/>
      <c r="AY164" s="15"/>
      <c r="BL164" s="15"/>
      <c r="BQ164" s="15"/>
      <c r="BS164" s="15"/>
      <c r="BT164" s="15"/>
      <c r="BX164" s="15"/>
      <c r="CR164" s="15"/>
      <c r="CS164" s="15"/>
      <c r="CX164" s="15"/>
      <c r="CY164" s="15"/>
      <c r="DC164" s="15"/>
      <c r="DH164" s="1">
        <f t="shared" si="4"/>
        <v>1</v>
      </c>
      <c r="DI164" s="1">
        <f t="shared" si="5"/>
        <v>1</v>
      </c>
    </row>
    <row r="165" spans="1:113" ht="15.75" customHeight="1" x14ac:dyDescent="0.35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480</v>
      </c>
      <c r="N165" s="17">
        <v>1</v>
      </c>
      <c r="AC165" s="15"/>
      <c r="AL165" s="15"/>
      <c r="AR165" s="15"/>
      <c r="AS165" s="15"/>
      <c r="AU165" s="1">
        <v>1</v>
      </c>
      <c r="AV165" s="15"/>
      <c r="AX165" s="15"/>
      <c r="AY165" s="15"/>
      <c r="BL165" s="15"/>
      <c r="BM165" s="1">
        <v>3</v>
      </c>
      <c r="BQ165" s="15"/>
      <c r="BS165" s="15"/>
      <c r="BT165" s="15"/>
      <c r="BX165" s="15"/>
      <c r="CR165" s="15"/>
      <c r="CS165" s="15"/>
      <c r="CX165" s="15"/>
      <c r="CY165" s="15"/>
      <c r="DC165" s="15"/>
      <c r="DH165" s="1">
        <f t="shared" si="4"/>
        <v>2</v>
      </c>
      <c r="DI165" s="1">
        <f t="shared" si="5"/>
        <v>4</v>
      </c>
    </row>
    <row r="166" spans="1:113" ht="15.75" customHeight="1" x14ac:dyDescent="0.35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7">
        <v>6</v>
      </c>
      <c r="Q166" s="1">
        <v>1</v>
      </c>
      <c r="AC166" s="15"/>
      <c r="AL166" s="15"/>
      <c r="AR166" s="15"/>
      <c r="AS166" s="15"/>
      <c r="AV166" s="15"/>
      <c r="AX166" s="15"/>
      <c r="AY166" s="15"/>
      <c r="BL166" s="15"/>
      <c r="BQ166" s="15"/>
      <c r="BS166" s="15"/>
      <c r="BT166" s="15"/>
      <c r="BX166" s="15"/>
      <c r="CI166" s="1">
        <v>1</v>
      </c>
      <c r="CJ166" s="1">
        <v>1</v>
      </c>
      <c r="CQ166" s="1">
        <v>1</v>
      </c>
      <c r="CR166" s="15"/>
      <c r="CS166" s="15"/>
      <c r="CT166" s="1">
        <v>1</v>
      </c>
      <c r="CX166" s="15"/>
      <c r="CY166" s="15"/>
      <c r="DC166" s="15"/>
      <c r="DH166" s="1">
        <f t="shared" si="4"/>
        <v>5</v>
      </c>
      <c r="DI166" s="1">
        <f t="shared" si="5"/>
        <v>5</v>
      </c>
    </row>
    <row r="167" spans="1:113" ht="15.75" customHeight="1" x14ac:dyDescent="0.35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7">
        <v>6</v>
      </c>
      <c r="AC167" s="15"/>
      <c r="AL167" s="15"/>
      <c r="AR167" s="15"/>
      <c r="AS167" s="15"/>
      <c r="AV167" s="15"/>
      <c r="AX167" s="15"/>
      <c r="AY167" s="15">
        <v>1</v>
      </c>
      <c r="BL167" s="15"/>
      <c r="BQ167" s="15"/>
      <c r="BS167" s="15"/>
      <c r="BT167" s="15"/>
      <c r="BX167" s="15"/>
      <c r="CI167" s="1">
        <v>1</v>
      </c>
      <c r="CR167" s="15"/>
      <c r="CS167" s="15"/>
      <c r="CX167" s="15"/>
      <c r="CY167" s="15"/>
      <c r="DC167" s="15"/>
      <c r="DG167" s="1">
        <v>1</v>
      </c>
      <c r="DH167" s="1">
        <f t="shared" si="4"/>
        <v>3</v>
      </c>
      <c r="DI167" s="1">
        <f t="shared" si="5"/>
        <v>3</v>
      </c>
    </row>
    <row r="168" spans="1:113" ht="15.75" customHeight="1" x14ac:dyDescent="0.35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480</v>
      </c>
      <c r="N168" s="17">
        <v>6</v>
      </c>
      <c r="AC168" s="15"/>
      <c r="AL168" s="15"/>
      <c r="AR168" s="15"/>
      <c r="AS168" s="15"/>
      <c r="AV168" s="15"/>
      <c r="AX168" s="15"/>
      <c r="AY168" s="15"/>
      <c r="BL168" s="15"/>
      <c r="BQ168" s="15"/>
      <c r="BS168" s="15"/>
      <c r="BT168" s="15"/>
      <c r="BX168" s="15"/>
      <c r="CR168" s="15"/>
      <c r="CS168" s="15"/>
      <c r="CX168" s="15"/>
      <c r="CY168" s="15"/>
      <c r="DC168" s="15"/>
      <c r="DH168" s="1">
        <f t="shared" si="4"/>
        <v>0</v>
      </c>
      <c r="DI168" s="1">
        <f t="shared" si="5"/>
        <v>0</v>
      </c>
    </row>
    <row r="169" spans="1:113" ht="15.75" customHeight="1" x14ac:dyDescent="0.35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7"/>
      <c r="AC169" s="15"/>
      <c r="AL169" s="15"/>
      <c r="AR169" s="15"/>
      <c r="AS169" s="15"/>
      <c r="AV169" s="15"/>
      <c r="AX169" s="15"/>
      <c r="AY169" s="15"/>
      <c r="BL169" s="15"/>
      <c r="BQ169" s="15"/>
      <c r="BS169" s="15"/>
      <c r="BT169" s="15"/>
      <c r="BX169" s="15"/>
      <c r="CR169" s="15"/>
      <c r="CS169" s="15"/>
      <c r="CX169" s="15"/>
      <c r="CY169" s="15"/>
      <c r="DC169" s="15"/>
      <c r="DH169" s="1">
        <f t="shared" si="4"/>
        <v>0</v>
      </c>
      <c r="DI169" s="1">
        <f t="shared" si="5"/>
        <v>0</v>
      </c>
    </row>
    <row r="170" spans="1:113" ht="15.75" customHeight="1" x14ac:dyDescent="0.35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480</v>
      </c>
      <c r="N170" s="17">
        <v>4</v>
      </c>
      <c r="AC170" s="15">
        <v>1</v>
      </c>
      <c r="AE170" s="1">
        <v>1</v>
      </c>
      <c r="AL170" s="15"/>
      <c r="AR170" s="15"/>
      <c r="AS170" s="15"/>
      <c r="AV170" s="15"/>
      <c r="AX170" s="15"/>
      <c r="AY170" s="15"/>
      <c r="BI170" s="1">
        <v>1</v>
      </c>
      <c r="BL170" s="15">
        <v>1</v>
      </c>
      <c r="BQ170" s="15"/>
      <c r="BS170" s="15"/>
      <c r="BT170" s="15">
        <v>2</v>
      </c>
      <c r="BX170" s="15"/>
      <c r="CM170" s="1">
        <v>5</v>
      </c>
      <c r="CR170" s="15"/>
      <c r="CS170" s="15"/>
      <c r="CX170" s="15"/>
      <c r="CY170" s="15"/>
      <c r="DC170" s="15"/>
      <c r="DH170" s="1">
        <f t="shared" si="4"/>
        <v>6</v>
      </c>
      <c r="DI170" s="1">
        <f t="shared" si="5"/>
        <v>11</v>
      </c>
    </row>
    <row r="171" spans="1:113" ht="15.75" customHeight="1" x14ac:dyDescent="0.35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7">
        <v>4</v>
      </c>
      <c r="AC171" s="15"/>
      <c r="AL171" s="15"/>
      <c r="AR171" s="15"/>
      <c r="AS171" s="15"/>
      <c r="AV171" s="15"/>
      <c r="AX171" s="15"/>
      <c r="AY171" s="15"/>
      <c r="BL171" s="15"/>
      <c r="BQ171" s="15"/>
      <c r="BS171" s="15"/>
      <c r="BT171" s="15"/>
      <c r="BX171" s="15"/>
      <c r="CR171" s="15"/>
      <c r="CS171" s="15"/>
      <c r="CX171" s="15"/>
      <c r="CY171" s="15"/>
      <c r="DC171" s="15"/>
      <c r="DD171" s="1">
        <v>2</v>
      </c>
      <c r="DH171" s="1">
        <f t="shared" si="4"/>
        <v>1</v>
      </c>
      <c r="DI171" s="1">
        <f t="shared" si="5"/>
        <v>2</v>
      </c>
    </row>
    <row r="172" spans="1:113" ht="15.75" customHeight="1" x14ac:dyDescent="0.35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480</v>
      </c>
      <c r="N172" s="17">
        <v>3</v>
      </c>
      <c r="AC172" s="15">
        <v>1</v>
      </c>
      <c r="AE172" s="1">
        <v>1</v>
      </c>
      <c r="AL172" s="15"/>
      <c r="AR172" s="15"/>
      <c r="AS172" s="15"/>
      <c r="AV172" s="15"/>
      <c r="AX172" s="15"/>
      <c r="AY172" s="15">
        <v>1</v>
      </c>
      <c r="AZ172" s="1">
        <v>1</v>
      </c>
      <c r="BI172" s="1">
        <v>1</v>
      </c>
      <c r="BL172" s="15">
        <v>2</v>
      </c>
      <c r="BQ172" s="15"/>
      <c r="BS172" s="15">
        <v>1</v>
      </c>
      <c r="BT172" s="15"/>
      <c r="BV172" s="1">
        <v>1</v>
      </c>
      <c r="BX172" s="15">
        <v>1</v>
      </c>
      <c r="CA172" s="1">
        <v>1</v>
      </c>
      <c r="CC172" s="1">
        <v>2</v>
      </c>
      <c r="CF172" s="1">
        <v>1</v>
      </c>
      <c r="CI172" s="1">
        <v>1</v>
      </c>
      <c r="CM172" s="1">
        <v>3</v>
      </c>
      <c r="CR172" s="15"/>
      <c r="CS172" s="15"/>
      <c r="CT172" s="1">
        <v>1</v>
      </c>
      <c r="CX172" s="15">
        <v>1</v>
      </c>
      <c r="CY172" s="15"/>
      <c r="DC172" s="15"/>
      <c r="DD172" s="1">
        <v>4</v>
      </c>
      <c r="DH172" s="1">
        <f t="shared" si="4"/>
        <v>17</v>
      </c>
      <c r="DI172" s="1">
        <f t="shared" si="5"/>
        <v>24</v>
      </c>
    </row>
    <row r="173" spans="1:113" ht="15.75" customHeight="1" x14ac:dyDescent="0.35">
      <c r="A173" s="15" t="s">
        <v>168</v>
      </c>
      <c r="B173" s="15" t="s">
        <v>200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7">
        <v>5</v>
      </c>
      <c r="AC173" s="15"/>
      <c r="AL173" s="15"/>
      <c r="AR173" s="15"/>
      <c r="AS173" s="15"/>
      <c r="AV173" s="15"/>
      <c r="AX173" s="15"/>
      <c r="AY173" s="15"/>
      <c r="BL173" s="15"/>
      <c r="BQ173" s="15"/>
      <c r="BS173" s="15"/>
      <c r="BT173" s="15"/>
      <c r="BX173" s="15"/>
      <c r="CJ173" s="1">
        <v>1</v>
      </c>
      <c r="CR173" s="15"/>
      <c r="CS173" s="15"/>
      <c r="CX173" s="15"/>
      <c r="CY173" s="15"/>
      <c r="DC173" s="15"/>
      <c r="DH173" s="1">
        <f t="shared" si="4"/>
        <v>1</v>
      </c>
      <c r="DI173" s="1">
        <f t="shared" si="5"/>
        <v>1</v>
      </c>
    </row>
    <row r="174" spans="1:113" ht="15.75" customHeight="1" x14ac:dyDescent="0.35">
      <c r="A174" s="15" t="s">
        <v>168</v>
      </c>
      <c r="B174" s="15" t="s">
        <v>200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480</v>
      </c>
      <c r="N174" s="17">
        <v>5</v>
      </c>
      <c r="AC174" s="15">
        <v>1</v>
      </c>
      <c r="AE174" s="1">
        <v>1</v>
      </c>
      <c r="AL174" s="15"/>
      <c r="AM174" s="1">
        <v>1</v>
      </c>
      <c r="AR174" s="15"/>
      <c r="AS174" s="15"/>
      <c r="AV174" s="15"/>
      <c r="AX174" s="15"/>
      <c r="AY174" s="15"/>
      <c r="AZ174" s="1">
        <v>1</v>
      </c>
      <c r="BA174" s="1">
        <v>1</v>
      </c>
      <c r="BI174" s="1">
        <v>1</v>
      </c>
      <c r="BL174" s="15"/>
      <c r="BQ174" s="15"/>
      <c r="BS174" s="15"/>
      <c r="BT174" s="15"/>
      <c r="BX174" s="15"/>
      <c r="CF174" s="1">
        <v>1</v>
      </c>
      <c r="CR174" s="15"/>
      <c r="CS174" s="15"/>
      <c r="CT174" s="1">
        <v>1</v>
      </c>
      <c r="CU174" s="1">
        <v>1</v>
      </c>
      <c r="CX174" s="15"/>
      <c r="CY174" s="15"/>
      <c r="CZ174" s="1">
        <v>1</v>
      </c>
      <c r="DC174" s="15"/>
      <c r="DG174" s="1">
        <v>1</v>
      </c>
      <c r="DH174" s="1">
        <f t="shared" si="4"/>
        <v>11</v>
      </c>
      <c r="DI174" s="1">
        <f t="shared" si="5"/>
        <v>11</v>
      </c>
    </row>
    <row r="175" spans="1:113" ht="15.75" customHeight="1" x14ac:dyDescent="0.35">
      <c r="A175" s="15" t="s">
        <v>168</v>
      </c>
      <c r="B175" s="15" t="s">
        <v>200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/>
      <c r="N175" s="17">
        <v>5</v>
      </c>
      <c r="AC175" s="15"/>
      <c r="AE175" s="1">
        <v>1</v>
      </c>
      <c r="AL175" s="15"/>
      <c r="AR175" s="15"/>
      <c r="AS175" s="15"/>
      <c r="AV175" s="15"/>
      <c r="AX175" s="15"/>
      <c r="AY175" s="15">
        <v>1</v>
      </c>
      <c r="BL175" s="15"/>
      <c r="BQ175" s="15"/>
      <c r="BS175" s="15"/>
      <c r="BT175" s="15"/>
      <c r="BX175" s="15"/>
      <c r="CR175" s="15"/>
      <c r="CS175" s="15"/>
      <c r="CX175" s="15"/>
      <c r="CY175" s="15"/>
      <c r="DC175" s="15"/>
      <c r="DH175" s="1">
        <f t="shared" si="4"/>
        <v>2</v>
      </c>
      <c r="DI175" s="1">
        <f t="shared" si="5"/>
        <v>2</v>
      </c>
    </row>
    <row r="176" spans="1:113" ht="15.75" customHeight="1" x14ac:dyDescent="0.35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7">
        <v>5</v>
      </c>
      <c r="AC176" s="15"/>
      <c r="AE176" s="1">
        <v>1</v>
      </c>
      <c r="AL176" s="15"/>
      <c r="AR176" s="15"/>
      <c r="AS176" s="15"/>
      <c r="AV176" s="15"/>
      <c r="AX176" s="15"/>
      <c r="AY176" s="15">
        <v>1</v>
      </c>
      <c r="BI176" s="1">
        <v>1</v>
      </c>
      <c r="BL176" s="15"/>
      <c r="BQ176" s="15"/>
      <c r="BS176" s="15"/>
      <c r="BT176" s="15"/>
      <c r="BX176" s="15"/>
      <c r="CE176" s="1">
        <v>1</v>
      </c>
      <c r="CR176" s="15"/>
      <c r="CS176" s="15"/>
      <c r="CX176" s="15">
        <v>1</v>
      </c>
      <c r="CY176" s="15"/>
      <c r="DC176" s="15"/>
      <c r="DD176" s="1">
        <v>3</v>
      </c>
      <c r="DH176" s="1">
        <f t="shared" si="4"/>
        <v>6</v>
      </c>
      <c r="DI176" s="1">
        <f t="shared" si="5"/>
        <v>8</v>
      </c>
    </row>
    <row r="177" spans="1:113" ht="15.75" customHeight="1" x14ac:dyDescent="0.35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480</v>
      </c>
      <c r="N177" s="17">
        <v>5</v>
      </c>
      <c r="AC177" s="15"/>
      <c r="AL177" s="15">
        <v>1</v>
      </c>
      <c r="AR177" s="15"/>
      <c r="AS177" s="15"/>
      <c r="AV177" s="15"/>
      <c r="AX177" s="15"/>
      <c r="AY177" s="15"/>
      <c r="AZ177" s="1">
        <v>1</v>
      </c>
      <c r="BI177" s="1">
        <v>1</v>
      </c>
      <c r="BL177" s="15"/>
      <c r="BQ177" s="15"/>
      <c r="BS177" s="15">
        <v>1</v>
      </c>
      <c r="BT177" s="15"/>
      <c r="BX177" s="15"/>
      <c r="CF177" s="1">
        <v>1</v>
      </c>
      <c r="CH177" s="1">
        <v>1</v>
      </c>
      <c r="CR177" s="15"/>
      <c r="CS177" s="15"/>
      <c r="CT177" s="1">
        <v>1</v>
      </c>
      <c r="CX177" s="15"/>
      <c r="CY177" s="15"/>
      <c r="CZ177" s="1">
        <v>1</v>
      </c>
      <c r="DA177" s="1">
        <v>1</v>
      </c>
      <c r="DC177" s="15"/>
      <c r="DH177" s="1">
        <f t="shared" si="4"/>
        <v>9</v>
      </c>
      <c r="DI177" s="1">
        <f t="shared" si="5"/>
        <v>9</v>
      </c>
    </row>
    <row r="178" spans="1:113" ht="15.75" customHeight="1" x14ac:dyDescent="0.35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5"/>
      <c r="N178" s="2">
        <v>5</v>
      </c>
      <c r="DH178" s="1">
        <f t="shared" si="4"/>
        <v>0</v>
      </c>
      <c r="DI178" s="1">
        <f t="shared" si="5"/>
        <v>0</v>
      </c>
    </row>
    <row r="179" spans="1:113" ht="15.75" customHeight="1" x14ac:dyDescent="0.35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2">
        <v>3</v>
      </c>
      <c r="W179" s="1">
        <v>1</v>
      </c>
      <c r="AY179" s="1">
        <v>1</v>
      </c>
      <c r="BE179" s="1">
        <v>1</v>
      </c>
      <c r="BI179" s="1">
        <v>1</v>
      </c>
      <c r="DH179" s="1">
        <f t="shared" si="4"/>
        <v>4</v>
      </c>
      <c r="DI179" s="1">
        <f t="shared" si="5"/>
        <v>4</v>
      </c>
    </row>
    <row r="180" spans="1:113" ht="15.75" customHeight="1" x14ac:dyDescent="0.35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480</v>
      </c>
      <c r="N180" s="2">
        <v>3</v>
      </c>
      <c r="AY180" s="1">
        <v>1</v>
      </c>
      <c r="CJ180" s="1">
        <v>1</v>
      </c>
      <c r="CX180" s="1">
        <v>1</v>
      </c>
      <c r="DH180" s="1">
        <f t="shared" si="4"/>
        <v>3</v>
      </c>
      <c r="DI180" s="1">
        <f t="shared" si="5"/>
        <v>3</v>
      </c>
    </row>
    <row r="181" spans="1:113" ht="15.75" customHeight="1" x14ac:dyDescent="0.35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N181" s="2">
        <v>3</v>
      </c>
      <c r="AY181" s="1">
        <v>1</v>
      </c>
      <c r="CT181" s="1">
        <v>1</v>
      </c>
      <c r="CX181" s="1">
        <v>2</v>
      </c>
      <c r="DH181" s="1">
        <f t="shared" si="4"/>
        <v>3</v>
      </c>
      <c r="DI181" s="1">
        <f t="shared" si="5"/>
        <v>4</v>
      </c>
    </row>
    <row r="182" spans="1:113" ht="15.75" customHeight="1" x14ac:dyDescent="0.35">
      <c r="A182" s="15" t="s">
        <v>168</v>
      </c>
      <c r="B182" s="1" t="s">
        <v>198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480</v>
      </c>
      <c r="N182" s="2">
        <v>3</v>
      </c>
      <c r="AU182" s="1">
        <v>1</v>
      </c>
      <c r="AY182" s="1">
        <v>1</v>
      </c>
      <c r="BI182" s="1">
        <v>1</v>
      </c>
      <c r="BM182" s="1">
        <v>1</v>
      </c>
      <c r="BS182" s="1">
        <v>1</v>
      </c>
      <c r="CJ182" s="1">
        <v>1</v>
      </c>
      <c r="DC182" s="1">
        <v>1</v>
      </c>
      <c r="DH182" s="1">
        <f t="shared" si="4"/>
        <v>7</v>
      </c>
      <c r="DI182" s="1">
        <f t="shared" si="5"/>
        <v>7</v>
      </c>
    </row>
    <row r="183" spans="1:113" ht="15.75" customHeight="1" x14ac:dyDescent="0.35">
      <c r="A183" s="15" t="s">
        <v>168</v>
      </c>
      <c r="B183" s="1" t="s">
        <v>198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N183" s="2">
        <v>3</v>
      </c>
      <c r="CA183" s="1">
        <v>1</v>
      </c>
      <c r="DC183" s="1">
        <v>1</v>
      </c>
      <c r="DH183" s="1">
        <f t="shared" si="4"/>
        <v>2</v>
      </c>
      <c r="DI183" s="1">
        <f t="shared" si="5"/>
        <v>2</v>
      </c>
    </row>
    <row r="184" spans="1:113" ht="15.75" customHeight="1" x14ac:dyDescent="0.35">
      <c r="A184" s="15" t="s">
        <v>168</v>
      </c>
      <c r="B184" s="1" t="s">
        <v>199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480</v>
      </c>
      <c r="N184" s="2">
        <v>2</v>
      </c>
      <c r="CA184" s="1">
        <v>1</v>
      </c>
      <c r="DH184" s="1">
        <f t="shared" si="4"/>
        <v>1</v>
      </c>
      <c r="DI184" s="1">
        <f t="shared" si="5"/>
        <v>1</v>
      </c>
    </row>
    <row r="185" spans="1:113" ht="15.75" customHeight="1" x14ac:dyDescent="0.35">
      <c r="A185" s="15" t="s">
        <v>168</v>
      </c>
      <c r="B185" s="1" t="s">
        <v>199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N185" s="2">
        <v>2</v>
      </c>
      <c r="BH185" s="1">
        <v>1</v>
      </c>
      <c r="BT185" s="1">
        <v>4</v>
      </c>
      <c r="DH185" s="1">
        <f t="shared" si="4"/>
        <v>2</v>
      </c>
      <c r="DI185" s="1">
        <f t="shared" si="5"/>
        <v>5</v>
      </c>
    </row>
    <row r="186" spans="1:113" ht="15.75" customHeight="1" x14ac:dyDescent="0.35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2">
        <v>3</v>
      </c>
      <c r="AL186" s="1">
        <v>1</v>
      </c>
      <c r="AY186" s="1">
        <v>1</v>
      </c>
      <c r="BN186" s="1">
        <v>1</v>
      </c>
      <c r="CI186" s="1">
        <v>1</v>
      </c>
      <c r="CJ186" s="1">
        <v>2</v>
      </c>
      <c r="DE186" s="1">
        <v>3</v>
      </c>
      <c r="DG186" s="1">
        <v>1</v>
      </c>
      <c r="DH186" s="1">
        <f t="shared" si="4"/>
        <v>7</v>
      </c>
      <c r="DI186" s="1">
        <f t="shared" si="5"/>
        <v>10</v>
      </c>
    </row>
    <row r="187" spans="1:113" ht="15.75" customHeight="1" x14ac:dyDescent="0.35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1420</v>
      </c>
      <c r="N187" s="2">
        <v>3</v>
      </c>
      <c r="X187" s="1">
        <v>1</v>
      </c>
      <c r="AY187" s="1">
        <v>1</v>
      </c>
      <c r="CJ187" s="1">
        <v>1</v>
      </c>
      <c r="CZ187" s="1">
        <v>1</v>
      </c>
      <c r="DH187" s="1">
        <f t="shared" si="4"/>
        <v>4</v>
      </c>
      <c r="DI187" s="1">
        <f t="shared" si="5"/>
        <v>4</v>
      </c>
    </row>
    <row r="188" spans="1:113" ht="15.75" customHeight="1" x14ac:dyDescent="0.35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N188" s="2">
        <v>3</v>
      </c>
      <c r="S188" s="1">
        <v>2</v>
      </c>
      <c r="AY188" s="1">
        <v>1</v>
      </c>
      <c r="DH188" s="1">
        <f t="shared" si="4"/>
        <v>2</v>
      </c>
      <c r="DI188" s="1">
        <f t="shared" si="5"/>
        <v>3</v>
      </c>
    </row>
    <row r="189" spans="1:113" ht="15.75" customHeight="1" x14ac:dyDescent="0.35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1420</v>
      </c>
      <c r="N189" s="2">
        <v>1</v>
      </c>
      <c r="T189" s="1">
        <v>1</v>
      </c>
      <c r="BM189" s="1">
        <v>3</v>
      </c>
      <c r="DH189" s="1">
        <f t="shared" si="4"/>
        <v>2</v>
      </c>
      <c r="DI189" s="1">
        <f t="shared" si="5"/>
        <v>4</v>
      </c>
    </row>
    <row r="190" spans="1:113" ht="15.75" customHeight="1" x14ac:dyDescent="0.35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N190" s="2">
        <v>1</v>
      </c>
      <c r="DH190" s="1">
        <f t="shared" si="4"/>
        <v>0</v>
      </c>
      <c r="DI190" s="1">
        <f t="shared" si="5"/>
        <v>0</v>
      </c>
    </row>
    <row r="191" spans="1:113" ht="15.75" customHeight="1" x14ac:dyDescent="0.35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1420</v>
      </c>
      <c r="N191" s="2">
        <v>6</v>
      </c>
      <c r="BZ191" s="1">
        <v>1</v>
      </c>
      <c r="CF191" s="1">
        <v>1</v>
      </c>
      <c r="DE191" s="1">
        <v>2</v>
      </c>
      <c r="DG191" s="1">
        <v>1</v>
      </c>
      <c r="DH191" s="1">
        <f t="shared" si="4"/>
        <v>4</v>
      </c>
      <c r="DI191" s="1">
        <f t="shared" si="5"/>
        <v>5</v>
      </c>
    </row>
    <row r="192" spans="1:113" ht="15.75" customHeight="1" x14ac:dyDescent="0.35">
      <c r="I192" s="46"/>
      <c r="DH192" s="1">
        <f t="shared" si="4"/>
        <v>0</v>
      </c>
      <c r="DI192" s="1">
        <f t="shared" si="5"/>
        <v>0</v>
      </c>
    </row>
    <row r="193" spans="1:113" ht="15.75" customHeight="1" x14ac:dyDescent="0.35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2">
        <v>4</v>
      </c>
      <c r="R193" s="1">
        <v>3</v>
      </c>
      <c r="AF193" s="1">
        <v>1</v>
      </c>
      <c r="AV193" s="1">
        <v>1</v>
      </c>
      <c r="AY193" s="1">
        <v>1</v>
      </c>
      <c r="BA193" s="1">
        <v>1</v>
      </c>
      <c r="BB193" s="1">
        <v>1</v>
      </c>
      <c r="BL193" s="1">
        <v>1</v>
      </c>
      <c r="BY193" s="1">
        <v>1</v>
      </c>
      <c r="CI193" s="1">
        <v>1</v>
      </c>
      <c r="CJ193" s="1">
        <v>1</v>
      </c>
      <c r="CW193" s="1">
        <v>1</v>
      </c>
      <c r="DB193" s="1">
        <v>5</v>
      </c>
      <c r="DH193" s="1">
        <f t="shared" si="4"/>
        <v>12</v>
      </c>
      <c r="DI193" s="1">
        <f t="shared" si="5"/>
        <v>18</v>
      </c>
    </row>
    <row r="194" spans="1:113" ht="15.75" customHeight="1" x14ac:dyDescent="0.35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2">
        <v>3</v>
      </c>
      <c r="AE194" s="1">
        <v>1</v>
      </c>
      <c r="AX194" s="1">
        <v>1</v>
      </c>
      <c r="AY194" s="1">
        <v>1</v>
      </c>
      <c r="BL194" s="1">
        <v>1</v>
      </c>
      <c r="CH194" s="1">
        <v>1</v>
      </c>
      <c r="DH194" s="1">
        <f t="shared" si="4"/>
        <v>5</v>
      </c>
      <c r="DI194" s="1">
        <f t="shared" si="5"/>
        <v>5</v>
      </c>
    </row>
    <row r="195" spans="1:113" ht="15.75" customHeight="1" x14ac:dyDescent="0.35">
      <c r="A195" s="1" t="s">
        <v>172</v>
      </c>
      <c r="B195" s="1" t="s">
        <v>200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650</v>
      </c>
      <c r="N195" s="2">
        <v>5</v>
      </c>
      <c r="AE195" s="1">
        <v>1</v>
      </c>
      <c r="AY195" s="1">
        <v>2</v>
      </c>
      <c r="AZ195" s="1">
        <v>1</v>
      </c>
      <c r="BB195" s="1">
        <v>1</v>
      </c>
      <c r="BI195" s="1">
        <v>1</v>
      </c>
      <c r="BS195" s="1">
        <v>1</v>
      </c>
      <c r="CI195" s="1">
        <v>3</v>
      </c>
      <c r="DH195" s="1">
        <f t="shared" si="4"/>
        <v>7</v>
      </c>
      <c r="DI195" s="1">
        <f t="shared" si="5"/>
        <v>10</v>
      </c>
    </row>
    <row r="196" spans="1:113" ht="15.75" customHeight="1" x14ac:dyDescent="0.35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M196" s="1">
        <v>650</v>
      </c>
      <c r="N196" s="2">
        <v>5</v>
      </c>
      <c r="AE196" s="1">
        <v>1</v>
      </c>
      <c r="AY196" s="1">
        <v>1</v>
      </c>
      <c r="AZ196" s="1">
        <v>1</v>
      </c>
      <c r="BL196" s="1">
        <v>1</v>
      </c>
      <c r="CH196" s="1">
        <v>1</v>
      </c>
      <c r="CI196" s="1">
        <v>1</v>
      </c>
      <c r="CT196" s="1">
        <v>1</v>
      </c>
      <c r="CV196" s="1">
        <v>1</v>
      </c>
      <c r="CX196" s="1">
        <v>1</v>
      </c>
      <c r="DH196" s="1">
        <f t="shared" si="4"/>
        <v>9</v>
      </c>
      <c r="DI196" s="1">
        <f t="shared" si="5"/>
        <v>9</v>
      </c>
    </row>
    <row r="197" spans="1:113" ht="15.75" customHeight="1" x14ac:dyDescent="0.35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650</v>
      </c>
      <c r="N197" s="2">
        <v>3</v>
      </c>
      <c r="AE197" s="1">
        <v>1</v>
      </c>
      <c r="AY197" s="1">
        <v>1</v>
      </c>
      <c r="CG197" s="1">
        <v>1</v>
      </c>
      <c r="CX197" s="1">
        <v>1</v>
      </c>
      <c r="DH197" s="1">
        <f t="shared" si="4"/>
        <v>4</v>
      </c>
      <c r="DI197" s="1">
        <f t="shared" si="5"/>
        <v>4</v>
      </c>
    </row>
    <row r="198" spans="1:113" ht="15.75" customHeight="1" x14ac:dyDescent="0.35">
      <c r="A198" s="1" t="s">
        <v>172</v>
      </c>
      <c r="B198" s="1" t="s">
        <v>198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650</v>
      </c>
      <c r="N198" s="2">
        <v>3</v>
      </c>
      <c r="AE198" s="1">
        <v>1</v>
      </c>
      <c r="AY198" s="1">
        <v>1</v>
      </c>
      <c r="BI198" s="1">
        <v>1</v>
      </c>
      <c r="BM198" s="1">
        <v>1</v>
      </c>
      <c r="BS198" s="1">
        <v>3</v>
      </c>
      <c r="BT198" s="1">
        <v>3</v>
      </c>
      <c r="BX198" s="1">
        <v>2</v>
      </c>
      <c r="CI198" s="1">
        <v>1</v>
      </c>
      <c r="CJ198" s="1">
        <v>1</v>
      </c>
      <c r="CX198" s="1">
        <v>2</v>
      </c>
      <c r="DH198" s="1">
        <f t="shared" ref="DH198:DH202" si="6">COUNT(O198:DG198)</f>
        <v>10</v>
      </c>
      <c r="DI198" s="1">
        <f t="shared" ref="DI198:DI202" si="7">SUM(O198:DG198)</f>
        <v>16</v>
      </c>
    </row>
    <row r="199" spans="1:113" ht="15.75" customHeight="1" x14ac:dyDescent="0.35">
      <c r="A199" s="1" t="s">
        <v>172</v>
      </c>
      <c r="B199" s="1" t="s">
        <v>199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650</v>
      </c>
      <c r="N199" s="2">
        <v>2</v>
      </c>
      <c r="AU199" s="1">
        <v>1</v>
      </c>
      <c r="BZ199" s="1">
        <v>1</v>
      </c>
      <c r="CZ199" s="1">
        <v>1</v>
      </c>
      <c r="DH199" s="1">
        <f t="shared" si="6"/>
        <v>3</v>
      </c>
      <c r="DI199" s="1">
        <f t="shared" si="7"/>
        <v>3</v>
      </c>
    </row>
    <row r="200" spans="1:113" ht="15.75" customHeight="1" x14ac:dyDescent="0.35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2">
        <v>3</v>
      </c>
      <c r="T200" s="1">
        <v>1</v>
      </c>
      <c r="W200" s="1">
        <v>1</v>
      </c>
      <c r="Y200" s="1">
        <v>1</v>
      </c>
      <c r="AY200" s="1">
        <v>1</v>
      </c>
      <c r="BN200" s="1">
        <v>1</v>
      </c>
      <c r="BR200" s="1">
        <v>2</v>
      </c>
      <c r="CD200" s="1">
        <v>1</v>
      </c>
      <c r="CI200" s="1">
        <v>1</v>
      </c>
      <c r="DH200" s="1">
        <f t="shared" si="6"/>
        <v>8</v>
      </c>
      <c r="DI200" s="1">
        <f t="shared" si="7"/>
        <v>9</v>
      </c>
    </row>
    <row r="201" spans="1:113" ht="15.75" customHeight="1" x14ac:dyDescent="0.35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2">
        <v>3</v>
      </c>
      <c r="X201" s="1">
        <v>1</v>
      </c>
      <c r="AY201" s="1">
        <v>1</v>
      </c>
      <c r="CD201" s="1">
        <v>1</v>
      </c>
      <c r="CX201" s="1">
        <v>1</v>
      </c>
      <c r="DH201" s="1">
        <f t="shared" si="6"/>
        <v>4</v>
      </c>
      <c r="DI201" s="1">
        <f t="shared" si="7"/>
        <v>4</v>
      </c>
    </row>
    <row r="202" spans="1:113" ht="15.75" customHeight="1" x14ac:dyDescent="0.35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2">
        <v>6</v>
      </c>
      <c r="AR202" s="1">
        <v>5</v>
      </c>
      <c r="AY202" s="1">
        <v>1</v>
      </c>
      <c r="BF202" s="1">
        <v>2</v>
      </c>
      <c r="BN202" s="1">
        <v>2</v>
      </c>
      <c r="BO202" s="1">
        <v>3</v>
      </c>
      <c r="BR202" s="1">
        <v>2</v>
      </c>
      <c r="CD202" s="1" t="s">
        <v>173</v>
      </c>
      <c r="CT202" s="1">
        <v>1</v>
      </c>
      <c r="CY202" s="1">
        <v>1</v>
      </c>
      <c r="DG202" s="1">
        <v>2</v>
      </c>
      <c r="DH202" s="1">
        <f t="shared" si="6"/>
        <v>9</v>
      </c>
      <c r="DI202" s="1">
        <f t="shared" si="7"/>
        <v>19</v>
      </c>
    </row>
    <row r="203" spans="1:113" ht="15.75" customHeight="1" x14ac:dyDescent="0.35">
      <c r="I203" s="46"/>
    </row>
    <row r="204" spans="1:113" ht="15.75" customHeight="1" x14ac:dyDescent="0.35">
      <c r="I204" s="46"/>
    </row>
    <row r="205" spans="1:113" ht="15.75" customHeight="1" x14ac:dyDescent="0.35">
      <c r="I205" s="46"/>
    </row>
    <row r="206" spans="1:113" ht="15.75" customHeight="1" x14ac:dyDescent="0.35">
      <c r="I206" s="46"/>
    </row>
    <row r="207" spans="1:113" ht="15.75" customHeight="1" x14ac:dyDescent="0.35">
      <c r="I207" s="46"/>
    </row>
    <row r="208" spans="1:113" ht="15.75" customHeight="1" x14ac:dyDescent="0.35">
      <c r="I208" s="46"/>
    </row>
    <row r="209" spans="9:9" ht="15.75" customHeight="1" x14ac:dyDescent="0.35">
      <c r="I209" s="46"/>
    </row>
    <row r="210" spans="9:9" ht="15.75" customHeight="1" x14ac:dyDescent="0.35">
      <c r="I210" s="46"/>
    </row>
    <row r="211" spans="9:9" ht="15.75" customHeight="1" x14ac:dyDescent="0.35">
      <c r="I211" s="46"/>
    </row>
    <row r="212" spans="9:9" ht="15.75" customHeight="1" x14ac:dyDescent="0.35">
      <c r="I212" s="46"/>
    </row>
    <row r="213" spans="9:9" ht="15.75" customHeight="1" x14ac:dyDescent="0.35">
      <c r="I213" s="46"/>
    </row>
    <row r="214" spans="9:9" ht="15.75" customHeight="1" x14ac:dyDescent="0.35">
      <c r="I214" s="46"/>
    </row>
    <row r="215" spans="9:9" ht="15.75" customHeight="1" x14ac:dyDescent="0.35">
      <c r="I215" s="46"/>
    </row>
    <row r="216" spans="9:9" ht="15.75" customHeight="1" x14ac:dyDescent="0.35">
      <c r="I216" s="46"/>
    </row>
    <row r="217" spans="9:9" ht="15.75" customHeight="1" x14ac:dyDescent="0.35">
      <c r="I217" s="46"/>
    </row>
    <row r="218" spans="9:9" ht="15.75" customHeight="1" x14ac:dyDescent="0.35">
      <c r="I218" s="46"/>
    </row>
    <row r="219" spans="9:9" ht="15.75" customHeight="1" x14ac:dyDescent="0.35">
      <c r="I219" s="46"/>
    </row>
    <row r="220" spans="9:9" ht="15.75" customHeight="1" x14ac:dyDescent="0.35">
      <c r="I220" s="46"/>
    </row>
    <row r="221" spans="9:9" ht="15.75" customHeight="1" x14ac:dyDescent="0.35">
      <c r="I221" s="46"/>
    </row>
    <row r="222" spans="9:9" ht="15.75" customHeight="1" x14ac:dyDescent="0.35">
      <c r="I222" s="46"/>
    </row>
    <row r="223" spans="9:9" ht="15.75" customHeight="1" x14ac:dyDescent="0.35">
      <c r="I223" s="46"/>
    </row>
    <row r="224" spans="9:9" ht="15.75" customHeight="1" x14ac:dyDescent="0.35">
      <c r="I224" s="46"/>
    </row>
    <row r="225" spans="9:9" ht="15.75" customHeight="1" x14ac:dyDescent="0.35">
      <c r="I225" s="46"/>
    </row>
    <row r="226" spans="9:9" ht="15.75" customHeight="1" x14ac:dyDescent="0.35">
      <c r="I226" s="46"/>
    </row>
    <row r="227" spans="9:9" ht="15.75" customHeight="1" x14ac:dyDescent="0.35">
      <c r="I227" s="46"/>
    </row>
    <row r="228" spans="9:9" ht="15.75" customHeight="1" x14ac:dyDescent="0.35">
      <c r="I228" s="46"/>
    </row>
    <row r="229" spans="9:9" ht="15.75" customHeight="1" x14ac:dyDescent="0.35">
      <c r="I229" s="46"/>
    </row>
    <row r="230" spans="9:9" ht="15.75" customHeight="1" x14ac:dyDescent="0.35">
      <c r="I230" s="46"/>
    </row>
    <row r="231" spans="9:9" ht="15.75" customHeight="1" x14ac:dyDescent="0.35">
      <c r="I231" s="46"/>
    </row>
    <row r="232" spans="9:9" ht="15.75" customHeight="1" x14ac:dyDescent="0.35">
      <c r="I232" s="46"/>
    </row>
    <row r="233" spans="9:9" ht="15.75" customHeight="1" x14ac:dyDescent="0.35">
      <c r="I233" s="46"/>
    </row>
    <row r="234" spans="9:9" ht="15.75" customHeight="1" x14ac:dyDescent="0.35">
      <c r="I234" s="46"/>
    </row>
    <row r="235" spans="9:9" ht="15.75" customHeight="1" x14ac:dyDescent="0.35">
      <c r="I235" s="46"/>
    </row>
    <row r="236" spans="9:9" ht="15.75" customHeight="1" x14ac:dyDescent="0.35">
      <c r="I236" s="46"/>
    </row>
    <row r="237" spans="9:9" ht="15.75" customHeight="1" x14ac:dyDescent="0.35">
      <c r="I237" s="46"/>
    </row>
    <row r="238" spans="9:9" ht="15.75" customHeight="1" x14ac:dyDescent="0.35">
      <c r="I238" s="46"/>
    </row>
    <row r="239" spans="9:9" ht="15.75" customHeight="1" x14ac:dyDescent="0.35">
      <c r="I239" s="46"/>
    </row>
    <row r="240" spans="9:9" ht="15.75" customHeight="1" x14ac:dyDescent="0.35">
      <c r="I240" s="46"/>
    </row>
    <row r="241" spans="9:9" ht="15.75" customHeight="1" x14ac:dyDescent="0.35">
      <c r="I241" s="46"/>
    </row>
    <row r="242" spans="9:9" ht="15.75" customHeight="1" x14ac:dyDescent="0.35">
      <c r="I242" s="46"/>
    </row>
    <row r="243" spans="9:9" ht="15.75" customHeight="1" x14ac:dyDescent="0.35">
      <c r="I243" s="46"/>
    </row>
    <row r="244" spans="9:9" ht="15.75" customHeight="1" x14ac:dyDescent="0.35">
      <c r="I244" s="46"/>
    </row>
    <row r="245" spans="9:9" ht="15.75" customHeight="1" x14ac:dyDescent="0.35">
      <c r="I245" s="46"/>
    </row>
    <row r="246" spans="9:9" ht="15.75" customHeight="1" x14ac:dyDescent="0.35">
      <c r="I246" s="46"/>
    </row>
    <row r="247" spans="9:9" ht="15.75" customHeight="1" x14ac:dyDescent="0.35">
      <c r="I247" s="46"/>
    </row>
    <row r="248" spans="9:9" ht="15.75" customHeight="1" x14ac:dyDescent="0.35">
      <c r="I248" s="46"/>
    </row>
    <row r="249" spans="9:9" ht="15.75" customHeight="1" x14ac:dyDescent="0.35">
      <c r="I249" s="46"/>
    </row>
    <row r="250" spans="9:9" ht="15.75" customHeight="1" x14ac:dyDescent="0.35">
      <c r="I250" s="46"/>
    </row>
    <row r="251" spans="9:9" ht="15.75" customHeight="1" x14ac:dyDescent="0.35">
      <c r="I251" s="46"/>
    </row>
    <row r="252" spans="9:9" ht="15.75" customHeight="1" x14ac:dyDescent="0.35">
      <c r="I252" s="46"/>
    </row>
    <row r="253" spans="9:9" ht="15.75" customHeight="1" x14ac:dyDescent="0.35">
      <c r="I253" s="46"/>
    </row>
    <row r="254" spans="9:9" ht="15.75" customHeight="1" x14ac:dyDescent="0.35">
      <c r="I254" s="46"/>
    </row>
    <row r="255" spans="9:9" ht="15.75" customHeight="1" x14ac:dyDescent="0.35">
      <c r="I255" s="46"/>
    </row>
    <row r="256" spans="9:9" ht="15.75" customHeight="1" x14ac:dyDescent="0.35">
      <c r="I256" s="46"/>
    </row>
    <row r="257" spans="9:9" ht="15.75" customHeight="1" x14ac:dyDescent="0.35">
      <c r="I257" s="46"/>
    </row>
    <row r="258" spans="9:9" ht="15.75" customHeight="1" x14ac:dyDescent="0.35">
      <c r="I258" s="46"/>
    </row>
    <row r="259" spans="9:9" ht="15.75" customHeight="1" x14ac:dyDescent="0.35">
      <c r="I259" s="46"/>
    </row>
    <row r="260" spans="9:9" ht="15.75" customHeight="1" x14ac:dyDescent="0.35">
      <c r="I260" s="46"/>
    </row>
    <row r="261" spans="9:9" ht="15.75" customHeight="1" x14ac:dyDescent="0.35">
      <c r="I261" s="46"/>
    </row>
    <row r="262" spans="9:9" ht="15.75" customHeight="1" x14ac:dyDescent="0.35">
      <c r="I262" s="46"/>
    </row>
    <row r="263" spans="9:9" ht="15.75" customHeight="1" x14ac:dyDescent="0.35">
      <c r="I263" s="46"/>
    </row>
    <row r="264" spans="9:9" ht="15.75" customHeight="1" x14ac:dyDescent="0.35">
      <c r="I264" s="46"/>
    </row>
    <row r="265" spans="9:9" ht="15.75" customHeight="1" x14ac:dyDescent="0.35">
      <c r="I265" s="46"/>
    </row>
    <row r="266" spans="9:9" ht="15.75" customHeight="1" x14ac:dyDescent="0.35">
      <c r="I266" s="46"/>
    </row>
    <row r="267" spans="9:9" ht="15.75" customHeight="1" x14ac:dyDescent="0.35">
      <c r="I267" s="46"/>
    </row>
    <row r="268" spans="9:9" ht="15.75" customHeight="1" x14ac:dyDescent="0.35">
      <c r="I268" s="46"/>
    </row>
    <row r="269" spans="9:9" ht="15.75" customHeight="1" x14ac:dyDescent="0.35">
      <c r="I269" s="46"/>
    </row>
    <row r="270" spans="9:9" ht="15.75" customHeight="1" x14ac:dyDescent="0.35">
      <c r="I270" s="46"/>
    </row>
    <row r="271" spans="9:9" ht="15.75" customHeight="1" x14ac:dyDescent="0.35">
      <c r="I271" s="46"/>
    </row>
    <row r="272" spans="9:9" ht="15.75" customHeight="1" x14ac:dyDescent="0.35">
      <c r="I272" s="46"/>
    </row>
    <row r="273" spans="9:9" ht="15.75" customHeight="1" x14ac:dyDescent="0.35">
      <c r="I273" s="46"/>
    </row>
    <row r="274" spans="9:9" ht="15.75" customHeight="1" x14ac:dyDescent="0.35">
      <c r="I274" s="46"/>
    </row>
    <row r="275" spans="9:9" ht="15.75" customHeight="1" x14ac:dyDescent="0.35"/>
    <row r="276" spans="9:9" ht="15.75" customHeight="1" x14ac:dyDescent="0.35"/>
    <row r="277" spans="9:9" ht="15.75" customHeight="1" x14ac:dyDescent="0.35"/>
    <row r="278" spans="9:9" ht="15.75" customHeight="1" x14ac:dyDescent="0.35"/>
    <row r="279" spans="9:9" ht="15.75" customHeight="1" x14ac:dyDescent="0.35"/>
    <row r="280" spans="9:9" ht="15.75" customHeight="1" x14ac:dyDescent="0.35"/>
    <row r="281" spans="9:9" ht="15.75" customHeight="1" x14ac:dyDescent="0.35"/>
    <row r="282" spans="9:9" ht="15.75" customHeight="1" x14ac:dyDescent="0.35"/>
    <row r="283" spans="9:9" ht="15.75" customHeight="1" x14ac:dyDescent="0.35"/>
    <row r="284" spans="9:9" ht="15.75" customHeight="1" x14ac:dyDescent="0.35"/>
    <row r="285" spans="9:9" ht="15.75" customHeight="1" x14ac:dyDescent="0.35"/>
    <row r="286" spans="9:9" ht="15.75" customHeight="1" x14ac:dyDescent="0.35"/>
    <row r="287" spans="9:9" ht="15.75" customHeight="1" x14ac:dyDescent="0.35"/>
    <row r="288" spans="9:9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3"/>
  <sheetViews>
    <sheetView topLeftCell="A56" zoomScale="80" workbookViewId="0">
      <selection activeCell="H57" sqref="H57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237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2" t="s">
        <v>19</v>
      </c>
      <c r="I2" s="53" t="s">
        <v>21</v>
      </c>
      <c r="J2" s="48" t="s">
        <v>174</v>
      </c>
      <c r="K2" s="48" t="s">
        <v>175</v>
      </c>
    </row>
    <row r="3" spans="1:11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5"/>
      <c r="H3" s="58"/>
      <c r="I3" s="57">
        <v>3</v>
      </c>
      <c r="J3" s="48">
        <v>7</v>
      </c>
      <c r="K3" s="48">
        <v>14</v>
      </c>
    </row>
    <row r="4" spans="1:11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5"/>
      <c r="H4" s="58"/>
      <c r="I4" s="57">
        <v>5</v>
      </c>
      <c r="J4" s="48">
        <v>3</v>
      </c>
      <c r="K4" s="48">
        <v>3</v>
      </c>
    </row>
    <row r="5" spans="1:11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5"/>
      <c r="H5" s="58"/>
      <c r="I5" s="57">
        <v>5</v>
      </c>
      <c r="J5" s="48">
        <v>1</v>
      </c>
      <c r="K5" s="48">
        <v>1</v>
      </c>
    </row>
    <row r="6" spans="1:11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5"/>
      <c r="H6" s="58"/>
      <c r="I6" s="57">
        <v>5</v>
      </c>
      <c r="J6" s="48">
        <v>1</v>
      </c>
      <c r="K6" s="48">
        <v>1</v>
      </c>
    </row>
    <row r="7" spans="1:11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5"/>
      <c r="H7" s="58"/>
      <c r="I7" s="57">
        <v>5</v>
      </c>
      <c r="J7" s="48">
        <v>2</v>
      </c>
      <c r="K7" s="48">
        <v>2</v>
      </c>
    </row>
    <row r="8" spans="1:11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5"/>
      <c r="H8" s="58"/>
      <c r="I8" s="57">
        <v>5</v>
      </c>
      <c r="J8" s="48">
        <v>1</v>
      </c>
      <c r="K8" s="48">
        <v>1</v>
      </c>
    </row>
    <row r="9" spans="1:11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5"/>
      <c r="H9" s="58"/>
      <c r="I9" s="57">
        <v>5</v>
      </c>
      <c r="J9" s="48">
        <v>3</v>
      </c>
      <c r="K9" s="48">
        <v>3</v>
      </c>
    </row>
    <row r="10" spans="1:11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5"/>
      <c r="H10" s="58"/>
      <c r="I10" s="57">
        <v>5</v>
      </c>
      <c r="J10" s="48">
        <v>1</v>
      </c>
      <c r="K10" s="48">
        <v>1</v>
      </c>
    </row>
    <row r="11" spans="1:11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5"/>
      <c r="H11" s="58"/>
      <c r="I11" s="57">
        <v>5</v>
      </c>
      <c r="J11" s="48">
        <v>3</v>
      </c>
      <c r="K11" s="48">
        <v>3</v>
      </c>
    </row>
    <row r="12" spans="1:11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5"/>
      <c r="H12" s="58"/>
      <c r="I12" s="57">
        <v>5</v>
      </c>
      <c r="J12" s="48">
        <v>3</v>
      </c>
      <c r="K12" s="48">
        <v>3</v>
      </c>
    </row>
    <row r="13" spans="1:11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5"/>
      <c r="H13" s="58"/>
      <c r="I13" s="57">
        <v>5</v>
      </c>
      <c r="J13" s="48">
        <v>1</v>
      </c>
      <c r="K13" s="48">
        <v>1</v>
      </c>
    </row>
    <row r="14" spans="1:11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5"/>
      <c r="H14" s="58"/>
      <c r="I14" s="57">
        <v>3</v>
      </c>
      <c r="J14" s="48">
        <v>3</v>
      </c>
      <c r="K14" s="48">
        <v>3</v>
      </c>
    </row>
    <row r="15" spans="1:11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5"/>
      <c r="H15" s="58"/>
      <c r="I15" s="57">
        <v>3</v>
      </c>
      <c r="J15" s="48">
        <v>3</v>
      </c>
      <c r="K15" s="48">
        <v>3</v>
      </c>
    </row>
    <row r="16" spans="1:11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5"/>
      <c r="H16" s="58"/>
      <c r="I16" s="57">
        <v>3</v>
      </c>
      <c r="J16" s="48">
        <v>2</v>
      </c>
      <c r="K16" s="48">
        <v>2</v>
      </c>
    </row>
    <row r="17" spans="1:11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5"/>
      <c r="H17" s="58"/>
      <c r="I17" s="57">
        <v>3</v>
      </c>
      <c r="J17" s="48">
        <v>4</v>
      </c>
      <c r="K17" s="48">
        <v>4</v>
      </c>
    </row>
    <row r="18" spans="1:11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5"/>
      <c r="H18" s="58"/>
      <c r="I18" s="57">
        <v>3</v>
      </c>
      <c r="J18" s="48">
        <v>1</v>
      </c>
      <c r="K18" s="48">
        <v>1</v>
      </c>
    </row>
    <row r="19" spans="1:11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5"/>
      <c r="H19" s="58"/>
      <c r="I19" s="57">
        <v>3</v>
      </c>
      <c r="J19" s="48">
        <v>1</v>
      </c>
      <c r="K19" s="48">
        <v>1</v>
      </c>
    </row>
    <row r="20" spans="1:11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5"/>
      <c r="H20" s="58"/>
      <c r="I20" s="57">
        <v>3</v>
      </c>
      <c r="J20" s="48">
        <v>5</v>
      </c>
      <c r="K20" s="48">
        <v>5</v>
      </c>
    </row>
    <row r="21" spans="1:11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5"/>
      <c r="H21" s="58"/>
      <c r="I21" s="57">
        <v>3</v>
      </c>
      <c r="J21" s="48">
        <v>2</v>
      </c>
      <c r="K21" s="48">
        <v>2</v>
      </c>
    </row>
    <row r="22" spans="1:11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5"/>
      <c r="H22" s="58"/>
      <c r="I22" s="57">
        <v>3</v>
      </c>
      <c r="J22" s="48">
        <v>1</v>
      </c>
      <c r="K22" s="48">
        <v>1</v>
      </c>
    </row>
    <row r="23" spans="1:11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5"/>
      <c r="H23" s="58"/>
      <c r="I23" s="57">
        <v>3</v>
      </c>
      <c r="J23" s="48">
        <v>1</v>
      </c>
      <c r="K23" s="48">
        <v>1</v>
      </c>
    </row>
    <row r="24" spans="1:11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5"/>
      <c r="H24" s="58"/>
      <c r="I24" s="57">
        <v>3</v>
      </c>
      <c r="J24" s="48">
        <v>1</v>
      </c>
      <c r="K24" s="48">
        <v>1</v>
      </c>
    </row>
    <row r="25" spans="1:11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5"/>
      <c r="H25" s="58"/>
      <c r="I25" s="57">
        <v>3</v>
      </c>
      <c r="J25" s="48">
        <v>1</v>
      </c>
      <c r="K25" s="48">
        <v>1</v>
      </c>
    </row>
    <row r="26" spans="1:11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5"/>
      <c r="H26" s="58"/>
      <c r="I26" s="57">
        <v>3</v>
      </c>
      <c r="J26" s="48">
        <v>1</v>
      </c>
      <c r="K26" s="48">
        <v>1</v>
      </c>
    </row>
    <row r="27" spans="1:11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5"/>
      <c r="H27" s="58"/>
      <c r="I27" s="57">
        <v>3</v>
      </c>
      <c r="J27" s="48">
        <v>1</v>
      </c>
      <c r="K27" s="48">
        <v>1</v>
      </c>
    </row>
    <row r="28" spans="1:11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5"/>
      <c r="H28" s="58"/>
      <c r="I28" s="60">
        <v>3</v>
      </c>
      <c r="J28" s="48">
        <v>3</v>
      </c>
      <c r="K28" s="48">
        <v>3</v>
      </c>
    </row>
    <row r="29" spans="1:11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5"/>
      <c r="H29" s="58"/>
      <c r="I29" s="60">
        <v>3</v>
      </c>
      <c r="J29" s="48">
        <v>1</v>
      </c>
      <c r="K29" s="48">
        <v>1</v>
      </c>
    </row>
    <row r="30" spans="1:11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5"/>
      <c r="H30" s="47">
        <v>480</v>
      </c>
      <c r="I30" s="57">
        <v>4</v>
      </c>
      <c r="J30" s="48">
        <v>10</v>
      </c>
      <c r="K30" s="48">
        <v>10</v>
      </c>
    </row>
    <row r="31" spans="1:11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5"/>
      <c r="H31" s="47"/>
      <c r="I31" s="57">
        <v>4</v>
      </c>
      <c r="J31" s="48">
        <v>7</v>
      </c>
      <c r="K31" s="48">
        <v>7</v>
      </c>
    </row>
    <row r="32" spans="1:11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5"/>
      <c r="H32" s="47">
        <v>480</v>
      </c>
      <c r="I32" s="57">
        <v>3</v>
      </c>
      <c r="J32" s="48">
        <v>14</v>
      </c>
      <c r="K32" s="48">
        <v>17</v>
      </c>
    </row>
    <row r="33" spans="1:11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5"/>
      <c r="H33" s="47"/>
      <c r="I33" s="57">
        <v>3</v>
      </c>
      <c r="J33" s="48">
        <v>5</v>
      </c>
      <c r="K33" s="48">
        <v>5</v>
      </c>
    </row>
    <row r="34" spans="1:11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5"/>
      <c r="H34" s="58"/>
      <c r="I34" s="57">
        <v>5</v>
      </c>
      <c r="J34" s="48">
        <v>2</v>
      </c>
      <c r="K34" s="48">
        <v>2</v>
      </c>
    </row>
    <row r="35" spans="1:11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5"/>
      <c r="H35" s="47">
        <v>480</v>
      </c>
      <c r="I35" s="57">
        <v>5</v>
      </c>
      <c r="J35" s="48">
        <v>12</v>
      </c>
      <c r="K35" s="48">
        <v>12</v>
      </c>
    </row>
    <row r="36" spans="1:11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5"/>
      <c r="H36" s="47"/>
      <c r="I36" s="57">
        <v>5</v>
      </c>
      <c r="J36" s="48">
        <v>3</v>
      </c>
      <c r="K36" s="48">
        <v>3</v>
      </c>
    </row>
    <row r="37" spans="1:11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5"/>
      <c r="H37" s="47">
        <v>480</v>
      </c>
      <c r="I37" s="57">
        <v>5</v>
      </c>
      <c r="J37" s="48">
        <v>0</v>
      </c>
      <c r="K37" s="48">
        <v>0</v>
      </c>
    </row>
    <row r="38" spans="1:11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5"/>
      <c r="H38" s="47"/>
      <c r="I38" s="57">
        <v>5</v>
      </c>
      <c r="J38" s="48">
        <v>2</v>
      </c>
      <c r="K38" s="48">
        <v>3</v>
      </c>
    </row>
    <row r="39" spans="1:11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5"/>
      <c r="H39" s="58"/>
      <c r="I39" s="57">
        <v>3</v>
      </c>
      <c r="J39" s="48">
        <v>1</v>
      </c>
      <c r="K39" s="48">
        <v>1</v>
      </c>
    </row>
    <row r="40" spans="1:11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5"/>
      <c r="H40" s="47">
        <v>480</v>
      </c>
      <c r="I40" s="57">
        <v>3</v>
      </c>
      <c r="J40" s="48">
        <v>4</v>
      </c>
      <c r="K40" s="48">
        <v>4</v>
      </c>
    </row>
    <row r="41" spans="1:11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5"/>
      <c r="H41" s="47"/>
      <c r="I41" s="57">
        <v>3</v>
      </c>
      <c r="J41" s="48">
        <v>4</v>
      </c>
      <c r="K41" s="48">
        <v>4</v>
      </c>
    </row>
    <row r="42" spans="1:11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5"/>
      <c r="H42" s="47">
        <v>480</v>
      </c>
      <c r="I42" s="57">
        <v>3</v>
      </c>
      <c r="J42" s="48">
        <v>1</v>
      </c>
      <c r="K42" s="48">
        <v>1</v>
      </c>
    </row>
    <row r="43" spans="1:11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5"/>
      <c r="H43" s="47"/>
      <c r="I43" s="57">
        <v>3</v>
      </c>
      <c r="J43" s="48">
        <v>2</v>
      </c>
      <c r="K43" s="48">
        <v>2</v>
      </c>
    </row>
    <row r="44" spans="1:11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55"/>
      <c r="H44" s="66">
        <v>480</v>
      </c>
      <c r="I44" s="60">
        <v>4</v>
      </c>
      <c r="J44" s="48">
        <v>9</v>
      </c>
      <c r="K44" s="48">
        <v>18</v>
      </c>
    </row>
    <row r="45" spans="1:11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55"/>
      <c r="H45" s="64"/>
      <c r="I45" s="60">
        <v>3</v>
      </c>
      <c r="J45" s="48">
        <v>11</v>
      </c>
      <c r="K45" s="48">
        <v>11</v>
      </c>
    </row>
    <row r="46" spans="1:11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55"/>
      <c r="H46" s="64"/>
      <c r="I46" s="60">
        <v>5</v>
      </c>
      <c r="J46" s="48">
        <v>7</v>
      </c>
      <c r="K46" s="48">
        <v>10</v>
      </c>
    </row>
    <row r="47" spans="1:11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55"/>
      <c r="H47" s="65">
        <v>480</v>
      </c>
      <c r="I47" s="60">
        <v>5</v>
      </c>
      <c r="J47" s="48">
        <v>8</v>
      </c>
      <c r="K47" s="48">
        <v>9</v>
      </c>
    </row>
    <row r="48" spans="1:11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55"/>
      <c r="H48" s="62"/>
      <c r="I48" s="60">
        <v>5</v>
      </c>
      <c r="J48" s="48">
        <v>3</v>
      </c>
      <c r="K48" s="48">
        <v>3</v>
      </c>
    </row>
    <row r="49" spans="1:11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55"/>
      <c r="H49" s="65">
        <v>480</v>
      </c>
      <c r="I49" s="60">
        <v>5</v>
      </c>
      <c r="J49" s="48">
        <v>5</v>
      </c>
      <c r="K49" s="48">
        <v>9</v>
      </c>
    </row>
    <row r="50" spans="1:11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55"/>
      <c r="H50" s="65"/>
      <c r="I50" s="60">
        <v>5</v>
      </c>
      <c r="J50" s="48">
        <v>1</v>
      </c>
      <c r="K50" s="48">
        <v>1</v>
      </c>
    </row>
    <row r="51" spans="1:11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55"/>
      <c r="H51" s="65">
        <v>480</v>
      </c>
      <c r="I51" s="60">
        <v>3</v>
      </c>
      <c r="J51" s="48">
        <v>4</v>
      </c>
      <c r="K51" s="48">
        <v>7</v>
      </c>
    </row>
    <row r="52" spans="1:11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55"/>
      <c r="H52" s="65"/>
      <c r="I52" s="60">
        <v>3</v>
      </c>
      <c r="J52" s="48">
        <v>2</v>
      </c>
      <c r="K52" s="48">
        <v>4</v>
      </c>
    </row>
    <row r="53" spans="1:11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55"/>
      <c r="H53" s="65">
        <v>480</v>
      </c>
      <c r="I53" s="60">
        <v>3</v>
      </c>
      <c r="J53" s="48">
        <v>6</v>
      </c>
      <c r="K53" s="48">
        <v>12</v>
      </c>
    </row>
    <row r="54" spans="1:11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55"/>
      <c r="H54" s="65"/>
      <c r="I54" s="60">
        <v>3</v>
      </c>
      <c r="J54" s="48">
        <v>4</v>
      </c>
      <c r="K54" s="48">
        <v>15</v>
      </c>
    </row>
    <row r="55" spans="1:11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55"/>
      <c r="H55" s="62"/>
      <c r="I55" s="60">
        <v>3</v>
      </c>
      <c r="J55" s="48">
        <v>0</v>
      </c>
      <c r="K55" s="48">
        <v>0</v>
      </c>
    </row>
    <row r="56" spans="1:11" ht="15.75" customHeight="1" x14ac:dyDescent="0.35">
      <c r="A56" s="55" t="s">
        <v>141</v>
      </c>
      <c r="B56" s="63" t="s">
        <v>185</v>
      </c>
      <c r="C56" s="67">
        <v>73</v>
      </c>
      <c r="D56" s="64">
        <v>50.3</v>
      </c>
      <c r="E56" s="65">
        <v>17</v>
      </c>
      <c r="F56" s="65">
        <v>0</v>
      </c>
      <c r="G56" s="55"/>
      <c r="H56" s="62"/>
      <c r="I56" s="60"/>
      <c r="J56" s="48">
        <v>2</v>
      </c>
      <c r="K56" s="48">
        <v>2</v>
      </c>
    </row>
    <row r="57" spans="1:11" ht="15.75" customHeight="1" x14ac:dyDescent="0.35">
      <c r="A57" s="55" t="s">
        <v>141</v>
      </c>
      <c r="B57" s="63" t="s">
        <v>185</v>
      </c>
      <c r="C57" s="65">
        <v>72</v>
      </c>
      <c r="D57" s="64">
        <v>50.4</v>
      </c>
      <c r="E57" s="65">
        <v>30.4</v>
      </c>
      <c r="F57" s="65">
        <v>0</v>
      </c>
      <c r="G57" s="55"/>
      <c r="H57" s="62"/>
      <c r="I57" s="60">
        <v>1</v>
      </c>
      <c r="J57" s="48">
        <v>3</v>
      </c>
      <c r="K57" s="48">
        <v>7</v>
      </c>
    </row>
    <row r="58" spans="1:11" ht="15.75" customHeight="1" x14ac:dyDescent="0.35">
      <c r="A58" s="55" t="s">
        <v>141</v>
      </c>
      <c r="B58" s="63" t="s">
        <v>186</v>
      </c>
      <c r="C58" s="65">
        <v>75</v>
      </c>
      <c r="D58" s="69">
        <v>0.71899999999999997</v>
      </c>
      <c r="E58" s="65">
        <v>25.8</v>
      </c>
      <c r="F58" s="65">
        <v>0</v>
      </c>
      <c r="G58" s="55"/>
      <c r="H58" s="62"/>
      <c r="I58" s="60">
        <v>6</v>
      </c>
      <c r="J58" s="48">
        <v>0</v>
      </c>
      <c r="K58" s="48">
        <v>0</v>
      </c>
    </row>
    <row r="59" spans="1:11" ht="15.75" customHeight="1" x14ac:dyDescent="0.35">
      <c r="A59" s="55" t="s">
        <v>146</v>
      </c>
      <c r="B59" s="61" t="s">
        <v>176</v>
      </c>
      <c r="C59" s="55">
        <v>99</v>
      </c>
      <c r="D59" s="70">
        <v>0.27700000000000002</v>
      </c>
      <c r="E59" s="55">
        <v>26.4</v>
      </c>
      <c r="F59" s="55">
        <v>0</v>
      </c>
      <c r="G59" s="55">
        <v>100</v>
      </c>
      <c r="H59" s="55"/>
      <c r="I59" s="57">
        <v>4</v>
      </c>
      <c r="J59" s="48">
        <v>6</v>
      </c>
      <c r="K59" s="48">
        <v>22</v>
      </c>
    </row>
    <row r="60" spans="1:11" ht="15.75" customHeight="1" x14ac:dyDescent="0.35">
      <c r="A60" s="55" t="s">
        <v>146</v>
      </c>
      <c r="B60" s="61" t="s">
        <v>177</v>
      </c>
      <c r="C60" s="55">
        <v>92</v>
      </c>
      <c r="D60" s="58">
        <v>0.78</v>
      </c>
      <c r="E60" s="55">
        <v>24.6</v>
      </c>
      <c r="F60" s="55">
        <v>0</v>
      </c>
      <c r="G60" s="55">
        <v>5</v>
      </c>
      <c r="H60" s="55"/>
      <c r="I60" s="57">
        <v>3</v>
      </c>
      <c r="J60" s="48">
        <v>9</v>
      </c>
      <c r="K60" s="48">
        <v>14</v>
      </c>
    </row>
    <row r="61" spans="1:11" ht="15.75" customHeight="1" x14ac:dyDescent="0.35">
      <c r="A61" s="55" t="s">
        <v>146</v>
      </c>
      <c r="B61" s="61" t="s">
        <v>200</v>
      </c>
      <c r="C61" s="55">
        <v>94</v>
      </c>
      <c r="D61" s="70">
        <v>0.50800000000000001</v>
      </c>
      <c r="E61" s="55">
        <v>24.8</v>
      </c>
      <c r="F61" s="55">
        <v>0</v>
      </c>
      <c r="G61" s="55">
        <v>5</v>
      </c>
      <c r="H61" s="55"/>
      <c r="I61" s="57">
        <v>5</v>
      </c>
      <c r="J61" s="48">
        <v>8</v>
      </c>
      <c r="K61" s="48">
        <v>8</v>
      </c>
    </row>
    <row r="62" spans="1:11" ht="15.75" customHeight="1" x14ac:dyDescent="0.35">
      <c r="A62" s="55" t="s">
        <v>146</v>
      </c>
      <c r="B62" s="61" t="s">
        <v>200</v>
      </c>
      <c r="C62" s="55">
        <v>94</v>
      </c>
      <c r="D62" s="70">
        <v>0.5</v>
      </c>
      <c r="E62" s="55">
        <v>24.8</v>
      </c>
      <c r="F62" s="55">
        <v>0</v>
      </c>
      <c r="G62" s="55">
        <v>100</v>
      </c>
      <c r="H62" s="55">
        <v>870</v>
      </c>
      <c r="I62" s="57">
        <v>5</v>
      </c>
      <c r="J62" s="48">
        <v>2</v>
      </c>
      <c r="K62" s="48">
        <v>6</v>
      </c>
    </row>
    <row r="63" spans="1:11" ht="15.75" customHeight="1" x14ac:dyDescent="0.35">
      <c r="A63" s="55" t="s">
        <v>146</v>
      </c>
      <c r="B63" s="61" t="s">
        <v>200</v>
      </c>
      <c r="C63" s="59">
        <v>94</v>
      </c>
      <c r="D63" s="70">
        <v>0.5</v>
      </c>
      <c r="E63" s="55">
        <v>23</v>
      </c>
      <c r="F63" s="55">
        <v>0</v>
      </c>
      <c r="G63" s="55">
        <v>100</v>
      </c>
      <c r="H63" s="55"/>
      <c r="I63" s="57">
        <v>5</v>
      </c>
      <c r="J63" s="48">
        <v>5</v>
      </c>
      <c r="K63" s="48">
        <v>5</v>
      </c>
    </row>
    <row r="64" spans="1:11" ht="15.75" customHeight="1" x14ac:dyDescent="0.35">
      <c r="A64" s="55" t="s">
        <v>146</v>
      </c>
      <c r="B64" s="61" t="s">
        <v>200</v>
      </c>
      <c r="C64" s="59">
        <v>94</v>
      </c>
      <c r="D64" s="70">
        <v>0.5</v>
      </c>
      <c r="E64" s="55">
        <v>22</v>
      </c>
      <c r="F64" s="55">
        <v>0</v>
      </c>
      <c r="G64" s="55">
        <v>100</v>
      </c>
      <c r="H64" s="55"/>
      <c r="I64" s="57">
        <v>5</v>
      </c>
      <c r="J64" s="48">
        <v>1</v>
      </c>
      <c r="K64" s="48">
        <v>1</v>
      </c>
    </row>
    <row r="65" spans="1:11" ht="15.75" customHeight="1" x14ac:dyDescent="0.35">
      <c r="A65" s="55" t="s">
        <v>146</v>
      </c>
      <c r="B65" s="61" t="s">
        <v>181</v>
      </c>
      <c r="C65" s="55">
        <v>99</v>
      </c>
      <c r="D65" s="58">
        <v>7.59</v>
      </c>
      <c r="E65" s="55">
        <v>23.9</v>
      </c>
      <c r="F65" s="55">
        <v>0</v>
      </c>
      <c r="G65" s="55">
        <v>100</v>
      </c>
      <c r="H65" s="55">
        <v>870</v>
      </c>
      <c r="I65" s="57">
        <v>3</v>
      </c>
      <c r="J65" s="48">
        <v>5</v>
      </c>
      <c r="K65" s="48">
        <v>6</v>
      </c>
    </row>
    <row r="66" spans="1:11" ht="15.75" customHeight="1" x14ac:dyDescent="0.35">
      <c r="A66" s="55" t="s">
        <v>146</v>
      </c>
      <c r="B66" s="61" t="s">
        <v>198</v>
      </c>
      <c r="C66" s="55">
        <v>99</v>
      </c>
      <c r="D66" s="58">
        <v>13.05</v>
      </c>
      <c r="E66" s="55">
        <v>25.9</v>
      </c>
      <c r="F66" s="55">
        <v>0.45</v>
      </c>
      <c r="G66" s="55">
        <v>100</v>
      </c>
      <c r="H66" s="55">
        <v>870</v>
      </c>
      <c r="I66" s="57">
        <v>3</v>
      </c>
      <c r="J66" s="48">
        <v>4</v>
      </c>
      <c r="K66" s="48">
        <v>4</v>
      </c>
    </row>
    <row r="67" spans="1:11" ht="15.75" customHeight="1" x14ac:dyDescent="0.35">
      <c r="A67" s="55" t="s">
        <v>146</v>
      </c>
      <c r="B67" s="61" t="s">
        <v>199</v>
      </c>
      <c r="C67" s="55">
        <v>93</v>
      </c>
      <c r="D67" s="58">
        <v>6.64</v>
      </c>
      <c r="E67" s="55">
        <v>26</v>
      </c>
      <c r="F67" s="55">
        <v>0</v>
      </c>
      <c r="G67" s="55">
        <v>100</v>
      </c>
      <c r="H67" s="55">
        <v>870</v>
      </c>
      <c r="I67" s="57">
        <v>2</v>
      </c>
      <c r="J67" s="48">
        <v>7</v>
      </c>
      <c r="K67" s="48">
        <v>13</v>
      </c>
    </row>
    <row r="68" spans="1:11" ht="15.75" customHeight="1" x14ac:dyDescent="0.35">
      <c r="A68" s="55" t="s">
        <v>146</v>
      </c>
      <c r="B68" s="61" t="s">
        <v>199</v>
      </c>
      <c r="C68" s="55">
        <v>59</v>
      </c>
      <c r="D68" s="58">
        <v>39.5</v>
      </c>
      <c r="E68" s="55">
        <v>31.13</v>
      </c>
      <c r="F68" s="55">
        <v>2.1</v>
      </c>
      <c r="G68" s="55">
        <v>100</v>
      </c>
      <c r="H68" s="55"/>
      <c r="I68" s="57">
        <v>2</v>
      </c>
      <c r="J68" s="48">
        <v>4</v>
      </c>
      <c r="K68" s="48">
        <v>9</v>
      </c>
    </row>
    <row r="69" spans="1:11" ht="15.75" customHeight="1" x14ac:dyDescent="0.35">
      <c r="A69" s="55" t="s">
        <v>146</v>
      </c>
      <c r="B69" s="61" t="s">
        <v>199</v>
      </c>
      <c r="C69" s="55">
        <v>80</v>
      </c>
      <c r="D69" s="58">
        <v>6.56</v>
      </c>
      <c r="E69" s="55">
        <v>23.9</v>
      </c>
      <c r="F69" s="55">
        <v>0</v>
      </c>
      <c r="G69" s="55">
        <v>100</v>
      </c>
      <c r="H69" s="55"/>
      <c r="I69" s="57">
        <v>2</v>
      </c>
      <c r="J69" s="48">
        <v>0</v>
      </c>
      <c r="K69" s="48">
        <v>0</v>
      </c>
    </row>
    <row r="70" spans="1:11" ht="15.75" customHeight="1" x14ac:dyDescent="0.35">
      <c r="A70" s="55" t="s">
        <v>146</v>
      </c>
      <c r="B70" s="61" t="s">
        <v>183</v>
      </c>
      <c r="C70" s="55">
        <v>79</v>
      </c>
      <c r="D70" s="58">
        <v>15.5</v>
      </c>
      <c r="E70" s="55">
        <v>28.3</v>
      </c>
      <c r="F70" s="55">
        <v>0</v>
      </c>
      <c r="G70" s="55">
        <v>100</v>
      </c>
      <c r="H70" s="55">
        <v>1360</v>
      </c>
      <c r="I70" s="57">
        <v>3</v>
      </c>
      <c r="J70" s="48">
        <v>3</v>
      </c>
      <c r="K70" s="48">
        <v>3</v>
      </c>
    </row>
    <row r="71" spans="1:11" ht="15.75" customHeight="1" x14ac:dyDescent="0.35">
      <c r="A71" s="55" t="s">
        <v>146</v>
      </c>
      <c r="B71" s="61" t="s">
        <v>183</v>
      </c>
      <c r="C71" s="55">
        <v>79</v>
      </c>
      <c r="D71" s="58">
        <v>4.87</v>
      </c>
      <c r="E71" s="55">
        <v>25.2</v>
      </c>
      <c r="F71" s="55">
        <v>0</v>
      </c>
      <c r="G71" s="55">
        <v>100</v>
      </c>
      <c r="H71" s="55"/>
      <c r="I71" s="57">
        <v>3</v>
      </c>
      <c r="J71" s="48">
        <v>0</v>
      </c>
      <c r="K71" s="48">
        <v>0</v>
      </c>
    </row>
    <row r="72" spans="1:11" ht="15.75" customHeight="1" x14ac:dyDescent="0.35">
      <c r="A72" s="55" t="s">
        <v>146</v>
      </c>
      <c r="B72" s="61" t="s">
        <v>185</v>
      </c>
      <c r="C72" s="55">
        <v>86</v>
      </c>
      <c r="D72" s="58">
        <v>19.5</v>
      </c>
      <c r="E72" s="55">
        <v>27.4</v>
      </c>
      <c r="F72" s="55">
        <v>2.9</v>
      </c>
      <c r="G72" s="55">
        <v>100</v>
      </c>
      <c r="H72" s="55">
        <v>1360</v>
      </c>
      <c r="I72" s="57">
        <v>1</v>
      </c>
      <c r="J72" s="48">
        <v>3</v>
      </c>
      <c r="K72" s="48">
        <v>5</v>
      </c>
    </row>
    <row r="73" spans="1:11" ht="15.75" customHeight="1" x14ac:dyDescent="0.35">
      <c r="A73" s="55" t="s">
        <v>146</v>
      </c>
      <c r="B73" s="61" t="s">
        <v>186</v>
      </c>
      <c r="C73" s="55">
        <v>79</v>
      </c>
      <c r="D73" s="58">
        <v>0.56999999999999995</v>
      </c>
      <c r="E73" s="55">
        <v>24.8</v>
      </c>
      <c r="F73" s="55">
        <v>0</v>
      </c>
      <c r="G73" s="55">
        <v>100</v>
      </c>
      <c r="H73" s="55">
        <v>1360</v>
      </c>
      <c r="I73" s="57">
        <v>6</v>
      </c>
      <c r="J73" s="48">
        <v>3</v>
      </c>
      <c r="K73" s="48">
        <v>4</v>
      </c>
    </row>
    <row r="74" spans="1:11" ht="15.75" customHeight="1" x14ac:dyDescent="0.35">
      <c r="A74" s="55" t="s">
        <v>146</v>
      </c>
      <c r="B74" s="61" t="s">
        <v>186</v>
      </c>
      <c r="C74" s="55">
        <v>96</v>
      </c>
      <c r="D74" s="58">
        <v>15.05</v>
      </c>
      <c r="E74" s="55">
        <v>30.2</v>
      </c>
      <c r="F74" s="55">
        <v>0</v>
      </c>
      <c r="G74" s="55">
        <v>100</v>
      </c>
      <c r="H74" s="55"/>
      <c r="I74" s="57">
        <v>6</v>
      </c>
      <c r="J74" s="48">
        <v>2</v>
      </c>
      <c r="K74" s="48">
        <v>6</v>
      </c>
    </row>
    <row r="75" spans="1:11" ht="15.75" customHeight="1" x14ac:dyDescent="0.35">
      <c r="A75" s="55" t="s">
        <v>146</v>
      </c>
      <c r="B75" s="55" t="s">
        <v>186</v>
      </c>
      <c r="C75" s="55">
        <v>57</v>
      </c>
      <c r="D75" s="58">
        <v>153.19999999999999</v>
      </c>
      <c r="E75" s="55">
        <v>30.2</v>
      </c>
      <c r="F75" s="55">
        <v>0.4</v>
      </c>
      <c r="G75" s="55">
        <v>100</v>
      </c>
      <c r="H75" s="55"/>
      <c r="I75" s="57">
        <v>6</v>
      </c>
      <c r="J75" s="48">
        <v>2</v>
      </c>
      <c r="K75" s="48">
        <v>3</v>
      </c>
    </row>
    <row r="76" spans="1:11" ht="15.75" customHeight="1" x14ac:dyDescent="0.35">
      <c r="A76" s="55" t="s">
        <v>153</v>
      </c>
      <c r="B76" s="61" t="s">
        <v>176</v>
      </c>
      <c r="C76" s="55">
        <v>98</v>
      </c>
      <c r="D76" s="58">
        <v>7.54</v>
      </c>
      <c r="E76" s="55">
        <v>25.8</v>
      </c>
      <c r="F76" s="55">
        <v>0</v>
      </c>
      <c r="G76" s="55">
        <v>100</v>
      </c>
      <c r="H76" s="55"/>
      <c r="I76" s="57">
        <v>4</v>
      </c>
      <c r="J76" s="48">
        <v>5</v>
      </c>
      <c r="K76" s="48">
        <v>7</v>
      </c>
    </row>
    <row r="77" spans="1:11" ht="15.75" customHeight="1" x14ac:dyDescent="0.35">
      <c r="A77" s="55" t="s">
        <v>153</v>
      </c>
      <c r="B77" s="61" t="s">
        <v>176</v>
      </c>
      <c r="C77" s="55">
        <v>99</v>
      </c>
      <c r="D77" s="58">
        <v>6.06</v>
      </c>
      <c r="E77" s="55">
        <v>25.35</v>
      </c>
      <c r="F77" s="55">
        <v>0</v>
      </c>
      <c r="G77" s="55">
        <v>100</v>
      </c>
      <c r="H77" s="55">
        <v>580</v>
      </c>
      <c r="I77" s="57">
        <v>4</v>
      </c>
      <c r="J77" s="48">
        <v>9</v>
      </c>
      <c r="K77" s="48">
        <v>9</v>
      </c>
    </row>
    <row r="78" spans="1:11" ht="15.75" customHeight="1" x14ac:dyDescent="0.35">
      <c r="A78" s="55" t="s">
        <v>153</v>
      </c>
      <c r="B78" s="61" t="s">
        <v>177</v>
      </c>
      <c r="C78" s="55">
        <v>98</v>
      </c>
      <c r="D78" s="58">
        <v>0.77</v>
      </c>
      <c r="E78" s="55">
        <v>22.6</v>
      </c>
      <c r="F78" s="55">
        <v>0</v>
      </c>
      <c r="G78" s="55">
        <v>100</v>
      </c>
      <c r="H78" s="55">
        <v>580</v>
      </c>
      <c r="I78" s="57">
        <v>3</v>
      </c>
      <c r="J78" s="48">
        <v>8</v>
      </c>
      <c r="K78" s="48">
        <v>14</v>
      </c>
    </row>
    <row r="79" spans="1:11" ht="15.75" customHeight="1" x14ac:dyDescent="0.35">
      <c r="A79" s="55" t="s">
        <v>153</v>
      </c>
      <c r="B79" s="61" t="s">
        <v>177</v>
      </c>
      <c r="C79" s="55">
        <v>82</v>
      </c>
      <c r="D79" s="70">
        <v>0.19800000000000001</v>
      </c>
      <c r="E79" s="55">
        <v>24.3</v>
      </c>
      <c r="F79" s="55">
        <v>0</v>
      </c>
      <c r="G79" s="55">
        <v>20</v>
      </c>
      <c r="H79" s="55"/>
      <c r="I79" s="57">
        <v>3</v>
      </c>
      <c r="J79" s="48">
        <v>9</v>
      </c>
      <c r="K79" s="48">
        <v>12</v>
      </c>
    </row>
    <row r="80" spans="1:11" ht="15.75" customHeight="1" x14ac:dyDescent="0.35">
      <c r="A80" s="55" t="s">
        <v>153</v>
      </c>
      <c r="B80" s="61" t="s">
        <v>200</v>
      </c>
      <c r="C80" s="55">
        <v>98</v>
      </c>
      <c r="D80" s="58">
        <v>3.69</v>
      </c>
      <c r="E80" s="55">
        <v>22.35</v>
      </c>
      <c r="F80" s="55">
        <v>0</v>
      </c>
      <c r="G80" s="55">
        <v>0</v>
      </c>
      <c r="H80" s="55">
        <v>870</v>
      </c>
      <c r="I80" s="57">
        <v>5</v>
      </c>
      <c r="J80" s="48">
        <v>3</v>
      </c>
      <c r="K80" s="48">
        <v>7</v>
      </c>
    </row>
    <row r="81" spans="1:11" ht="15.75" customHeight="1" x14ac:dyDescent="0.35">
      <c r="A81" s="55" t="s">
        <v>153</v>
      </c>
      <c r="B81" s="61" t="s">
        <v>200</v>
      </c>
      <c r="C81" s="55">
        <v>98</v>
      </c>
      <c r="D81" s="58">
        <v>3.69</v>
      </c>
      <c r="E81" s="55">
        <v>22.35</v>
      </c>
      <c r="F81" s="55">
        <v>0</v>
      </c>
      <c r="G81" s="55">
        <v>0</v>
      </c>
      <c r="H81" s="55">
        <v>870</v>
      </c>
      <c r="I81" s="57">
        <v>5</v>
      </c>
      <c r="J81" s="48">
        <v>13</v>
      </c>
      <c r="K81" s="48">
        <v>14</v>
      </c>
    </row>
    <row r="82" spans="1:11" ht="15.75" customHeight="1" x14ac:dyDescent="0.35">
      <c r="A82" s="55" t="s">
        <v>153</v>
      </c>
      <c r="B82" s="61" t="s">
        <v>200</v>
      </c>
      <c r="C82" s="55">
        <v>90</v>
      </c>
      <c r="D82" s="70">
        <v>3.5000000000000003E-2</v>
      </c>
      <c r="E82" s="55">
        <v>24.2</v>
      </c>
      <c r="F82" s="55">
        <v>0</v>
      </c>
      <c r="G82" s="55">
        <v>20</v>
      </c>
      <c r="H82" s="55"/>
      <c r="I82" s="57">
        <v>5</v>
      </c>
      <c r="J82" s="48">
        <v>1</v>
      </c>
      <c r="K82" s="48">
        <v>1</v>
      </c>
    </row>
    <row r="83" spans="1:11" ht="15.75" customHeight="1" x14ac:dyDescent="0.35">
      <c r="A83" s="55" t="s">
        <v>153</v>
      </c>
      <c r="B83" s="61" t="s">
        <v>200</v>
      </c>
      <c r="C83" s="55">
        <v>61</v>
      </c>
      <c r="D83" s="70">
        <v>9.4E-2</v>
      </c>
      <c r="E83" s="55">
        <v>25.5</v>
      </c>
      <c r="F83" s="55">
        <v>0</v>
      </c>
      <c r="G83" s="55">
        <v>15</v>
      </c>
      <c r="H83" s="55"/>
      <c r="I83" s="57">
        <v>5</v>
      </c>
      <c r="J83" s="48">
        <v>6</v>
      </c>
      <c r="K83" s="48">
        <v>8</v>
      </c>
    </row>
    <row r="84" spans="1:11" ht="15.75" customHeight="1" x14ac:dyDescent="0.35">
      <c r="A84" s="55" t="s">
        <v>153</v>
      </c>
      <c r="B84" s="61" t="s">
        <v>200</v>
      </c>
      <c r="C84" s="55">
        <v>65</v>
      </c>
      <c r="D84" s="70">
        <v>3.5000000000000003E-2</v>
      </c>
      <c r="E84" s="55">
        <v>25.7</v>
      </c>
      <c r="F84" s="55">
        <v>0</v>
      </c>
      <c r="G84" s="55">
        <v>100</v>
      </c>
      <c r="H84" s="55"/>
      <c r="I84" s="57">
        <v>5</v>
      </c>
      <c r="J84" s="48">
        <v>3</v>
      </c>
      <c r="K84" s="48">
        <v>3</v>
      </c>
    </row>
    <row r="85" spans="1:11" ht="15.75" customHeight="1" x14ac:dyDescent="0.35">
      <c r="A85" s="55" t="s">
        <v>153</v>
      </c>
      <c r="B85" s="61" t="s">
        <v>180</v>
      </c>
      <c r="C85" s="55">
        <v>85</v>
      </c>
      <c r="D85" s="58">
        <v>3.81</v>
      </c>
      <c r="E85" s="55">
        <v>25</v>
      </c>
      <c r="F85" s="55">
        <v>0</v>
      </c>
      <c r="G85" s="55">
        <v>78.33</v>
      </c>
      <c r="H85" s="55">
        <v>870</v>
      </c>
      <c r="I85" s="57">
        <v>5</v>
      </c>
      <c r="J85" s="48">
        <v>3</v>
      </c>
      <c r="K85" s="48">
        <v>3</v>
      </c>
    </row>
    <row r="86" spans="1:11" ht="15.75" customHeight="1" x14ac:dyDescent="0.35">
      <c r="A86" s="55" t="s">
        <v>153</v>
      </c>
      <c r="B86" s="61" t="s">
        <v>180</v>
      </c>
      <c r="C86" s="55">
        <v>61</v>
      </c>
      <c r="D86" s="58">
        <v>4.78</v>
      </c>
      <c r="E86" s="55">
        <v>28.7</v>
      </c>
      <c r="F86" s="55">
        <v>0</v>
      </c>
      <c r="G86" s="55">
        <v>100</v>
      </c>
      <c r="H86" s="55"/>
      <c r="I86" s="57">
        <v>5</v>
      </c>
      <c r="J86" s="48">
        <v>0</v>
      </c>
      <c r="K86" s="48">
        <v>0</v>
      </c>
    </row>
    <row r="87" spans="1:11" ht="15.75" customHeight="1" x14ac:dyDescent="0.35">
      <c r="A87" s="55" t="s">
        <v>153</v>
      </c>
      <c r="B87" s="61" t="s">
        <v>180</v>
      </c>
      <c r="C87" s="55">
        <v>47</v>
      </c>
      <c r="D87" s="70">
        <v>0.74399999999999999</v>
      </c>
      <c r="E87" s="55">
        <v>29.9</v>
      </c>
      <c r="F87" s="55">
        <v>0</v>
      </c>
      <c r="G87" s="55">
        <v>2</v>
      </c>
      <c r="H87" s="55"/>
      <c r="I87" s="57">
        <v>5</v>
      </c>
      <c r="J87" s="48">
        <v>2</v>
      </c>
      <c r="K87" s="48">
        <v>2</v>
      </c>
    </row>
    <row r="88" spans="1:11" ht="15.75" customHeight="1" x14ac:dyDescent="0.35">
      <c r="A88" s="55" t="s">
        <v>153</v>
      </c>
      <c r="B88" s="61" t="s">
        <v>180</v>
      </c>
      <c r="C88" s="55">
        <v>50</v>
      </c>
      <c r="D88" s="70">
        <v>0.7</v>
      </c>
      <c r="E88" s="55">
        <v>26.3</v>
      </c>
      <c r="F88" s="55">
        <v>0</v>
      </c>
      <c r="G88" s="55">
        <v>100</v>
      </c>
      <c r="H88" s="55"/>
      <c r="I88" s="57">
        <v>5</v>
      </c>
      <c r="J88" s="48">
        <v>2</v>
      </c>
      <c r="K88" s="48">
        <v>5</v>
      </c>
    </row>
    <row r="89" spans="1:11" ht="15.75" customHeight="1" x14ac:dyDescent="0.35">
      <c r="A89" s="55" t="s">
        <v>153</v>
      </c>
      <c r="B89" s="61" t="s">
        <v>181</v>
      </c>
      <c r="C89" s="55">
        <v>85</v>
      </c>
      <c r="D89" s="58">
        <v>13.84</v>
      </c>
      <c r="E89" s="55">
        <v>26.7</v>
      </c>
      <c r="F89" s="55">
        <v>0</v>
      </c>
      <c r="G89" s="55">
        <v>100</v>
      </c>
      <c r="H89" s="55">
        <v>870</v>
      </c>
      <c r="I89" s="57">
        <v>3</v>
      </c>
      <c r="J89" s="48">
        <v>4</v>
      </c>
      <c r="K89" s="48">
        <v>6</v>
      </c>
    </row>
    <row r="90" spans="1:11" ht="15.75" customHeight="1" x14ac:dyDescent="0.35">
      <c r="A90" s="55" t="s">
        <v>153</v>
      </c>
      <c r="B90" s="61" t="s">
        <v>181</v>
      </c>
      <c r="C90" s="55">
        <v>55</v>
      </c>
      <c r="D90" s="58">
        <v>55.3</v>
      </c>
      <c r="E90" s="55">
        <v>30.2</v>
      </c>
      <c r="F90" s="55">
        <v>0</v>
      </c>
      <c r="G90" s="55">
        <v>100</v>
      </c>
      <c r="H90" s="55"/>
      <c r="I90" s="57">
        <v>3</v>
      </c>
      <c r="J90" s="48">
        <v>0</v>
      </c>
      <c r="K90" s="48">
        <v>0</v>
      </c>
    </row>
    <row r="91" spans="1:11" ht="15.75" customHeight="1" x14ac:dyDescent="0.35">
      <c r="A91" s="55" t="s">
        <v>153</v>
      </c>
      <c r="B91" s="61" t="s">
        <v>181</v>
      </c>
      <c r="C91" s="55">
        <v>51</v>
      </c>
      <c r="D91" s="58">
        <v>26.78</v>
      </c>
      <c r="E91" s="55">
        <v>30.7</v>
      </c>
      <c r="F91" s="55">
        <v>0</v>
      </c>
      <c r="G91" s="55">
        <v>23.33</v>
      </c>
      <c r="H91" s="55"/>
      <c r="I91" s="57">
        <v>3</v>
      </c>
      <c r="J91" s="48">
        <v>2</v>
      </c>
      <c r="K91" s="48">
        <v>2</v>
      </c>
    </row>
    <row r="92" spans="1:11" ht="15.75" customHeight="1" x14ac:dyDescent="0.35">
      <c r="A92" s="55" t="s">
        <v>153</v>
      </c>
      <c r="B92" s="61" t="s">
        <v>198</v>
      </c>
      <c r="C92" s="55">
        <v>90</v>
      </c>
      <c r="D92" s="58">
        <v>8.44</v>
      </c>
      <c r="E92" s="55">
        <v>27.4</v>
      </c>
      <c r="F92" s="55">
        <v>0.8</v>
      </c>
      <c r="G92" s="55">
        <v>100</v>
      </c>
      <c r="H92" s="55">
        <v>870</v>
      </c>
      <c r="I92" s="57">
        <v>3</v>
      </c>
      <c r="J92" s="48">
        <v>12</v>
      </c>
      <c r="K92" s="48">
        <v>17</v>
      </c>
    </row>
    <row r="93" spans="1:11" ht="15.75" customHeight="1" x14ac:dyDescent="0.35">
      <c r="A93" s="55" t="s">
        <v>153</v>
      </c>
      <c r="B93" s="56" t="s">
        <v>198</v>
      </c>
      <c r="C93" s="55">
        <v>58</v>
      </c>
      <c r="D93" s="58">
        <v>30.1</v>
      </c>
      <c r="E93" s="55">
        <v>29.1</v>
      </c>
      <c r="F93" s="55">
        <v>0</v>
      </c>
      <c r="G93" s="55">
        <v>98.75</v>
      </c>
      <c r="H93" s="55"/>
      <c r="I93" s="57">
        <v>3</v>
      </c>
      <c r="J93" s="48">
        <v>2</v>
      </c>
      <c r="K93" s="48">
        <v>2</v>
      </c>
    </row>
    <row r="94" spans="1:11" ht="15.75" customHeight="1" x14ac:dyDescent="0.35">
      <c r="A94" s="55" t="s">
        <v>153</v>
      </c>
      <c r="B94" s="61" t="s">
        <v>199</v>
      </c>
      <c r="C94" s="55">
        <v>77</v>
      </c>
      <c r="D94" s="70">
        <v>1.79</v>
      </c>
      <c r="E94" s="55">
        <v>23.98</v>
      </c>
      <c r="F94" s="55">
        <v>0.83</v>
      </c>
      <c r="G94" s="55">
        <v>100</v>
      </c>
      <c r="H94" s="55">
        <v>1100</v>
      </c>
      <c r="I94" s="57">
        <v>2</v>
      </c>
      <c r="J94" s="48">
        <v>3</v>
      </c>
      <c r="K94" s="48">
        <v>3</v>
      </c>
    </row>
    <row r="95" spans="1:11" ht="15.75" customHeight="1" x14ac:dyDescent="0.35">
      <c r="A95" s="55" t="s">
        <v>153</v>
      </c>
      <c r="B95" s="61" t="s">
        <v>199</v>
      </c>
      <c r="C95" s="55">
        <v>78</v>
      </c>
      <c r="D95" s="70">
        <v>20.350000000000001</v>
      </c>
      <c r="E95" s="55">
        <v>22.55</v>
      </c>
      <c r="F95" s="55">
        <v>0</v>
      </c>
      <c r="G95" s="55">
        <v>38.33</v>
      </c>
      <c r="H95" s="48">
        <v>1420</v>
      </c>
      <c r="I95" s="57">
        <v>2</v>
      </c>
      <c r="J95" s="48">
        <v>6</v>
      </c>
      <c r="K95" s="48">
        <v>14</v>
      </c>
    </row>
    <row r="96" spans="1:11" ht="15.75" customHeight="1" x14ac:dyDescent="0.35">
      <c r="A96" s="55" t="s">
        <v>153</v>
      </c>
      <c r="B96" s="61" t="s">
        <v>199</v>
      </c>
      <c r="C96" s="55">
        <v>98</v>
      </c>
      <c r="D96" s="70">
        <v>3.05</v>
      </c>
      <c r="E96" s="55">
        <v>21.7</v>
      </c>
      <c r="F96" s="55">
        <v>0.9</v>
      </c>
      <c r="G96" s="55">
        <v>100</v>
      </c>
      <c r="H96" s="55"/>
      <c r="I96" s="57">
        <v>2</v>
      </c>
      <c r="J96" s="48">
        <v>1</v>
      </c>
      <c r="K96" s="48">
        <v>1</v>
      </c>
    </row>
    <row r="97" spans="1:11" ht="15.75" customHeight="1" x14ac:dyDescent="0.35">
      <c r="A97" s="55" t="s">
        <v>153</v>
      </c>
      <c r="B97" s="61" t="s">
        <v>199</v>
      </c>
      <c r="C97" s="55">
        <v>77</v>
      </c>
      <c r="D97" s="70">
        <v>12.54</v>
      </c>
      <c r="E97" s="55">
        <v>25.3</v>
      </c>
      <c r="F97" s="55">
        <v>1</v>
      </c>
      <c r="G97" s="55">
        <v>100</v>
      </c>
      <c r="H97" s="55"/>
      <c r="I97" s="57">
        <v>2</v>
      </c>
      <c r="J97" s="48">
        <v>1</v>
      </c>
      <c r="K97" s="48">
        <v>5</v>
      </c>
    </row>
    <row r="98" spans="1:11" ht="15.75" customHeight="1" x14ac:dyDescent="0.35">
      <c r="A98" s="55" t="s">
        <v>153</v>
      </c>
      <c r="B98" s="61" t="s">
        <v>183</v>
      </c>
      <c r="C98" s="55">
        <v>95</v>
      </c>
      <c r="D98" s="58">
        <v>10.69</v>
      </c>
      <c r="E98" s="55">
        <v>22.8</v>
      </c>
      <c r="F98" s="55">
        <v>1.2</v>
      </c>
      <c r="G98" s="55">
        <v>100</v>
      </c>
      <c r="H98" s="55">
        <v>1100</v>
      </c>
      <c r="I98" s="57">
        <v>3</v>
      </c>
      <c r="J98" s="48">
        <v>4</v>
      </c>
      <c r="K98" s="48">
        <v>7</v>
      </c>
    </row>
    <row r="99" spans="1:11" ht="15.75" customHeight="1" x14ac:dyDescent="0.35">
      <c r="A99" s="55" t="s">
        <v>153</v>
      </c>
      <c r="B99" s="61" t="s">
        <v>183</v>
      </c>
      <c r="C99" s="55">
        <v>95</v>
      </c>
      <c r="D99" s="58">
        <v>5.99</v>
      </c>
      <c r="E99" s="55">
        <v>25.7</v>
      </c>
      <c r="F99" s="55">
        <v>0</v>
      </c>
      <c r="G99" s="55">
        <v>100</v>
      </c>
      <c r="H99" s="55">
        <v>1420</v>
      </c>
      <c r="I99" s="57">
        <v>3</v>
      </c>
      <c r="J99" s="48">
        <v>5</v>
      </c>
      <c r="K99" s="48">
        <v>7</v>
      </c>
    </row>
    <row r="100" spans="1:11" ht="15.75" customHeight="1" x14ac:dyDescent="0.35">
      <c r="A100" s="55" t="s">
        <v>153</v>
      </c>
      <c r="B100" s="56" t="s">
        <v>183</v>
      </c>
      <c r="C100" s="55">
        <v>98</v>
      </c>
      <c r="D100" s="58">
        <v>3.61</v>
      </c>
      <c r="E100" s="55">
        <v>23</v>
      </c>
      <c r="F100" s="55">
        <v>0</v>
      </c>
      <c r="G100" s="55">
        <v>100</v>
      </c>
      <c r="H100" s="55"/>
      <c r="I100" s="57">
        <v>3</v>
      </c>
      <c r="J100" s="48">
        <v>0</v>
      </c>
      <c r="K100" s="48">
        <v>0</v>
      </c>
    </row>
    <row r="101" spans="1:11" ht="15.75" customHeight="1" x14ac:dyDescent="0.35">
      <c r="A101" s="55" t="s">
        <v>153</v>
      </c>
      <c r="B101" s="61" t="s">
        <v>183</v>
      </c>
      <c r="C101" s="55">
        <v>80</v>
      </c>
      <c r="D101" s="58">
        <v>6.89</v>
      </c>
      <c r="E101" s="55">
        <v>24.3</v>
      </c>
      <c r="F101" s="55">
        <v>0.87</v>
      </c>
      <c r="G101" s="55">
        <v>100</v>
      </c>
      <c r="H101" s="55"/>
      <c r="I101" s="57">
        <v>3</v>
      </c>
      <c r="J101" s="48">
        <v>2</v>
      </c>
      <c r="K101" s="48">
        <v>2</v>
      </c>
    </row>
    <row r="102" spans="1:11" ht="15.75" customHeight="1" x14ac:dyDescent="0.35">
      <c r="A102" s="55" t="s">
        <v>153</v>
      </c>
      <c r="B102" s="61" t="s">
        <v>185</v>
      </c>
      <c r="C102" s="55">
        <v>80</v>
      </c>
      <c r="D102" s="70">
        <v>14.7</v>
      </c>
      <c r="E102" s="55">
        <v>24.13</v>
      </c>
      <c r="F102" s="55">
        <v>2.1</v>
      </c>
      <c r="G102" s="55">
        <v>100</v>
      </c>
      <c r="H102" s="55">
        <v>1420</v>
      </c>
      <c r="I102" s="57">
        <v>1</v>
      </c>
      <c r="J102" s="48">
        <v>3</v>
      </c>
      <c r="K102" s="48">
        <v>11</v>
      </c>
    </row>
    <row r="103" spans="1:11" ht="15.75" customHeight="1" x14ac:dyDescent="0.35">
      <c r="A103" s="55" t="s">
        <v>153</v>
      </c>
      <c r="B103" s="61" t="s">
        <v>185</v>
      </c>
      <c r="C103" s="55">
        <v>99</v>
      </c>
      <c r="D103" s="70">
        <v>12.46</v>
      </c>
      <c r="E103" s="55">
        <v>22.9</v>
      </c>
      <c r="F103" s="55">
        <v>0</v>
      </c>
      <c r="G103" s="55">
        <v>100</v>
      </c>
      <c r="H103" s="55">
        <v>1420</v>
      </c>
      <c r="I103" s="57">
        <v>1</v>
      </c>
      <c r="J103" s="48">
        <v>4</v>
      </c>
      <c r="K103" s="48">
        <v>5</v>
      </c>
    </row>
    <row r="104" spans="1:11" ht="15.75" customHeight="1" x14ac:dyDescent="0.35">
      <c r="A104" s="55" t="s">
        <v>153</v>
      </c>
      <c r="B104" s="56" t="s">
        <v>185</v>
      </c>
      <c r="C104" s="55">
        <v>99</v>
      </c>
      <c r="D104" s="58">
        <v>8.2799999999999994</v>
      </c>
      <c r="E104" s="55">
        <v>24.2</v>
      </c>
      <c r="F104" s="55">
        <v>0</v>
      </c>
      <c r="G104" s="55">
        <v>100</v>
      </c>
      <c r="H104" s="55"/>
      <c r="I104" s="57">
        <v>1</v>
      </c>
      <c r="J104" s="48">
        <v>0</v>
      </c>
      <c r="K104" s="48">
        <v>0</v>
      </c>
    </row>
    <row r="105" spans="1:11" ht="15.75" customHeight="1" x14ac:dyDescent="0.35">
      <c r="A105" s="55" t="s">
        <v>153</v>
      </c>
      <c r="B105" s="56" t="s">
        <v>185</v>
      </c>
      <c r="C105" s="55">
        <v>99</v>
      </c>
      <c r="D105" s="58">
        <v>7.19</v>
      </c>
      <c r="E105" s="55">
        <v>23.4</v>
      </c>
      <c r="F105" s="55">
        <v>1.5</v>
      </c>
      <c r="G105" s="55">
        <v>100</v>
      </c>
      <c r="H105" s="55"/>
      <c r="I105" s="57">
        <v>1</v>
      </c>
      <c r="J105" s="48">
        <v>0</v>
      </c>
      <c r="K105" s="48">
        <v>0</v>
      </c>
    </row>
    <row r="106" spans="1:11" ht="15.75" customHeight="1" x14ac:dyDescent="0.35">
      <c r="A106" s="55" t="s">
        <v>153</v>
      </c>
      <c r="B106" s="61" t="s">
        <v>186</v>
      </c>
      <c r="C106" s="55">
        <v>95</v>
      </c>
      <c r="D106" s="58">
        <v>1.44</v>
      </c>
      <c r="E106" s="55">
        <v>25.1</v>
      </c>
      <c r="F106" s="55">
        <v>0</v>
      </c>
      <c r="G106" s="55">
        <v>100</v>
      </c>
      <c r="H106" s="55">
        <v>1420</v>
      </c>
      <c r="I106" s="57">
        <v>6</v>
      </c>
      <c r="J106" s="48">
        <v>2</v>
      </c>
      <c r="K106" s="48">
        <v>7</v>
      </c>
    </row>
    <row r="107" spans="1:11" ht="15.75" customHeight="1" x14ac:dyDescent="0.35">
      <c r="A107" s="55" t="s">
        <v>153</v>
      </c>
      <c r="B107" s="61" t="s">
        <v>186</v>
      </c>
      <c r="C107" s="55">
        <v>99</v>
      </c>
      <c r="D107" s="58">
        <v>0.54</v>
      </c>
      <c r="E107" s="55">
        <v>21.9</v>
      </c>
      <c r="F107" s="55">
        <v>0</v>
      </c>
      <c r="G107" s="55">
        <v>100</v>
      </c>
      <c r="H107" s="55">
        <v>1420</v>
      </c>
      <c r="I107" s="57">
        <v>6</v>
      </c>
      <c r="J107" s="48">
        <v>3</v>
      </c>
      <c r="K107" s="48">
        <v>3</v>
      </c>
    </row>
    <row r="108" spans="1:11" ht="15.75" customHeight="1" x14ac:dyDescent="0.35">
      <c r="A108" s="55" t="s">
        <v>153</v>
      </c>
      <c r="B108" s="61" t="s">
        <v>186</v>
      </c>
      <c r="C108" s="55">
        <v>99</v>
      </c>
      <c r="D108" s="58">
        <v>0.63</v>
      </c>
      <c r="E108" s="55">
        <v>25.1</v>
      </c>
      <c r="F108" s="55">
        <v>0</v>
      </c>
      <c r="G108" s="55">
        <v>100</v>
      </c>
      <c r="H108" s="55"/>
      <c r="I108" s="57">
        <v>6</v>
      </c>
      <c r="J108" s="48">
        <v>3</v>
      </c>
      <c r="K108" s="48">
        <v>8</v>
      </c>
    </row>
    <row r="109" spans="1:11" ht="15.75" customHeight="1" x14ac:dyDescent="0.35">
      <c r="A109" s="55" t="s">
        <v>153</v>
      </c>
      <c r="B109" s="61" t="s">
        <v>186</v>
      </c>
      <c r="C109" s="55">
        <v>99</v>
      </c>
      <c r="D109" s="58">
        <v>1.67</v>
      </c>
      <c r="E109" s="55">
        <v>25.2</v>
      </c>
      <c r="F109" s="55">
        <v>0</v>
      </c>
      <c r="G109" s="55">
        <v>100</v>
      </c>
      <c r="H109" s="55"/>
      <c r="I109" s="57">
        <v>6</v>
      </c>
      <c r="J109" s="48">
        <v>3</v>
      </c>
      <c r="K109" s="48">
        <v>4</v>
      </c>
    </row>
    <row r="110" spans="1:11" ht="15.75" customHeight="1" x14ac:dyDescent="0.35">
      <c r="A110" s="55" t="s">
        <v>158</v>
      </c>
      <c r="B110" s="61" t="s">
        <v>176</v>
      </c>
      <c r="C110" s="55">
        <v>96</v>
      </c>
      <c r="D110" s="58">
        <v>1.1399999999999999</v>
      </c>
      <c r="E110" s="55">
        <v>26.4</v>
      </c>
      <c r="F110" s="55">
        <v>0</v>
      </c>
      <c r="G110" s="55">
        <v>22</v>
      </c>
      <c r="H110" s="55">
        <v>550</v>
      </c>
      <c r="I110" s="57">
        <v>4</v>
      </c>
      <c r="J110" s="48">
        <v>4</v>
      </c>
      <c r="K110" s="48">
        <v>7</v>
      </c>
    </row>
    <row r="111" spans="1:11" ht="15.75" customHeight="1" x14ac:dyDescent="0.35">
      <c r="A111" s="55" t="s">
        <v>158</v>
      </c>
      <c r="B111" s="61" t="s">
        <v>176</v>
      </c>
      <c r="C111" s="55">
        <v>99</v>
      </c>
      <c r="D111" s="58">
        <v>8.51</v>
      </c>
      <c r="E111" s="55">
        <v>26.5</v>
      </c>
      <c r="F111" s="55">
        <v>0</v>
      </c>
      <c r="G111" s="55">
        <v>36.659999999999997</v>
      </c>
      <c r="H111" s="55"/>
      <c r="I111" s="57">
        <v>4</v>
      </c>
      <c r="J111" s="48">
        <v>9</v>
      </c>
      <c r="K111" s="48">
        <v>9</v>
      </c>
    </row>
    <row r="112" spans="1:11" ht="15.75" customHeight="1" x14ac:dyDescent="0.35">
      <c r="A112" s="55" t="s">
        <v>158</v>
      </c>
      <c r="B112" s="61" t="s">
        <v>176</v>
      </c>
      <c r="C112" s="55">
        <v>99</v>
      </c>
      <c r="D112" s="58">
        <v>8.52</v>
      </c>
      <c r="E112" s="55">
        <v>26.5</v>
      </c>
      <c r="F112" s="55">
        <v>0</v>
      </c>
      <c r="G112" s="55">
        <v>100</v>
      </c>
      <c r="H112" s="55"/>
      <c r="I112" s="57">
        <v>4</v>
      </c>
      <c r="J112" s="48">
        <v>5</v>
      </c>
      <c r="K112" s="48">
        <v>6</v>
      </c>
    </row>
    <row r="113" spans="1:11" ht="15.75" customHeight="1" x14ac:dyDescent="0.35">
      <c r="A113" s="55" t="s">
        <v>158</v>
      </c>
      <c r="B113" s="61" t="s">
        <v>178</v>
      </c>
      <c r="C113" s="55">
        <v>99</v>
      </c>
      <c r="D113" s="58">
        <v>6.93</v>
      </c>
      <c r="E113" s="55">
        <v>23.5</v>
      </c>
      <c r="F113" s="55">
        <v>0</v>
      </c>
      <c r="G113" s="55">
        <v>98</v>
      </c>
      <c r="H113" s="55"/>
      <c r="I113" s="57">
        <v>3</v>
      </c>
      <c r="J113" s="48">
        <v>7</v>
      </c>
      <c r="K113" s="48">
        <v>7</v>
      </c>
    </row>
    <row r="114" spans="1:11" ht="15.75" customHeight="1" x14ac:dyDescent="0.35">
      <c r="A114" s="55" t="s">
        <v>158</v>
      </c>
      <c r="B114" s="61" t="s">
        <v>178</v>
      </c>
      <c r="C114" s="55">
        <v>99</v>
      </c>
      <c r="D114" s="58">
        <v>6.8</v>
      </c>
      <c r="E114" s="55">
        <v>23.5</v>
      </c>
      <c r="F114" s="55">
        <v>0</v>
      </c>
      <c r="G114" s="55">
        <v>100</v>
      </c>
      <c r="H114" s="55"/>
      <c r="I114" s="57">
        <v>3</v>
      </c>
      <c r="J114" s="48">
        <v>1</v>
      </c>
      <c r="K114" s="48">
        <v>1</v>
      </c>
    </row>
    <row r="115" spans="1:11" ht="15.75" customHeight="1" x14ac:dyDescent="0.35">
      <c r="A115" s="55" t="s">
        <v>158</v>
      </c>
      <c r="B115" s="61" t="s">
        <v>200</v>
      </c>
      <c r="C115" s="55">
        <v>89</v>
      </c>
      <c r="D115" s="58">
        <v>2.74</v>
      </c>
      <c r="E115" s="55">
        <v>23.5</v>
      </c>
      <c r="F115" s="55">
        <v>0</v>
      </c>
      <c r="G115" s="55">
        <v>0</v>
      </c>
      <c r="H115" s="55">
        <v>700</v>
      </c>
      <c r="I115" s="57">
        <v>5</v>
      </c>
      <c r="J115" s="48">
        <v>13</v>
      </c>
      <c r="K115" s="48">
        <v>16</v>
      </c>
    </row>
    <row r="116" spans="1:11" ht="15.75" customHeight="1" x14ac:dyDescent="0.35">
      <c r="A116" s="55" t="s">
        <v>158</v>
      </c>
      <c r="B116" s="61" t="s">
        <v>200</v>
      </c>
      <c r="C116" s="55">
        <v>99</v>
      </c>
      <c r="D116" s="58">
        <v>0.32</v>
      </c>
      <c r="E116" s="55">
        <v>21.5</v>
      </c>
      <c r="F116" s="55">
        <v>0</v>
      </c>
      <c r="G116" s="55">
        <v>100</v>
      </c>
      <c r="H116" s="55"/>
      <c r="I116" s="57">
        <v>5</v>
      </c>
      <c r="J116" s="48">
        <v>3</v>
      </c>
      <c r="K116" s="48">
        <v>3</v>
      </c>
    </row>
    <row r="117" spans="1:11" ht="15.75" customHeight="1" x14ac:dyDescent="0.35">
      <c r="A117" s="55" t="s">
        <v>158</v>
      </c>
      <c r="B117" s="61" t="s">
        <v>200</v>
      </c>
      <c r="C117" s="55">
        <v>87</v>
      </c>
      <c r="D117" s="58">
        <v>0.03</v>
      </c>
      <c r="E117" s="55">
        <v>23.2</v>
      </c>
      <c r="F117" s="55">
        <v>0</v>
      </c>
      <c r="G117" s="55">
        <v>100</v>
      </c>
      <c r="H117" s="55"/>
      <c r="I117" s="57">
        <v>5</v>
      </c>
      <c r="J117" s="48">
        <v>3</v>
      </c>
      <c r="K117" s="48">
        <v>3</v>
      </c>
    </row>
    <row r="118" spans="1:11" ht="15.75" customHeight="1" x14ac:dyDescent="0.35">
      <c r="A118" s="55" t="s">
        <v>158</v>
      </c>
      <c r="B118" s="61" t="s">
        <v>200</v>
      </c>
      <c r="C118" s="55">
        <v>85</v>
      </c>
      <c r="D118" s="58">
        <v>0.04</v>
      </c>
      <c r="E118" s="55">
        <v>23.2</v>
      </c>
      <c r="F118" s="55">
        <v>0</v>
      </c>
      <c r="G118" s="55">
        <v>50</v>
      </c>
      <c r="H118" s="55"/>
      <c r="I118" s="57">
        <v>5</v>
      </c>
      <c r="J118" s="48">
        <v>1</v>
      </c>
      <c r="K118" s="48">
        <v>1</v>
      </c>
    </row>
    <row r="119" spans="1:11" ht="15.75" customHeight="1" x14ac:dyDescent="0.35">
      <c r="A119" s="55" t="s">
        <v>158</v>
      </c>
      <c r="B119" s="61" t="s">
        <v>180</v>
      </c>
      <c r="C119" s="55">
        <v>88</v>
      </c>
      <c r="D119" s="58">
        <v>0.69</v>
      </c>
      <c r="E119" s="55">
        <v>23.4</v>
      </c>
      <c r="F119" s="55">
        <v>6</v>
      </c>
      <c r="G119" s="55">
        <v>100</v>
      </c>
      <c r="H119" s="55">
        <v>700</v>
      </c>
      <c r="I119" s="57">
        <v>5</v>
      </c>
      <c r="J119" s="48">
        <v>8</v>
      </c>
      <c r="K119" s="48">
        <v>9</v>
      </c>
    </row>
    <row r="120" spans="1:11" ht="15.75" customHeight="1" x14ac:dyDescent="0.35">
      <c r="A120" s="55" t="s">
        <v>158</v>
      </c>
      <c r="B120" s="61" t="s">
        <v>180</v>
      </c>
      <c r="C120" s="55">
        <v>88</v>
      </c>
      <c r="D120" s="58">
        <v>1.86</v>
      </c>
      <c r="E120" s="55">
        <v>27.2</v>
      </c>
      <c r="F120" s="55">
        <v>0.6</v>
      </c>
      <c r="G120" s="55">
        <v>100</v>
      </c>
      <c r="H120" s="55"/>
      <c r="I120" s="57">
        <v>5</v>
      </c>
      <c r="J120" s="48">
        <v>4</v>
      </c>
      <c r="K120" s="48">
        <v>4</v>
      </c>
    </row>
    <row r="121" spans="1:11" ht="15.75" customHeight="1" x14ac:dyDescent="0.35">
      <c r="A121" s="55" t="s">
        <v>158</v>
      </c>
      <c r="B121" s="61" t="s">
        <v>181</v>
      </c>
      <c r="C121" s="55">
        <v>80</v>
      </c>
      <c r="D121" s="58">
        <v>51.6</v>
      </c>
      <c r="E121" s="55">
        <v>28.7</v>
      </c>
      <c r="F121" s="55">
        <v>2.5</v>
      </c>
      <c r="G121" s="55">
        <v>0</v>
      </c>
      <c r="H121" s="55">
        <v>700</v>
      </c>
      <c r="I121" s="57">
        <v>3</v>
      </c>
      <c r="J121" s="48">
        <v>5</v>
      </c>
      <c r="K121" s="48">
        <v>5</v>
      </c>
    </row>
    <row r="122" spans="1:11" ht="15.75" customHeight="1" x14ac:dyDescent="0.35">
      <c r="A122" s="55" t="s">
        <v>158</v>
      </c>
      <c r="B122" s="61" t="s">
        <v>198</v>
      </c>
      <c r="C122" s="55">
        <v>71</v>
      </c>
      <c r="D122" s="58">
        <v>7.17</v>
      </c>
      <c r="E122" s="55">
        <v>26.1</v>
      </c>
      <c r="F122" s="55">
        <v>1.9</v>
      </c>
      <c r="G122" s="55">
        <v>0</v>
      </c>
      <c r="H122" s="55">
        <v>700</v>
      </c>
      <c r="I122" s="57">
        <v>3</v>
      </c>
      <c r="J122" s="48">
        <v>9</v>
      </c>
      <c r="K122" s="48">
        <v>11</v>
      </c>
    </row>
    <row r="123" spans="1:11" ht="15.75" customHeight="1" x14ac:dyDescent="0.35">
      <c r="A123" s="55" t="s">
        <v>158</v>
      </c>
      <c r="B123" s="61" t="s">
        <v>198</v>
      </c>
      <c r="C123" s="55">
        <v>74</v>
      </c>
      <c r="D123" s="58">
        <v>7.5</v>
      </c>
      <c r="E123" s="55">
        <v>26</v>
      </c>
      <c r="F123" s="55">
        <v>0</v>
      </c>
      <c r="G123" s="55">
        <v>100</v>
      </c>
      <c r="H123" s="55"/>
      <c r="I123" s="57">
        <v>3</v>
      </c>
      <c r="J123" s="48">
        <v>1</v>
      </c>
      <c r="K123" s="48">
        <v>1</v>
      </c>
    </row>
    <row r="124" spans="1:11" ht="15.75" customHeight="1" x14ac:dyDescent="0.35">
      <c r="A124" s="55" t="s">
        <v>158</v>
      </c>
      <c r="B124" s="61" t="s">
        <v>198</v>
      </c>
      <c r="C124" s="55">
        <v>54</v>
      </c>
      <c r="D124" s="58">
        <v>10.85</v>
      </c>
      <c r="E124" s="55">
        <v>28.3</v>
      </c>
      <c r="F124" s="55">
        <v>1.45</v>
      </c>
      <c r="G124" s="55">
        <v>35</v>
      </c>
      <c r="H124" s="55"/>
      <c r="I124" s="57">
        <v>3</v>
      </c>
      <c r="J124" s="48">
        <v>4</v>
      </c>
      <c r="K124" s="48">
        <v>4</v>
      </c>
    </row>
    <row r="125" spans="1:11" ht="15.75" customHeight="1" x14ac:dyDescent="0.35">
      <c r="A125" s="55" t="s">
        <v>158</v>
      </c>
      <c r="B125" s="61" t="s">
        <v>199</v>
      </c>
      <c r="C125" s="48">
        <v>72</v>
      </c>
      <c r="D125" s="48">
        <v>17.850000000000001</v>
      </c>
      <c r="E125" s="48">
        <v>26.9</v>
      </c>
      <c r="F125" s="48">
        <v>1.6</v>
      </c>
      <c r="G125" s="48">
        <v>90</v>
      </c>
      <c r="H125" s="55">
        <v>700</v>
      </c>
      <c r="I125" s="57">
        <v>2</v>
      </c>
      <c r="J125" s="48">
        <v>2</v>
      </c>
      <c r="K125" s="48">
        <v>3</v>
      </c>
    </row>
    <row r="126" spans="1:11" ht="15.75" customHeight="1" x14ac:dyDescent="0.35">
      <c r="A126" s="55" t="s">
        <v>158</v>
      </c>
      <c r="B126" s="61" t="s">
        <v>199</v>
      </c>
      <c r="C126" s="55">
        <v>66</v>
      </c>
      <c r="D126" s="58">
        <v>6.27</v>
      </c>
      <c r="E126" s="55">
        <v>26.2</v>
      </c>
      <c r="F126" s="55">
        <v>0.8</v>
      </c>
      <c r="G126" s="55">
        <v>100</v>
      </c>
      <c r="H126" s="55"/>
      <c r="I126" s="57">
        <v>2</v>
      </c>
      <c r="J126" s="48">
        <v>1</v>
      </c>
      <c r="K126" s="48">
        <v>1</v>
      </c>
    </row>
    <row r="127" spans="1:11" ht="15.75" customHeight="1" x14ac:dyDescent="0.35">
      <c r="A127" s="55" t="s">
        <v>158</v>
      </c>
      <c r="B127" s="61" t="s">
        <v>183</v>
      </c>
      <c r="C127" s="55">
        <v>77</v>
      </c>
      <c r="D127" s="58">
        <v>19</v>
      </c>
      <c r="E127" s="55">
        <v>23.9</v>
      </c>
      <c r="F127" s="55">
        <v>0</v>
      </c>
      <c r="G127" s="55">
        <v>100</v>
      </c>
      <c r="H127" s="55"/>
      <c r="I127" s="57">
        <v>3</v>
      </c>
      <c r="J127" s="48">
        <v>4</v>
      </c>
      <c r="K127" s="48">
        <v>13</v>
      </c>
    </row>
    <row r="128" spans="1:11" ht="15.75" customHeight="1" x14ac:dyDescent="0.35">
      <c r="A128" s="55" t="s">
        <v>158</v>
      </c>
      <c r="B128" s="61" t="s">
        <v>183</v>
      </c>
      <c r="C128" s="55">
        <v>99</v>
      </c>
      <c r="D128" s="58">
        <v>29.59</v>
      </c>
      <c r="E128" s="55">
        <v>24.9</v>
      </c>
      <c r="F128" s="55">
        <v>0.65</v>
      </c>
      <c r="G128" s="55">
        <v>99</v>
      </c>
      <c r="H128" s="55">
        <v>700</v>
      </c>
      <c r="I128" s="57">
        <v>3</v>
      </c>
      <c r="J128" s="48">
        <v>4</v>
      </c>
      <c r="K128" s="48">
        <v>7</v>
      </c>
    </row>
    <row r="129" spans="1:11" ht="15.75" customHeight="1" x14ac:dyDescent="0.35">
      <c r="A129" s="55" t="s">
        <v>158</v>
      </c>
      <c r="B129" s="61" t="s">
        <v>183</v>
      </c>
      <c r="C129" s="55">
        <v>74</v>
      </c>
      <c r="D129" s="58">
        <v>1.52</v>
      </c>
      <c r="E129" s="55">
        <v>19.829999999999998</v>
      </c>
      <c r="F129" s="55">
        <v>0.85</v>
      </c>
      <c r="G129" s="55">
        <v>100</v>
      </c>
      <c r="H129" s="55"/>
      <c r="I129" s="57">
        <v>3</v>
      </c>
      <c r="J129" s="48">
        <v>2</v>
      </c>
      <c r="K129" s="48">
        <v>2</v>
      </c>
    </row>
    <row r="130" spans="1:11" ht="15.75" customHeight="1" x14ac:dyDescent="0.35">
      <c r="A130" s="55" t="s">
        <v>158</v>
      </c>
      <c r="B130" s="61" t="s">
        <v>185</v>
      </c>
      <c r="C130" s="55">
        <v>99</v>
      </c>
      <c r="D130" s="58">
        <v>27.94</v>
      </c>
      <c r="E130" s="55">
        <v>22.3</v>
      </c>
      <c r="F130" s="55">
        <v>1.2</v>
      </c>
      <c r="G130" s="55">
        <v>100</v>
      </c>
      <c r="H130" s="55">
        <v>700</v>
      </c>
      <c r="I130" s="57">
        <v>1</v>
      </c>
      <c r="J130" s="48">
        <v>5</v>
      </c>
      <c r="K130" s="48">
        <v>15</v>
      </c>
    </row>
    <row r="131" spans="1:11" ht="15.75" customHeight="1" x14ac:dyDescent="0.35">
      <c r="A131" s="55" t="s">
        <v>158</v>
      </c>
      <c r="B131" s="61" t="s">
        <v>185</v>
      </c>
      <c r="C131" s="55">
        <v>80</v>
      </c>
      <c r="D131" s="58">
        <v>6.81</v>
      </c>
      <c r="E131" s="55">
        <v>19.03</v>
      </c>
      <c r="F131" s="55">
        <v>1.8</v>
      </c>
      <c r="G131" s="55">
        <v>100</v>
      </c>
      <c r="H131" s="55"/>
      <c r="I131" s="57">
        <v>1</v>
      </c>
      <c r="J131" s="48">
        <v>2</v>
      </c>
      <c r="K131" s="48">
        <v>4</v>
      </c>
    </row>
    <row r="132" spans="1:11" ht="15.75" customHeight="1" x14ac:dyDescent="0.35">
      <c r="A132" s="55" t="s">
        <v>158</v>
      </c>
      <c r="B132" s="61" t="s">
        <v>186</v>
      </c>
      <c r="C132" s="55">
        <v>95</v>
      </c>
      <c r="D132" s="58">
        <v>0.4</v>
      </c>
      <c r="E132" s="55">
        <v>17.100000000000001</v>
      </c>
      <c r="F132" s="55">
        <v>0</v>
      </c>
      <c r="G132" s="55">
        <v>0</v>
      </c>
      <c r="H132" s="55">
        <v>700</v>
      </c>
      <c r="I132" s="57">
        <v>6</v>
      </c>
      <c r="J132" s="48">
        <v>10</v>
      </c>
      <c r="K132" s="48">
        <v>33</v>
      </c>
    </row>
    <row r="133" spans="1:11" ht="15.75" customHeight="1" x14ac:dyDescent="0.35">
      <c r="A133" s="55" t="s">
        <v>158</v>
      </c>
      <c r="B133" s="61" t="s">
        <v>186</v>
      </c>
      <c r="C133" s="55">
        <v>95</v>
      </c>
      <c r="D133" s="58">
        <v>0.42</v>
      </c>
      <c r="E133" s="55">
        <v>17.2</v>
      </c>
      <c r="F133" s="55">
        <v>0</v>
      </c>
      <c r="G133" s="55">
        <v>100</v>
      </c>
      <c r="H133" s="55"/>
      <c r="I133" s="57">
        <v>6</v>
      </c>
      <c r="J133" s="48">
        <v>1</v>
      </c>
      <c r="K133" s="48">
        <v>1</v>
      </c>
    </row>
    <row r="134" spans="1:11" ht="15.75" customHeight="1" x14ac:dyDescent="0.35">
      <c r="A134" s="55" t="s">
        <v>158</v>
      </c>
      <c r="B134" s="61" t="s">
        <v>186</v>
      </c>
      <c r="C134" s="55">
        <v>95</v>
      </c>
      <c r="D134" s="58">
        <v>0.41</v>
      </c>
      <c r="E134" s="55">
        <v>17.100000000000001</v>
      </c>
      <c r="F134" s="55">
        <v>0</v>
      </c>
      <c r="G134" s="55">
        <v>100</v>
      </c>
      <c r="H134" s="55">
        <v>700</v>
      </c>
      <c r="I134" s="57">
        <v>6</v>
      </c>
      <c r="J134" s="48">
        <v>8</v>
      </c>
      <c r="K134" s="48">
        <v>11</v>
      </c>
    </row>
    <row r="135" spans="1:11" ht="15.75" customHeight="1" x14ac:dyDescent="0.35">
      <c r="A135" s="55" t="s">
        <v>158</v>
      </c>
      <c r="B135" s="61" t="s">
        <v>186</v>
      </c>
      <c r="C135" s="55">
        <v>87</v>
      </c>
      <c r="D135" s="58">
        <v>0.16</v>
      </c>
      <c r="E135" s="55">
        <v>20.2</v>
      </c>
      <c r="F135" s="55">
        <v>0</v>
      </c>
      <c r="G135" s="55">
        <v>100</v>
      </c>
      <c r="H135" s="55"/>
      <c r="I135" s="57">
        <v>6</v>
      </c>
      <c r="J135" s="48">
        <v>6</v>
      </c>
      <c r="K135" s="48">
        <v>6</v>
      </c>
    </row>
    <row r="136" spans="1:11" ht="15.75" customHeight="1" x14ac:dyDescent="0.35">
      <c r="A136" s="55" t="s">
        <v>164</v>
      </c>
      <c r="B136" s="61" t="s">
        <v>176</v>
      </c>
      <c r="C136" s="55">
        <v>89</v>
      </c>
      <c r="D136" s="58">
        <v>1.36</v>
      </c>
      <c r="E136" s="55">
        <v>23.18</v>
      </c>
      <c r="F136" s="55">
        <v>0</v>
      </c>
      <c r="G136" s="55">
        <v>100</v>
      </c>
      <c r="H136" s="55"/>
      <c r="I136" s="57">
        <v>4</v>
      </c>
      <c r="J136" s="48">
        <v>8</v>
      </c>
      <c r="K136" s="48">
        <v>11</v>
      </c>
    </row>
    <row r="137" spans="1:11" ht="15.75" customHeight="1" x14ac:dyDescent="0.35">
      <c r="A137" s="55" t="s">
        <v>164</v>
      </c>
      <c r="B137" s="61" t="s">
        <v>177</v>
      </c>
      <c r="C137" s="55">
        <v>94</v>
      </c>
      <c r="D137" s="58">
        <v>7.68</v>
      </c>
      <c r="E137" s="55">
        <v>26.7</v>
      </c>
      <c r="F137" s="55">
        <v>0.75</v>
      </c>
      <c r="G137" s="55">
        <v>100</v>
      </c>
      <c r="H137" s="55"/>
      <c r="I137" s="57">
        <v>3</v>
      </c>
      <c r="J137" s="48">
        <v>6</v>
      </c>
      <c r="K137" s="48">
        <v>8</v>
      </c>
    </row>
    <row r="138" spans="1:11" ht="15.75" customHeight="1" x14ac:dyDescent="0.35">
      <c r="A138" s="55" t="s">
        <v>164</v>
      </c>
      <c r="B138" s="61" t="s">
        <v>177</v>
      </c>
      <c r="C138" s="55">
        <v>90</v>
      </c>
      <c r="D138" s="58">
        <v>1.5</v>
      </c>
      <c r="E138" s="55">
        <v>23.4</v>
      </c>
      <c r="F138" s="55">
        <v>0</v>
      </c>
      <c r="G138" s="55">
        <v>100</v>
      </c>
      <c r="H138" s="55"/>
      <c r="I138" s="57">
        <v>3</v>
      </c>
      <c r="J138" s="48">
        <v>1</v>
      </c>
      <c r="K138" s="48">
        <v>1</v>
      </c>
    </row>
    <row r="139" spans="1:11" ht="15.75" customHeight="1" x14ac:dyDescent="0.35">
      <c r="A139" s="55" t="s">
        <v>164</v>
      </c>
      <c r="B139" s="61" t="s">
        <v>200</v>
      </c>
      <c r="C139" s="55">
        <v>91</v>
      </c>
      <c r="D139" s="58">
        <v>1.1499999999999999</v>
      </c>
      <c r="E139" s="55">
        <v>24.4</v>
      </c>
      <c r="F139" s="55">
        <v>0</v>
      </c>
      <c r="G139" s="55">
        <v>100</v>
      </c>
      <c r="H139" s="55">
        <v>480</v>
      </c>
      <c r="I139" s="57">
        <v>5</v>
      </c>
      <c r="J139" s="48">
        <v>8</v>
      </c>
      <c r="K139" s="48">
        <v>8</v>
      </c>
    </row>
    <row r="140" spans="1:11" ht="15.75" customHeight="1" x14ac:dyDescent="0.35">
      <c r="A140" s="55" t="s">
        <v>164</v>
      </c>
      <c r="B140" s="61" t="s">
        <v>200</v>
      </c>
      <c r="C140" s="55">
        <v>94</v>
      </c>
      <c r="D140" s="58">
        <v>1.2</v>
      </c>
      <c r="E140" s="55">
        <v>24.4</v>
      </c>
      <c r="F140" s="55">
        <v>0</v>
      </c>
      <c r="G140" s="55">
        <v>100</v>
      </c>
      <c r="H140" s="55"/>
      <c r="I140" s="57">
        <v>5</v>
      </c>
      <c r="J140" s="48">
        <v>1</v>
      </c>
      <c r="K140" s="48">
        <v>1</v>
      </c>
    </row>
    <row r="141" spans="1:11" ht="15.75" customHeight="1" x14ac:dyDescent="0.35">
      <c r="A141" s="55" t="s">
        <v>164</v>
      </c>
      <c r="B141" s="61" t="s">
        <v>200</v>
      </c>
      <c r="C141" s="55">
        <v>85</v>
      </c>
      <c r="D141" s="58">
        <v>1.3</v>
      </c>
      <c r="E141" s="55">
        <v>24.4</v>
      </c>
      <c r="F141" s="55">
        <v>0</v>
      </c>
      <c r="G141" s="55">
        <v>100</v>
      </c>
      <c r="H141" s="55"/>
      <c r="I141" s="57">
        <v>5</v>
      </c>
      <c r="J141" s="48">
        <v>8</v>
      </c>
      <c r="K141" s="48">
        <v>8</v>
      </c>
    </row>
    <row r="142" spans="1:11" ht="15.75" customHeight="1" x14ac:dyDescent="0.35">
      <c r="A142" s="55" t="s">
        <v>164</v>
      </c>
      <c r="B142" s="61" t="s">
        <v>180</v>
      </c>
      <c r="C142" s="55">
        <v>91</v>
      </c>
      <c r="D142" s="58">
        <v>0.57999999999999996</v>
      </c>
      <c r="E142" s="55">
        <v>26.4</v>
      </c>
      <c r="F142" s="55">
        <v>0</v>
      </c>
      <c r="G142" s="55">
        <v>100</v>
      </c>
      <c r="H142" s="55">
        <v>780</v>
      </c>
      <c r="I142" s="57">
        <v>5</v>
      </c>
      <c r="J142" s="48">
        <v>10</v>
      </c>
      <c r="K142" s="48">
        <v>10</v>
      </c>
    </row>
    <row r="143" spans="1:11" ht="15.75" customHeight="1" x14ac:dyDescent="0.35">
      <c r="A143" s="55" t="s">
        <v>164</v>
      </c>
      <c r="B143" s="61" t="s">
        <v>180</v>
      </c>
      <c r="C143" s="55">
        <v>91</v>
      </c>
      <c r="D143" s="58">
        <v>0.81</v>
      </c>
      <c r="E143" s="55">
        <v>23.28</v>
      </c>
      <c r="F143" s="55">
        <v>0</v>
      </c>
      <c r="G143" s="55">
        <v>100</v>
      </c>
      <c r="H143" s="55">
        <v>480</v>
      </c>
      <c r="I143" s="57">
        <v>5</v>
      </c>
      <c r="J143" s="48">
        <v>5</v>
      </c>
      <c r="K143" s="48">
        <v>5</v>
      </c>
    </row>
    <row r="144" spans="1:11" ht="15.75" customHeight="1" x14ac:dyDescent="0.35">
      <c r="A144" s="55" t="s">
        <v>164</v>
      </c>
      <c r="B144" s="61" t="s">
        <v>181</v>
      </c>
      <c r="C144" s="55">
        <v>91</v>
      </c>
      <c r="D144" s="58">
        <v>0.81</v>
      </c>
      <c r="E144" s="55">
        <v>23.3</v>
      </c>
      <c r="F144" s="55">
        <v>0</v>
      </c>
      <c r="G144" s="55">
        <v>100</v>
      </c>
      <c r="H144" s="55"/>
      <c r="I144" s="57">
        <v>3</v>
      </c>
      <c r="J144" s="48">
        <v>1</v>
      </c>
      <c r="K144" s="48">
        <v>2</v>
      </c>
    </row>
    <row r="145" spans="1:11" ht="15.75" customHeight="1" x14ac:dyDescent="0.35">
      <c r="A145" s="55" t="s">
        <v>164</v>
      </c>
      <c r="B145" s="61" t="s">
        <v>181</v>
      </c>
      <c r="C145" s="55">
        <v>99</v>
      </c>
      <c r="D145" s="58">
        <v>85.6</v>
      </c>
      <c r="E145" s="55">
        <v>28.5</v>
      </c>
      <c r="F145" s="55">
        <v>1.2</v>
      </c>
      <c r="G145" s="55">
        <v>100</v>
      </c>
      <c r="H145" s="55">
        <v>780</v>
      </c>
      <c r="I145" s="57">
        <v>3</v>
      </c>
      <c r="J145" s="48">
        <v>1</v>
      </c>
      <c r="K145" s="48">
        <v>1</v>
      </c>
    </row>
    <row r="146" spans="1:11" ht="15.75" customHeight="1" x14ac:dyDescent="0.35">
      <c r="A146" s="55" t="s">
        <v>164</v>
      </c>
      <c r="B146" s="61" t="s">
        <v>181</v>
      </c>
      <c r="C146" s="55">
        <v>91</v>
      </c>
      <c r="D146" s="58">
        <v>13.15</v>
      </c>
      <c r="E146" s="55">
        <v>26.13</v>
      </c>
      <c r="F146" s="55">
        <v>0</v>
      </c>
      <c r="G146" s="55">
        <v>100</v>
      </c>
      <c r="H146" s="55">
        <v>480</v>
      </c>
      <c r="I146" s="57">
        <v>3</v>
      </c>
      <c r="J146" s="48">
        <v>3</v>
      </c>
      <c r="K146" s="48">
        <v>3</v>
      </c>
    </row>
    <row r="147" spans="1:11" ht="15.75" customHeight="1" x14ac:dyDescent="0.35">
      <c r="A147" s="55" t="s">
        <v>164</v>
      </c>
      <c r="B147" s="61" t="s">
        <v>198</v>
      </c>
      <c r="C147" s="55">
        <v>75</v>
      </c>
      <c r="D147" s="58">
        <v>17.2</v>
      </c>
      <c r="E147" s="55">
        <v>28</v>
      </c>
      <c r="F147" s="55">
        <v>0</v>
      </c>
      <c r="G147" s="55">
        <v>100</v>
      </c>
      <c r="H147" s="55"/>
      <c r="I147" s="57">
        <v>3</v>
      </c>
      <c r="J147" s="48">
        <v>2</v>
      </c>
      <c r="K147" s="48">
        <v>2</v>
      </c>
    </row>
    <row r="148" spans="1:11" s="75" customFormat="1" ht="15.75" customHeight="1" x14ac:dyDescent="0.35">
      <c r="A148" s="71" t="s">
        <v>164</v>
      </c>
      <c r="B148" s="72" t="s">
        <v>198</v>
      </c>
      <c r="C148" s="71">
        <v>93</v>
      </c>
      <c r="D148" s="73">
        <v>14.5</v>
      </c>
      <c r="E148" s="71">
        <v>28.73</v>
      </c>
      <c r="F148" s="71">
        <v>0</v>
      </c>
      <c r="G148" s="71">
        <v>100</v>
      </c>
      <c r="H148" s="71">
        <v>480</v>
      </c>
      <c r="I148" s="74">
        <v>3</v>
      </c>
      <c r="J148" s="75">
        <v>6</v>
      </c>
      <c r="K148" s="75">
        <v>9</v>
      </c>
    </row>
    <row r="149" spans="1:11" ht="15.75" customHeight="1" x14ac:dyDescent="0.35">
      <c r="A149" s="55" t="s">
        <v>164</v>
      </c>
      <c r="B149" s="61" t="s">
        <v>198</v>
      </c>
      <c r="C149" s="55">
        <v>74</v>
      </c>
      <c r="D149" s="58">
        <v>18</v>
      </c>
      <c r="E149" s="55">
        <v>28</v>
      </c>
      <c r="F149" s="55">
        <v>0</v>
      </c>
      <c r="G149" s="55">
        <v>2</v>
      </c>
      <c r="H149" s="55"/>
      <c r="I149" s="57">
        <v>3</v>
      </c>
      <c r="J149" s="48">
        <v>2</v>
      </c>
      <c r="K149" s="48">
        <v>2</v>
      </c>
    </row>
    <row r="150" spans="1:11" ht="15.75" customHeight="1" x14ac:dyDescent="0.35">
      <c r="A150" s="55" t="s">
        <v>164</v>
      </c>
      <c r="B150" s="61" t="s">
        <v>199</v>
      </c>
      <c r="C150" s="55">
        <v>92</v>
      </c>
      <c r="D150" s="58">
        <v>97.97</v>
      </c>
      <c r="E150" s="55">
        <v>28.73</v>
      </c>
      <c r="F150" s="55">
        <v>0.97</v>
      </c>
      <c r="G150" s="55">
        <v>100</v>
      </c>
      <c r="H150" s="55">
        <v>480</v>
      </c>
      <c r="I150" s="57">
        <v>2</v>
      </c>
      <c r="J150" s="48">
        <v>0</v>
      </c>
      <c r="K150" s="48">
        <v>0</v>
      </c>
    </row>
    <row r="151" spans="1:11" ht="15.75" customHeight="1" x14ac:dyDescent="0.35">
      <c r="A151" s="55" t="s">
        <v>164</v>
      </c>
      <c r="B151" s="61" t="s">
        <v>199</v>
      </c>
      <c r="C151" s="55">
        <v>86.5</v>
      </c>
      <c r="D151" s="58">
        <v>33.18</v>
      </c>
      <c r="E151" s="55">
        <v>25.7</v>
      </c>
      <c r="F151" s="55">
        <v>1.2</v>
      </c>
      <c r="G151" s="55">
        <v>100</v>
      </c>
      <c r="H151" s="55"/>
      <c r="I151" s="57">
        <v>2</v>
      </c>
      <c r="J151" s="48">
        <v>3</v>
      </c>
      <c r="K151" s="48">
        <v>6</v>
      </c>
    </row>
    <row r="152" spans="1:11" ht="15.75" customHeight="1" x14ac:dyDescent="0.35">
      <c r="A152" s="55" t="s">
        <v>164</v>
      </c>
      <c r="B152" s="61" t="s">
        <v>199</v>
      </c>
      <c r="C152" s="55">
        <v>70</v>
      </c>
      <c r="D152" s="58">
        <v>5.91</v>
      </c>
      <c r="E152" s="55">
        <v>20.5</v>
      </c>
      <c r="F152" s="55">
        <v>1.5</v>
      </c>
      <c r="G152" s="55">
        <v>2</v>
      </c>
      <c r="H152" s="55"/>
      <c r="I152" s="57">
        <v>2</v>
      </c>
      <c r="J152" s="48">
        <v>3</v>
      </c>
      <c r="K152" s="48">
        <v>3</v>
      </c>
    </row>
    <row r="153" spans="1:11" ht="15.75" customHeight="1" x14ac:dyDescent="0.35">
      <c r="A153" s="55" t="s">
        <v>164</v>
      </c>
      <c r="B153" s="61" t="s">
        <v>183</v>
      </c>
      <c r="C153" s="55">
        <v>89</v>
      </c>
      <c r="D153" s="58">
        <v>7.61</v>
      </c>
      <c r="E153" s="55">
        <v>23.8</v>
      </c>
      <c r="F153" s="55">
        <v>0.75</v>
      </c>
      <c r="G153" s="55">
        <v>100</v>
      </c>
      <c r="H153" s="55"/>
      <c r="I153" s="57">
        <v>3</v>
      </c>
      <c r="J153" s="48">
        <v>5</v>
      </c>
      <c r="K153" s="48">
        <v>10</v>
      </c>
    </row>
    <row r="154" spans="1:11" ht="15.75" customHeight="1" x14ac:dyDescent="0.35">
      <c r="A154" s="55" t="s">
        <v>164</v>
      </c>
      <c r="B154" s="61" t="s">
        <v>183</v>
      </c>
      <c r="C154" s="55">
        <v>81</v>
      </c>
      <c r="D154" s="58">
        <v>5.23</v>
      </c>
      <c r="E154" s="55">
        <v>27.03</v>
      </c>
      <c r="F154" s="55">
        <v>0</v>
      </c>
      <c r="G154" s="55">
        <v>100</v>
      </c>
      <c r="H154" s="55">
        <v>480</v>
      </c>
      <c r="I154" s="57">
        <v>3</v>
      </c>
      <c r="J154" s="48">
        <v>4</v>
      </c>
      <c r="K154" s="48">
        <v>5</v>
      </c>
    </row>
    <row r="155" spans="1:11" ht="15.75" customHeight="1" x14ac:dyDescent="0.35">
      <c r="A155" s="55" t="s">
        <v>164</v>
      </c>
      <c r="B155" s="61" t="s">
        <v>185</v>
      </c>
      <c r="C155" s="55">
        <v>88</v>
      </c>
      <c r="D155" s="58">
        <v>24.87</v>
      </c>
      <c r="E155" s="55">
        <v>23.25</v>
      </c>
      <c r="F155" s="55">
        <v>0.45</v>
      </c>
      <c r="G155" s="55">
        <v>100</v>
      </c>
      <c r="H155" s="55"/>
      <c r="I155" s="57">
        <v>1</v>
      </c>
      <c r="J155" s="48">
        <v>1</v>
      </c>
      <c r="K155" s="48">
        <v>1</v>
      </c>
    </row>
    <row r="156" spans="1:11" ht="15.75" customHeight="1" x14ac:dyDescent="0.35">
      <c r="A156" s="55" t="s">
        <v>164</v>
      </c>
      <c r="B156" s="61" t="s">
        <v>185</v>
      </c>
      <c r="C156" s="55">
        <v>72</v>
      </c>
      <c r="D156" s="58">
        <v>4.6399999999999997</v>
      </c>
      <c r="E156" s="55">
        <v>24.9</v>
      </c>
      <c r="F156" s="55">
        <v>3.17</v>
      </c>
      <c r="G156" s="55">
        <v>100</v>
      </c>
      <c r="H156" s="55">
        <v>480</v>
      </c>
      <c r="I156" s="57">
        <v>1</v>
      </c>
      <c r="J156" s="48">
        <v>2</v>
      </c>
      <c r="K156" s="48">
        <v>4</v>
      </c>
    </row>
    <row r="157" spans="1:11" ht="15.75" customHeight="1" x14ac:dyDescent="0.35">
      <c r="A157" s="55" t="s">
        <v>164</v>
      </c>
      <c r="B157" s="61" t="s">
        <v>186</v>
      </c>
      <c r="C157" s="55">
        <v>86</v>
      </c>
      <c r="D157" s="58">
        <v>0.14000000000000001</v>
      </c>
      <c r="E157" s="55">
        <v>18.55</v>
      </c>
      <c r="F157" s="55">
        <v>0</v>
      </c>
      <c r="G157" s="55">
        <v>100</v>
      </c>
      <c r="H157" s="55"/>
      <c r="I157" s="57">
        <v>6</v>
      </c>
      <c r="J157" s="48">
        <v>5</v>
      </c>
      <c r="K157" s="48">
        <v>5</v>
      </c>
    </row>
    <row r="158" spans="1:11" ht="15.75" customHeight="1" x14ac:dyDescent="0.35">
      <c r="A158" s="55" t="s">
        <v>164</v>
      </c>
      <c r="B158" s="61" t="s">
        <v>186</v>
      </c>
      <c r="C158" s="55">
        <v>87</v>
      </c>
      <c r="D158" s="58">
        <v>0.15</v>
      </c>
      <c r="E158" s="55">
        <v>15.2</v>
      </c>
      <c r="F158" s="55">
        <v>0</v>
      </c>
      <c r="G158" s="55">
        <v>100</v>
      </c>
      <c r="H158" s="55"/>
      <c r="I158" s="57">
        <v>6</v>
      </c>
      <c r="J158" s="48">
        <v>3</v>
      </c>
      <c r="K158" s="48">
        <v>3</v>
      </c>
    </row>
    <row r="159" spans="1:11" ht="15.75" customHeight="1" x14ac:dyDescent="0.35">
      <c r="A159" s="55" t="s">
        <v>164</v>
      </c>
      <c r="B159" s="61" t="s">
        <v>186</v>
      </c>
      <c r="C159" s="55">
        <v>83</v>
      </c>
      <c r="D159" s="58">
        <v>0.20499999999999999</v>
      </c>
      <c r="E159" s="55">
        <v>24.8</v>
      </c>
      <c r="F159" s="55">
        <v>0</v>
      </c>
      <c r="G159" s="55">
        <v>100</v>
      </c>
      <c r="H159" s="55">
        <v>480</v>
      </c>
      <c r="I159" s="57">
        <v>6</v>
      </c>
      <c r="J159" s="48">
        <v>0</v>
      </c>
      <c r="K159" s="48">
        <v>0</v>
      </c>
    </row>
    <row r="160" spans="1:11" ht="15.75" customHeight="1" x14ac:dyDescent="0.35">
      <c r="A160" s="55" t="s">
        <v>168</v>
      </c>
      <c r="B160" s="55" t="s">
        <v>176</v>
      </c>
      <c r="C160" s="55">
        <v>92</v>
      </c>
      <c r="D160" s="58">
        <v>0.14000000000000001</v>
      </c>
      <c r="E160" s="55">
        <v>22.5</v>
      </c>
      <c r="F160" s="55">
        <v>0</v>
      </c>
      <c r="G160" s="55">
        <v>100</v>
      </c>
      <c r="H160" s="55">
        <v>480</v>
      </c>
      <c r="I160" s="57">
        <v>4</v>
      </c>
      <c r="J160" s="48">
        <v>6</v>
      </c>
      <c r="K160" s="48">
        <v>11</v>
      </c>
    </row>
    <row r="161" spans="1:11" ht="15.75" customHeight="1" x14ac:dyDescent="0.35">
      <c r="A161" s="55" t="s">
        <v>168</v>
      </c>
      <c r="B161" s="55" t="s">
        <v>176</v>
      </c>
      <c r="C161" s="55">
        <v>92</v>
      </c>
      <c r="D161" s="58">
        <v>0.14000000000000001</v>
      </c>
      <c r="E161" s="55">
        <v>22.5</v>
      </c>
      <c r="F161" s="55">
        <v>0</v>
      </c>
      <c r="G161" s="55">
        <v>60</v>
      </c>
      <c r="H161" s="55"/>
      <c r="I161" s="57">
        <v>4</v>
      </c>
      <c r="J161" s="48">
        <v>1</v>
      </c>
      <c r="K161" s="48">
        <v>2</v>
      </c>
    </row>
    <row r="162" spans="1:11" ht="15.75" customHeight="1" x14ac:dyDescent="0.35">
      <c r="A162" s="55" t="s">
        <v>168</v>
      </c>
      <c r="B162" s="55" t="s">
        <v>177</v>
      </c>
      <c r="C162" s="55">
        <v>97</v>
      </c>
      <c r="D162" s="58">
        <v>4.5999999999999996</v>
      </c>
      <c r="E162" s="55">
        <v>24.3</v>
      </c>
      <c r="F162" s="55">
        <v>0</v>
      </c>
      <c r="G162" s="55">
        <v>100</v>
      </c>
      <c r="H162" s="55">
        <v>480</v>
      </c>
      <c r="I162" s="57">
        <v>3</v>
      </c>
      <c r="J162" s="48">
        <v>17</v>
      </c>
      <c r="K162" s="48">
        <v>24</v>
      </c>
    </row>
    <row r="163" spans="1:11" ht="15.75" customHeight="1" x14ac:dyDescent="0.35">
      <c r="A163" s="55" t="s">
        <v>168</v>
      </c>
      <c r="B163" s="55" t="s">
        <v>200</v>
      </c>
      <c r="C163" s="55">
        <v>99</v>
      </c>
      <c r="D163" s="58">
        <v>24.2</v>
      </c>
      <c r="E163" s="55">
        <v>26.1</v>
      </c>
      <c r="F163" s="55">
        <v>0</v>
      </c>
      <c r="G163" s="55">
        <v>60</v>
      </c>
      <c r="H163" s="55"/>
      <c r="I163" s="57">
        <v>5</v>
      </c>
      <c r="J163" s="48">
        <v>1</v>
      </c>
      <c r="K163" s="48">
        <v>1</v>
      </c>
    </row>
    <row r="164" spans="1:11" ht="15.75" customHeight="1" x14ac:dyDescent="0.35">
      <c r="A164" s="55" t="s">
        <v>168</v>
      </c>
      <c r="B164" s="55" t="s">
        <v>200</v>
      </c>
      <c r="C164" s="55">
        <v>99</v>
      </c>
      <c r="D164" s="58">
        <v>24.2</v>
      </c>
      <c r="E164" s="55">
        <v>26.1</v>
      </c>
      <c r="F164" s="55">
        <v>0</v>
      </c>
      <c r="G164" s="55">
        <v>35</v>
      </c>
      <c r="H164" s="55">
        <v>480</v>
      </c>
      <c r="I164" s="57">
        <v>5</v>
      </c>
      <c r="J164" s="48">
        <v>11</v>
      </c>
      <c r="K164" s="48">
        <v>11</v>
      </c>
    </row>
    <row r="165" spans="1:11" ht="15.75" customHeight="1" x14ac:dyDescent="0.35">
      <c r="A165" s="55" t="s">
        <v>168</v>
      </c>
      <c r="B165" s="55" t="s">
        <v>200</v>
      </c>
      <c r="C165" s="55">
        <v>84</v>
      </c>
      <c r="D165" s="58">
        <v>0.17</v>
      </c>
      <c r="E165" s="55">
        <v>24</v>
      </c>
      <c r="F165" s="55">
        <v>0</v>
      </c>
      <c r="G165" s="55">
        <v>100</v>
      </c>
      <c r="H165" s="55"/>
      <c r="I165" s="57">
        <v>5</v>
      </c>
      <c r="J165" s="48">
        <v>2</v>
      </c>
      <c r="K165" s="48">
        <v>2</v>
      </c>
    </row>
    <row r="166" spans="1:11" ht="15.75" customHeight="1" x14ac:dyDescent="0.35">
      <c r="A166" s="55" t="s">
        <v>168</v>
      </c>
      <c r="B166" s="55" t="s">
        <v>180</v>
      </c>
      <c r="C166" s="55">
        <v>97</v>
      </c>
      <c r="D166" s="58">
        <v>1.08</v>
      </c>
      <c r="E166" s="55">
        <v>25.4</v>
      </c>
      <c r="F166" s="55">
        <v>0</v>
      </c>
      <c r="G166" s="55">
        <v>100</v>
      </c>
      <c r="H166" s="55"/>
      <c r="I166" s="57">
        <v>5</v>
      </c>
      <c r="J166" s="48">
        <v>6</v>
      </c>
      <c r="K166" s="48">
        <v>8</v>
      </c>
    </row>
    <row r="167" spans="1:11" ht="15.75" customHeight="1" x14ac:dyDescent="0.35">
      <c r="A167" s="55" t="s">
        <v>168</v>
      </c>
      <c r="B167" s="55" t="s">
        <v>180</v>
      </c>
      <c r="C167" s="55">
        <v>97</v>
      </c>
      <c r="D167" s="58">
        <v>1.08</v>
      </c>
      <c r="E167" s="55">
        <v>25.4</v>
      </c>
      <c r="F167" s="55">
        <v>0</v>
      </c>
      <c r="G167" s="55">
        <v>65</v>
      </c>
      <c r="H167" s="55">
        <v>480</v>
      </c>
      <c r="I167" s="57">
        <v>5</v>
      </c>
      <c r="J167" s="48">
        <v>9</v>
      </c>
      <c r="K167" s="48">
        <v>9</v>
      </c>
    </row>
    <row r="168" spans="1:11" ht="15.75" customHeight="1" x14ac:dyDescent="0.35">
      <c r="A168" s="55" t="s">
        <v>168</v>
      </c>
      <c r="B168" s="48" t="s">
        <v>180</v>
      </c>
      <c r="C168" s="48">
        <v>80</v>
      </c>
      <c r="D168" s="76">
        <v>0.04</v>
      </c>
      <c r="E168" s="48">
        <v>25.3</v>
      </c>
      <c r="F168" s="48">
        <v>0</v>
      </c>
      <c r="G168" s="48">
        <v>100</v>
      </c>
      <c r="H168" s="55"/>
      <c r="I168" s="49">
        <v>5</v>
      </c>
      <c r="J168" s="48">
        <v>0</v>
      </c>
      <c r="K168" s="48">
        <v>0</v>
      </c>
    </row>
    <row r="169" spans="1:11" ht="15.75" customHeight="1" x14ac:dyDescent="0.35">
      <c r="A169" s="55" t="s">
        <v>168</v>
      </c>
      <c r="B169" s="48" t="s">
        <v>181</v>
      </c>
      <c r="C169" s="48">
        <v>87</v>
      </c>
      <c r="D169" s="76">
        <v>9.8000000000000007</v>
      </c>
      <c r="E169" s="48">
        <v>34.5</v>
      </c>
      <c r="F169" s="48">
        <v>0</v>
      </c>
      <c r="G169" s="48">
        <v>90</v>
      </c>
      <c r="I169" s="49">
        <v>3</v>
      </c>
      <c r="J169" s="48">
        <v>4</v>
      </c>
      <c r="K169" s="48">
        <v>4</v>
      </c>
    </row>
    <row r="170" spans="1:11" ht="15.75" customHeight="1" x14ac:dyDescent="0.35">
      <c r="A170" s="55" t="s">
        <v>168</v>
      </c>
      <c r="B170" s="48" t="s">
        <v>181</v>
      </c>
      <c r="C170" s="48">
        <v>87</v>
      </c>
      <c r="D170" s="76">
        <v>9.8000000000000007</v>
      </c>
      <c r="E170" s="48">
        <v>34.5</v>
      </c>
      <c r="F170" s="48">
        <v>0</v>
      </c>
      <c r="G170" s="48">
        <v>0</v>
      </c>
      <c r="H170" s="48">
        <v>480</v>
      </c>
      <c r="I170" s="49">
        <v>3</v>
      </c>
      <c r="J170" s="48">
        <v>3</v>
      </c>
      <c r="K170" s="48">
        <v>3</v>
      </c>
    </row>
    <row r="171" spans="1:11" ht="15.75" customHeight="1" x14ac:dyDescent="0.35">
      <c r="A171" s="55" t="s">
        <v>168</v>
      </c>
      <c r="B171" s="48" t="s">
        <v>181</v>
      </c>
      <c r="C171" s="48">
        <v>80</v>
      </c>
      <c r="D171" s="76">
        <v>1.5</v>
      </c>
      <c r="E171" s="48">
        <v>26.9</v>
      </c>
      <c r="F171" s="48">
        <v>0</v>
      </c>
      <c r="G171" s="48">
        <v>100</v>
      </c>
      <c r="I171" s="49">
        <v>3</v>
      </c>
      <c r="J171" s="48">
        <v>3</v>
      </c>
      <c r="K171" s="48">
        <v>4</v>
      </c>
    </row>
    <row r="172" spans="1:11" ht="15.75" customHeight="1" x14ac:dyDescent="0.35">
      <c r="A172" s="55" t="s">
        <v>168</v>
      </c>
      <c r="B172" s="48" t="s">
        <v>198</v>
      </c>
      <c r="C172" s="48">
        <v>81</v>
      </c>
      <c r="D172" s="76">
        <v>36.6</v>
      </c>
      <c r="E172" s="48">
        <v>31.4</v>
      </c>
      <c r="F172" s="48">
        <v>0.8</v>
      </c>
      <c r="G172" s="48">
        <v>96</v>
      </c>
      <c r="H172" s="48">
        <v>480</v>
      </c>
      <c r="I172" s="49">
        <v>3</v>
      </c>
      <c r="J172" s="48">
        <v>7</v>
      </c>
      <c r="K172" s="48">
        <v>7</v>
      </c>
    </row>
    <row r="173" spans="1:11" ht="15.75" customHeight="1" x14ac:dyDescent="0.35">
      <c r="A173" s="55" t="s">
        <v>168</v>
      </c>
      <c r="B173" s="48" t="s">
        <v>198</v>
      </c>
      <c r="C173" s="48">
        <v>79</v>
      </c>
      <c r="D173" s="76">
        <v>13.35</v>
      </c>
      <c r="E173" s="48">
        <v>29.2</v>
      </c>
      <c r="F173" s="48">
        <v>0</v>
      </c>
      <c r="G173" s="48">
        <v>100</v>
      </c>
      <c r="I173" s="49">
        <v>3</v>
      </c>
      <c r="J173" s="48">
        <v>2</v>
      </c>
      <c r="K173" s="48">
        <v>2</v>
      </c>
    </row>
    <row r="174" spans="1:11" ht="15.75" customHeight="1" x14ac:dyDescent="0.35">
      <c r="A174" s="55" t="s">
        <v>168</v>
      </c>
      <c r="B174" s="48" t="s">
        <v>199</v>
      </c>
      <c r="C174" s="48">
        <v>92</v>
      </c>
      <c r="D174" s="76">
        <v>15.6</v>
      </c>
      <c r="E174" s="48">
        <v>23.5</v>
      </c>
      <c r="F174" s="48">
        <v>0.7</v>
      </c>
      <c r="G174" s="48">
        <v>2</v>
      </c>
      <c r="H174" s="48">
        <v>480</v>
      </c>
      <c r="I174" s="49">
        <v>2</v>
      </c>
      <c r="J174" s="48">
        <v>1</v>
      </c>
      <c r="K174" s="48">
        <v>1</v>
      </c>
    </row>
    <row r="175" spans="1:11" ht="15.75" customHeight="1" x14ac:dyDescent="0.35">
      <c r="A175" s="55" t="s">
        <v>168</v>
      </c>
      <c r="B175" s="48" t="s">
        <v>199</v>
      </c>
      <c r="C175" s="48">
        <v>79</v>
      </c>
      <c r="D175" s="76">
        <v>7.6</v>
      </c>
      <c r="E175" s="48">
        <v>25.4</v>
      </c>
      <c r="F175" s="48">
        <v>0</v>
      </c>
      <c r="G175" s="48">
        <v>100</v>
      </c>
      <c r="I175" s="49">
        <v>2</v>
      </c>
      <c r="J175" s="48">
        <v>2</v>
      </c>
      <c r="K175" s="48">
        <v>5</v>
      </c>
    </row>
    <row r="176" spans="1:11" ht="15.75" customHeight="1" x14ac:dyDescent="0.35">
      <c r="A176" s="55" t="s">
        <v>168</v>
      </c>
      <c r="B176" s="48" t="s">
        <v>183</v>
      </c>
      <c r="C176" s="48">
        <v>89</v>
      </c>
      <c r="D176" s="76">
        <v>1.1000000000000001</v>
      </c>
      <c r="E176" s="48">
        <v>22.3</v>
      </c>
      <c r="F176" s="48">
        <v>0</v>
      </c>
      <c r="G176" s="48">
        <v>2</v>
      </c>
      <c r="I176" s="49">
        <v>3</v>
      </c>
      <c r="J176" s="48">
        <v>7</v>
      </c>
      <c r="K176" s="48">
        <v>10</v>
      </c>
    </row>
    <row r="177" spans="1:11" ht="15.75" customHeight="1" x14ac:dyDescent="0.35">
      <c r="A177" s="55" t="s">
        <v>168</v>
      </c>
      <c r="B177" s="48" t="s">
        <v>183</v>
      </c>
      <c r="C177" s="48">
        <v>89</v>
      </c>
      <c r="D177" s="76">
        <v>1</v>
      </c>
      <c r="E177" s="48">
        <v>22.2</v>
      </c>
      <c r="F177" s="48">
        <v>0</v>
      </c>
      <c r="G177" s="48">
        <v>100</v>
      </c>
      <c r="H177" s="48">
        <v>1420</v>
      </c>
      <c r="I177" s="49">
        <v>3</v>
      </c>
      <c r="J177" s="48">
        <v>4</v>
      </c>
      <c r="K177" s="48">
        <v>4</v>
      </c>
    </row>
    <row r="178" spans="1:11" ht="15.75" customHeight="1" x14ac:dyDescent="0.35">
      <c r="A178" s="55" t="s">
        <v>168</v>
      </c>
      <c r="B178" s="48" t="s">
        <v>183</v>
      </c>
      <c r="C178" s="48">
        <v>72</v>
      </c>
      <c r="D178" s="48">
        <v>0.75</v>
      </c>
      <c r="E178" s="48">
        <v>25</v>
      </c>
      <c r="F178" s="48">
        <v>0.9</v>
      </c>
      <c r="G178" s="48">
        <v>100</v>
      </c>
      <c r="I178" s="49">
        <v>3</v>
      </c>
      <c r="J178" s="48">
        <v>2</v>
      </c>
      <c r="K178" s="48">
        <v>3</v>
      </c>
    </row>
    <row r="179" spans="1:11" ht="15.75" customHeight="1" x14ac:dyDescent="0.35">
      <c r="A179" s="55" t="s">
        <v>168</v>
      </c>
      <c r="B179" s="48" t="s">
        <v>185</v>
      </c>
      <c r="C179" s="48">
        <v>60</v>
      </c>
      <c r="D179" s="76">
        <v>44</v>
      </c>
      <c r="E179" s="48">
        <v>32.6</v>
      </c>
      <c r="F179" s="48">
        <v>0</v>
      </c>
      <c r="G179" s="48">
        <v>85</v>
      </c>
      <c r="H179" s="48">
        <v>1420</v>
      </c>
      <c r="I179" s="49">
        <v>1</v>
      </c>
      <c r="J179" s="48">
        <v>2</v>
      </c>
      <c r="K179" s="48">
        <v>4</v>
      </c>
    </row>
    <row r="180" spans="1:11" ht="15.75" customHeight="1" x14ac:dyDescent="0.35">
      <c r="A180" s="55" t="s">
        <v>168</v>
      </c>
      <c r="B180" s="48" t="s">
        <v>185</v>
      </c>
      <c r="C180" s="48">
        <v>79</v>
      </c>
      <c r="D180" s="76">
        <v>39.200000000000003</v>
      </c>
      <c r="E180" s="48">
        <v>31.4</v>
      </c>
      <c r="F180" s="48">
        <v>0</v>
      </c>
      <c r="G180" s="48">
        <v>100</v>
      </c>
      <c r="I180" s="49">
        <v>1</v>
      </c>
      <c r="J180" s="48">
        <v>0</v>
      </c>
      <c r="K180" s="48">
        <v>0</v>
      </c>
    </row>
    <row r="181" spans="1:11" ht="15.75" customHeight="1" x14ac:dyDescent="0.35">
      <c r="A181" s="55" t="s">
        <v>168</v>
      </c>
      <c r="B181" s="48" t="s">
        <v>186</v>
      </c>
      <c r="C181" s="48">
        <v>76</v>
      </c>
      <c r="D181" s="76">
        <v>1.53</v>
      </c>
      <c r="E181" s="48">
        <v>25.4</v>
      </c>
      <c r="F181" s="48">
        <v>0</v>
      </c>
      <c r="G181" s="48">
        <v>100</v>
      </c>
      <c r="H181" s="48">
        <v>1420</v>
      </c>
      <c r="I181" s="49">
        <v>6</v>
      </c>
      <c r="J181" s="48">
        <v>4</v>
      </c>
      <c r="K181" s="48">
        <v>5</v>
      </c>
    </row>
    <row r="182" spans="1:11" ht="15.75" customHeight="1" x14ac:dyDescent="0.35">
      <c r="A182" s="48" t="s">
        <v>172</v>
      </c>
      <c r="B182" s="48" t="s">
        <v>176</v>
      </c>
      <c r="C182" s="48">
        <v>81</v>
      </c>
      <c r="D182" s="76">
        <v>1.6</v>
      </c>
      <c r="E182" s="48">
        <v>26.5</v>
      </c>
      <c r="F182" s="48">
        <v>0</v>
      </c>
      <c r="G182" s="48">
        <v>30</v>
      </c>
      <c r="I182" s="49">
        <v>4</v>
      </c>
      <c r="J182" s="48">
        <v>12</v>
      </c>
      <c r="K182" s="48">
        <v>18</v>
      </c>
    </row>
    <row r="183" spans="1:11" ht="15.75" customHeight="1" x14ac:dyDescent="0.35">
      <c r="A183" s="48" t="s">
        <v>172</v>
      </c>
      <c r="B183" s="48" t="s">
        <v>177</v>
      </c>
      <c r="C183" s="48">
        <v>96</v>
      </c>
      <c r="D183" s="76">
        <v>1.1299999999999999</v>
      </c>
      <c r="E183" s="48">
        <v>26.4</v>
      </c>
      <c r="F183" s="48">
        <v>0</v>
      </c>
      <c r="G183" s="48">
        <v>100</v>
      </c>
      <c r="I183" s="49">
        <v>3</v>
      </c>
      <c r="J183" s="48">
        <v>5</v>
      </c>
      <c r="K183" s="48">
        <v>5</v>
      </c>
    </row>
    <row r="184" spans="1:11" ht="15.75" customHeight="1" x14ac:dyDescent="0.35">
      <c r="A184" s="48" t="s">
        <v>172</v>
      </c>
      <c r="B184" s="48" t="s">
        <v>200</v>
      </c>
      <c r="C184" s="48">
        <v>99</v>
      </c>
      <c r="D184" s="76">
        <v>0.28000000000000003</v>
      </c>
      <c r="E184" s="48">
        <v>23.5</v>
      </c>
      <c r="F184" s="48">
        <v>0</v>
      </c>
      <c r="G184" s="48">
        <v>100</v>
      </c>
      <c r="H184" s="48">
        <v>650</v>
      </c>
      <c r="I184" s="49">
        <v>5</v>
      </c>
      <c r="J184" s="48">
        <v>7</v>
      </c>
      <c r="K184" s="48">
        <v>10</v>
      </c>
    </row>
    <row r="185" spans="1:11" ht="15.75" customHeight="1" x14ac:dyDescent="0.35">
      <c r="A185" s="48" t="s">
        <v>172</v>
      </c>
      <c r="B185" s="48" t="s">
        <v>180</v>
      </c>
      <c r="C185" s="48">
        <v>96</v>
      </c>
      <c r="D185" s="76">
        <v>0.64</v>
      </c>
      <c r="E185" s="48">
        <v>24.9</v>
      </c>
      <c r="F185" s="48">
        <v>0</v>
      </c>
      <c r="G185" s="48">
        <v>100</v>
      </c>
      <c r="H185" s="48">
        <v>650</v>
      </c>
      <c r="I185" s="49">
        <v>5</v>
      </c>
      <c r="J185" s="48">
        <v>9</v>
      </c>
      <c r="K185" s="48">
        <v>9</v>
      </c>
    </row>
    <row r="186" spans="1:11" ht="15.75" customHeight="1" x14ac:dyDescent="0.35">
      <c r="A186" s="48" t="s">
        <v>172</v>
      </c>
      <c r="B186" s="48" t="s">
        <v>181</v>
      </c>
      <c r="C186" s="48">
        <v>98</v>
      </c>
      <c r="D186" s="76">
        <v>2.2799999999999998</v>
      </c>
      <c r="E186" s="48">
        <v>23.7</v>
      </c>
      <c r="F186" s="48">
        <v>0</v>
      </c>
      <c r="G186" s="48">
        <v>100</v>
      </c>
      <c r="H186" s="48">
        <v>650</v>
      </c>
      <c r="I186" s="49">
        <v>3</v>
      </c>
      <c r="J186" s="48">
        <v>4</v>
      </c>
      <c r="K186" s="48">
        <v>4</v>
      </c>
    </row>
    <row r="187" spans="1:11" ht="15.75" customHeight="1" x14ac:dyDescent="0.35">
      <c r="A187" s="48" t="s">
        <v>172</v>
      </c>
      <c r="B187" s="48" t="s">
        <v>198</v>
      </c>
      <c r="C187" s="48">
        <v>99</v>
      </c>
      <c r="D187" s="76">
        <v>7.2350000000000003</v>
      </c>
      <c r="E187" s="48">
        <v>24.6</v>
      </c>
      <c r="F187" s="48">
        <v>1.4</v>
      </c>
      <c r="G187" s="48">
        <v>100</v>
      </c>
      <c r="H187" s="48">
        <v>650</v>
      </c>
      <c r="I187" s="49">
        <v>3</v>
      </c>
      <c r="J187" s="48">
        <v>10</v>
      </c>
      <c r="K187" s="48">
        <v>16</v>
      </c>
    </row>
    <row r="188" spans="1:11" ht="15.75" customHeight="1" x14ac:dyDescent="0.35">
      <c r="A188" s="48" t="s">
        <v>172</v>
      </c>
      <c r="B188" s="48" t="s">
        <v>199</v>
      </c>
      <c r="C188" s="48">
        <v>78</v>
      </c>
      <c r="D188" s="76">
        <v>17.850000000000001</v>
      </c>
      <c r="E188" s="48">
        <v>26.8</v>
      </c>
      <c r="F188" s="48">
        <v>0.7</v>
      </c>
      <c r="G188" s="48">
        <v>100</v>
      </c>
      <c r="H188" s="48">
        <v>650</v>
      </c>
      <c r="I188" s="49">
        <v>2</v>
      </c>
      <c r="J188" s="48">
        <v>3</v>
      </c>
      <c r="K188" s="48">
        <v>3</v>
      </c>
    </row>
    <row r="189" spans="1:11" ht="15.75" customHeight="1" x14ac:dyDescent="0.35">
      <c r="A189" s="48" t="s">
        <v>172</v>
      </c>
      <c r="B189" s="48" t="s">
        <v>183</v>
      </c>
      <c r="C189" s="48">
        <v>92</v>
      </c>
      <c r="D189" s="76">
        <v>44.68</v>
      </c>
      <c r="E189" s="48">
        <v>23.2</v>
      </c>
      <c r="F189" s="48">
        <v>0.6</v>
      </c>
      <c r="G189" s="48">
        <v>0</v>
      </c>
      <c r="I189" s="49">
        <v>3</v>
      </c>
      <c r="J189" s="48">
        <v>8</v>
      </c>
      <c r="K189" s="48">
        <v>9</v>
      </c>
    </row>
    <row r="190" spans="1:11" ht="15.75" customHeight="1" x14ac:dyDescent="0.35">
      <c r="A190" s="48" t="s">
        <v>172</v>
      </c>
      <c r="B190" s="48" t="s">
        <v>183</v>
      </c>
      <c r="C190" s="48">
        <v>84</v>
      </c>
      <c r="D190" s="76">
        <v>0.5</v>
      </c>
      <c r="E190" s="48">
        <v>25.9</v>
      </c>
      <c r="F190" s="48">
        <v>0</v>
      </c>
      <c r="G190" s="48">
        <v>100</v>
      </c>
      <c r="I190" s="49">
        <v>3</v>
      </c>
      <c r="J190" s="48">
        <v>4</v>
      </c>
      <c r="K190" s="48">
        <v>4</v>
      </c>
    </row>
    <row r="191" spans="1:11" ht="15.75" customHeight="1" x14ac:dyDescent="0.35">
      <c r="A191" s="48" t="s">
        <v>172</v>
      </c>
      <c r="B191" s="48" t="s">
        <v>186</v>
      </c>
      <c r="C191" s="48">
        <v>83</v>
      </c>
      <c r="D191" s="76">
        <v>1.1299999999999999</v>
      </c>
      <c r="E191" s="48">
        <v>25.5</v>
      </c>
      <c r="F191" s="48">
        <v>0</v>
      </c>
      <c r="G191" s="48">
        <v>100</v>
      </c>
      <c r="I191" s="49">
        <v>6</v>
      </c>
      <c r="J191" s="48">
        <v>9</v>
      </c>
      <c r="K191" s="48">
        <v>19</v>
      </c>
    </row>
    <row r="192" spans="1:11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>
      <c r="D236" s="76"/>
    </row>
    <row r="237" spans="4:4" ht="15.75" customHeight="1" x14ac:dyDescent="0.35">
      <c r="D237" s="76"/>
    </row>
    <row r="238" spans="4:4" ht="15.75" customHeight="1" x14ac:dyDescent="0.35">
      <c r="D238" s="76"/>
    </row>
    <row r="239" spans="4:4" ht="15.75" customHeight="1" x14ac:dyDescent="0.35">
      <c r="D239" s="76"/>
    </row>
    <row r="240" spans="4:4" ht="15.75" customHeight="1" x14ac:dyDescent="0.35">
      <c r="D240" s="76"/>
    </row>
    <row r="241" spans="4:4" ht="15.75" customHeight="1" x14ac:dyDescent="0.35">
      <c r="D241" s="76"/>
    </row>
    <row r="242" spans="4:4" ht="15.75" customHeight="1" x14ac:dyDescent="0.35">
      <c r="D242" s="76"/>
    </row>
    <row r="243" spans="4:4" ht="15.75" customHeight="1" x14ac:dyDescent="0.35">
      <c r="D243" s="76"/>
    </row>
    <row r="244" spans="4:4" ht="15.75" customHeight="1" x14ac:dyDescent="0.35">
      <c r="D244" s="76"/>
    </row>
    <row r="245" spans="4:4" ht="15.75" customHeight="1" x14ac:dyDescent="0.35">
      <c r="D245" s="76"/>
    </row>
    <row r="246" spans="4:4" ht="15.75" customHeight="1" x14ac:dyDescent="0.35">
      <c r="D246" s="76"/>
    </row>
    <row r="247" spans="4:4" ht="15.75" customHeight="1" x14ac:dyDescent="0.35">
      <c r="D247" s="76"/>
    </row>
    <row r="248" spans="4:4" ht="15.75" customHeight="1" x14ac:dyDescent="0.35">
      <c r="D248" s="76"/>
    </row>
    <row r="249" spans="4:4" ht="15.75" customHeight="1" x14ac:dyDescent="0.35">
      <c r="D249" s="76"/>
    </row>
    <row r="250" spans="4:4" ht="15.75" customHeight="1" x14ac:dyDescent="0.35">
      <c r="D250" s="76"/>
    </row>
    <row r="251" spans="4:4" ht="15.75" customHeight="1" x14ac:dyDescent="0.35">
      <c r="D251" s="76"/>
    </row>
    <row r="252" spans="4:4" ht="15.75" customHeight="1" x14ac:dyDescent="0.35">
      <c r="D252" s="76"/>
    </row>
    <row r="253" spans="4:4" ht="15.75" customHeight="1" x14ac:dyDescent="0.35">
      <c r="D253" s="76"/>
    </row>
    <row r="254" spans="4:4" ht="15.75" customHeight="1" x14ac:dyDescent="0.35">
      <c r="D254" s="76"/>
    </row>
    <row r="255" spans="4:4" ht="15.75" customHeight="1" x14ac:dyDescent="0.35">
      <c r="D255" s="76"/>
    </row>
    <row r="256" spans="4:4" ht="15.75" customHeight="1" x14ac:dyDescent="0.35">
      <c r="D256" s="76"/>
    </row>
    <row r="257" spans="4:4" ht="15.75" customHeight="1" x14ac:dyDescent="0.35">
      <c r="D257" s="76"/>
    </row>
    <row r="258" spans="4:4" ht="15.75" customHeight="1" x14ac:dyDescent="0.35">
      <c r="D258" s="76"/>
    </row>
    <row r="259" spans="4:4" ht="15.75" customHeight="1" x14ac:dyDescent="0.35">
      <c r="D259" s="76"/>
    </row>
    <row r="260" spans="4:4" ht="15.75" customHeight="1" x14ac:dyDescent="0.35">
      <c r="D260" s="76"/>
    </row>
    <row r="261" spans="4:4" ht="15.75" customHeight="1" x14ac:dyDescent="0.35">
      <c r="D261" s="76"/>
    </row>
    <row r="262" spans="4:4" ht="15.75" customHeight="1" x14ac:dyDescent="0.35">
      <c r="D262" s="76"/>
    </row>
    <row r="263" spans="4:4" ht="15.75" customHeight="1" x14ac:dyDescent="0.35">
      <c r="D263" s="76"/>
    </row>
    <row r="264" spans="4:4" ht="15.75" customHeight="1" x14ac:dyDescent="0.35"/>
    <row r="265" spans="4:4" ht="15.75" customHeight="1" x14ac:dyDescent="0.35"/>
    <row r="266" spans="4:4" ht="15.75" customHeight="1" x14ac:dyDescent="0.35"/>
    <row r="267" spans="4:4" ht="15.75" customHeight="1" x14ac:dyDescent="0.35"/>
    <row r="268" spans="4:4" ht="15.75" customHeight="1" x14ac:dyDescent="0.35"/>
    <row r="269" spans="4:4" ht="15.75" customHeight="1" x14ac:dyDescent="0.35"/>
    <row r="270" spans="4:4" ht="15.75" customHeight="1" x14ac:dyDescent="0.35"/>
    <row r="271" spans="4:4" ht="15.75" customHeight="1" x14ac:dyDescent="0.35"/>
    <row r="272" spans="4: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1"/>
  <sheetViews>
    <sheetView topLeftCell="A2" zoomScale="80" workbookViewId="0">
      <selection activeCell="A2" sqref="A2:K2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120" x14ac:dyDescent="0.35">
      <c r="A2" s="51" t="s">
        <v>196</v>
      </c>
      <c r="B2" s="51" t="s">
        <v>187</v>
      </c>
      <c r="C2" s="52" t="s">
        <v>188</v>
      </c>
      <c r="D2" s="54" t="s">
        <v>189</v>
      </c>
      <c r="E2" s="52" t="s">
        <v>190</v>
      </c>
      <c r="F2" s="52" t="s">
        <v>191</v>
      </c>
      <c r="G2" s="52" t="s">
        <v>192</v>
      </c>
      <c r="H2" s="52" t="s">
        <v>197</v>
      </c>
      <c r="I2" s="53" t="s">
        <v>194</v>
      </c>
      <c r="J2" s="48" t="s">
        <v>195</v>
      </c>
      <c r="K2" s="48" t="s">
        <v>175</v>
      </c>
    </row>
    <row r="3" spans="1:11" ht="15.75" customHeight="1" x14ac:dyDescent="0.35">
      <c r="A3" s="55" t="s">
        <v>146</v>
      </c>
      <c r="B3" s="61" t="s">
        <v>200</v>
      </c>
      <c r="C3" s="55">
        <v>94</v>
      </c>
      <c r="D3" s="70">
        <v>0.5</v>
      </c>
      <c r="E3" s="55">
        <v>24.8</v>
      </c>
      <c r="F3" s="55">
        <v>0</v>
      </c>
      <c r="G3" s="55">
        <v>100</v>
      </c>
      <c r="H3" s="55">
        <v>870</v>
      </c>
      <c r="I3" s="57">
        <v>5</v>
      </c>
      <c r="J3" s="48">
        <v>2</v>
      </c>
      <c r="K3" s="48">
        <v>6</v>
      </c>
    </row>
    <row r="4" spans="1:11" ht="15.75" customHeight="1" x14ac:dyDescent="0.35">
      <c r="A4" s="55" t="s">
        <v>146</v>
      </c>
      <c r="B4" s="61" t="s">
        <v>181</v>
      </c>
      <c r="C4" s="55">
        <v>99</v>
      </c>
      <c r="D4" s="58">
        <v>7.59</v>
      </c>
      <c r="E4" s="55">
        <v>23.9</v>
      </c>
      <c r="F4" s="55">
        <v>0</v>
      </c>
      <c r="G4" s="55">
        <v>100</v>
      </c>
      <c r="H4" s="55">
        <v>870</v>
      </c>
      <c r="I4" s="57">
        <v>3</v>
      </c>
      <c r="J4" s="48">
        <v>5</v>
      </c>
      <c r="K4" s="48">
        <v>6</v>
      </c>
    </row>
    <row r="5" spans="1:11" ht="15.75" customHeight="1" x14ac:dyDescent="0.35">
      <c r="A5" s="55" t="s">
        <v>146</v>
      </c>
      <c r="B5" s="61" t="s">
        <v>198</v>
      </c>
      <c r="C5" s="55">
        <v>99</v>
      </c>
      <c r="D5" s="58">
        <v>13.05</v>
      </c>
      <c r="E5" s="55">
        <v>25.9</v>
      </c>
      <c r="F5" s="55">
        <v>0.45</v>
      </c>
      <c r="G5" s="55">
        <v>100</v>
      </c>
      <c r="H5" s="55">
        <v>870</v>
      </c>
      <c r="I5" s="57">
        <v>3</v>
      </c>
      <c r="J5" s="48">
        <v>4</v>
      </c>
      <c r="K5" s="48">
        <v>4</v>
      </c>
    </row>
    <row r="6" spans="1:11" ht="15.75" customHeight="1" x14ac:dyDescent="0.35">
      <c r="A6" s="55" t="s">
        <v>146</v>
      </c>
      <c r="B6" s="61" t="s">
        <v>199</v>
      </c>
      <c r="C6" s="55">
        <v>93</v>
      </c>
      <c r="D6" s="58">
        <v>6.64</v>
      </c>
      <c r="E6" s="55">
        <v>26</v>
      </c>
      <c r="F6" s="55">
        <v>0</v>
      </c>
      <c r="G6" s="55">
        <v>100</v>
      </c>
      <c r="H6" s="55">
        <v>870</v>
      </c>
      <c r="I6" s="57">
        <v>2</v>
      </c>
      <c r="J6" s="48">
        <v>7</v>
      </c>
      <c r="K6" s="48">
        <v>13</v>
      </c>
    </row>
    <row r="7" spans="1:11" ht="15.75" customHeight="1" x14ac:dyDescent="0.35">
      <c r="A7" s="55" t="s">
        <v>146</v>
      </c>
      <c r="B7" s="61" t="s">
        <v>183</v>
      </c>
      <c r="C7" s="55">
        <v>79</v>
      </c>
      <c r="D7" s="58">
        <v>15.5</v>
      </c>
      <c r="E7" s="55">
        <v>28.3</v>
      </c>
      <c r="F7" s="55">
        <v>0</v>
      </c>
      <c r="G7" s="55">
        <v>100</v>
      </c>
      <c r="H7" s="55">
        <v>1360</v>
      </c>
      <c r="I7" s="57">
        <v>3</v>
      </c>
      <c r="J7" s="48">
        <v>3</v>
      </c>
      <c r="K7" s="48">
        <v>3</v>
      </c>
    </row>
    <row r="8" spans="1:11" ht="15.75" customHeight="1" x14ac:dyDescent="0.35">
      <c r="A8" s="55" t="s">
        <v>146</v>
      </c>
      <c r="B8" s="61" t="s">
        <v>185</v>
      </c>
      <c r="C8" s="55">
        <v>86</v>
      </c>
      <c r="D8" s="58">
        <v>19.5</v>
      </c>
      <c r="E8" s="55">
        <v>27.4</v>
      </c>
      <c r="F8" s="55">
        <v>2.9</v>
      </c>
      <c r="G8" s="55">
        <v>100</v>
      </c>
      <c r="H8" s="55">
        <v>1360</v>
      </c>
      <c r="I8" s="57">
        <v>1</v>
      </c>
      <c r="J8" s="48">
        <v>3</v>
      </c>
      <c r="K8" s="48">
        <v>5</v>
      </c>
    </row>
    <row r="9" spans="1:11" ht="15.75" customHeight="1" x14ac:dyDescent="0.35">
      <c r="A9" s="55" t="s">
        <v>146</v>
      </c>
      <c r="B9" s="61" t="s">
        <v>186</v>
      </c>
      <c r="C9" s="55">
        <v>79</v>
      </c>
      <c r="D9" s="58">
        <v>0.56999999999999995</v>
      </c>
      <c r="E9" s="55">
        <v>24.8</v>
      </c>
      <c r="F9" s="55">
        <v>0</v>
      </c>
      <c r="G9" s="55">
        <v>100</v>
      </c>
      <c r="H9" s="55">
        <v>1360</v>
      </c>
      <c r="I9" s="57">
        <v>6</v>
      </c>
      <c r="J9" s="48">
        <v>3</v>
      </c>
      <c r="K9" s="48">
        <v>4</v>
      </c>
    </row>
    <row r="10" spans="1:11" ht="15.75" customHeight="1" x14ac:dyDescent="0.35">
      <c r="A10" s="55" t="s">
        <v>153</v>
      </c>
      <c r="B10" s="61" t="s">
        <v>176</v>
      </c>
      <c r="C10" s="55">
        <v>99</v>
      </c>
      <c r="D10" s="58">
        <v>6.06</v>
      </c>
      <c r="E10" s="55">
        <v>25.35</v>
      </c>
      <c r="F10" s="55">
        <v>0</v>
      </c>
      <c r="G10" s="55">
        <v>100</v>
      </c>
      <c r="H10" s="55">
        <v>580</v>
      </c>
      <c r="I10" s="57">
        <v>4</v>
      </c>
      <c r="J10" s="48">
        <v>9</v>
      </c>
      <c r="K10" s="48">
        <v>9</v>
      </c>
    </row>
    <row r="11" spans="1:11" ht="15.75" customHeight="1" x14ac:dyDescent="0.35">
      <c r="A11" s="55" t="s">
        <v>153</v>
      </c>
      <c r="B11" s="61" t="s">
        <v>177</v>
      </c>
      <c r="C11" s="55">
        <v>98</v>
      </c>
      <c r="D11" s="58">
        <v>0.77</v>
      </c>
      <c r="E11" s="55">
        <v>22.6</v>
      </c>
      <c r="F11" s="55">
        <v>0</v>
      </c>
      <c r="G11" s="55">
        <v>100</v>
      </c>
      <c r="H11" s="55">
        <v>580</v>
      </c>
      <c r="I11" s="57">
        <v>3</v>
      </c>
      <c r="J11" s="48">
        <v>8</v>
      </c>
      <c r="K11" s="48">
        <v>14</v>
      </c>
    </row>
    <row r="12" spans="1:11" ht="15.75" customHeight="1" x14ac:dyDescent="0.35">
      <c r="A12" s="55" t="s">
        <v>153</v>
      </c>
      <c r="B12" s="61" t="s">
        <v>200</v>
      </c>
      <c r="C12" s="55">
        <v>98</v>
      </c>
      <c r="D12" s="58">
        <v>3.69</v>
      </c>
      <c r="E12" s="55">
        <v>22.35</v>
      </c>
      <c r="F12" s="55">
        <v>0</v>
      </c>
      <c r="G12" s="55">
        <v>0</v>
      </c>
      <c r="H12" s="55">
        <v>870</v>
      </c>
      <c r="I12" s="57">
        <v>5</v>
      </c>
      <c r="J12" s="48">
        <v>3</v>
      </c>
      <c r="K12" s="48">
        <v>7</v>
      </c>
    </row>
    <row r="13" spans="1:11" ht="15.75" customHeight="1" x14ac:dyDescent="0.35">
      <c r="A13" s="55" t="s">
        <v>153</v>
      </c>
      <c r="B13" s="61" t="s">
        <v>200</v>
      </c>
      <c r="C13" s="55">
        <v>98</v>
      </c>
      <c r="D13" s="58">
        <v>3.69</v>
      </c>
      <c r="E13" s="55">
        <v>22.35</v>
      </c>
      <c r="F13" s="55">
        <v>0</v>
      </c>
      <c r="G13" s="55">
        <v>0</v>
      </c>
      <c r="H13" s="55">
        <v>870</v>
      </c>
      <c r="I13" s="57">
        <v>5</v>
      </c>
      <c r="J13" s="48">
        <v>13</v>
      </c>
      <c r="K13" s="48">
        <v>14</v>
      </c>
    </row>
    <row r="14" spans="1:11" ht="15.75" customHeight="1" x14ac:dyDescent="0.35">
      <c r="A14" s="55" t="s">
        <v>153</v>
      </c>
      <c r="B14" s="61" t="s">
        <v>180</v>
      </c>
      <c r="C14" s="55">
        <v>85</v>
      </c>
      <c r="D14" s="58">
        <v>3.81</v>
      </c>
      <c r="E14" s="55">
        <v>25</v>
      </c>
      <c r="F14" s="55">
        <v>0</v>
      </c>
      <c r="G14" s="55">
        <v>78.33</v>
      </c>
      <c r="H14" s="55">
        <v>870</v>
      </c>
      <c r="I14" s="57">
        <v>5</v>
      </c>
      <c r="J14" s="48">
        <v>3</v>
      </c>
      <c r="K14" s="48">
        <v>3</v>
      </c>
    </row>
    <row r="15" spans="1:11" ht="15.75" customHeight="1" x14ac:dyDescent="0.35">
      <c r="A15" s="55" t="s">
        <v>153</v>
      </c>
      <c r="B15" s="61" t="s">
        <v>181</v>
      </c>
      <c r="C15" s="55">
        <v>85</v>
      </c>
      <c r="D15" s="58">
        <v>13.84</v>
      </c>
      <c r="E15" s="55">
        <v>26.7</v>
      </c>
      <c r="F15" s="55">
        <v>0</v>
      </c>
      <c r="G15" s="55">
        <v>100</v>
      </c>
      <c r="H15" s="55">
        <v>870</v>
      </c>
      <c r="I15" s="57">
        <v>3</v>
      </c>
      <c r="J15" s="48">
        <v>4</v>
      </c>
      <c r="K15" s="48">
        <v>6</v>
      </c>
    </row>
    <row r="16" spans="1:11" ht="15.75" customHeight="1" x14ac:dyDescent="0.35">
      <c r="A16" s="55" t="s">
        <v>153</v>
      </c>
      <c r="B16" s="61" t="s">
        <v>198</v>
      </c>
      <c r="C16" s="55">
        <v>90</v>
      </c>
      <c r="D16" s="58">
        <v>8.44</v>
      </c>
      <c r="E16" s="55">
        <v>27.4</v>
      </c>
      <c r="F16" s="55">
        <v>0.8</v>
      </c>
      <c r="G16" s="55">
        <v>100</v>
      </c>
      <c r="H16" s="55">
        <v>870</v>
      </c>
      <c r="I16" s="57">
        <v>3</v>
      </c>
      <c r="J16" s="48">
        <v>12</v>
      </c>
      <c r="K16" s="48">
        <v>17</v>
      </c>
    </row>
    <row r="17" spans="1:11" ht="15.75" customHeight="1" x14ac:dyDescent="0.35">
      <c r="A17" s="55" t="s">
        <v>153</v>
      </c>
      <c r="B17" s="61" t="s">
        <v>199</v>
      </c>
      <c r="C17" s="55">
        <v>77</v>
      </c>
      <c r="D17" s="70">
        <v>1.79</v>
      </c>
      <c r="E17" s="55">
        <v>23.98</v>
      </c>
      <c r="F17" s="55">
        <v>0.83</v>
      </c>
      <c r="G17" s="55">
        <v>100</v>
      </c>
      <c r="H17" s="55">
        <v>1100</v>
      </c>
      <c r="I17" s="57">
        <v>2</v>
      </c>
      <c r="J17" s="48">
        <v>3</v>
      </c>
      <c r="K17" s="48">
        <v>3</v>
      </c>
    </row>
    <row r="18" spans="1:11" ht="15.75" customHeight="1" x14ac:dyDescent="0.35">
      <c r="A18" s="55" t="s">
        <v>153</v>
      </c>
      <c r="B18" s="61" t="s">
        <v>199</v>
      </c>
      <c r="C18" s="55">
        <v>78</v>
      </c>
      <c r="D18" s="70">
        <v>20.350000000000001</v>
      </c>
      <c r="E18" s="55">
        <v>22.55</v>
      </c>
      <c r="F18" s="55">
        <v>0</v>
      </c>
      <c r="G18" s="55">
        <v>38.33</v>
      </c>
      <c r="H18" s="48">
        <v>1420</v>
      </c>
      <c r="I18" s="57">
        <v>2</v>
      </c>
      <c r="J18" s="48">
        <v>6</v>
      </c>
      <c r="K18" s="48">
        <v>14</v>
      </c>
    </row>
    <row r="19" spans="1:11" ht="15.75" customHeight="1" x14ac:dyDescent="0.35">
      <c r="A19" s="55" t="s">
        <v>153</v>
      </c>
      <c r="B19" s="61" t="s">
        <v>183</v>
      </c>
      <c r="C19" s="55">
        <v>95</v>
      </c>
      <c r="D19" s="58">
        <v>10.69</v>
      </c>
      <c r="E19" s="55">
        <v>22.8</v>
      </c>
      <c r="F19" s="55">
        <v>1.2</v>
      </c>
      <c r="G19" s="55">
        <v>100</v>
      </c>
      <c r="H19" s="55">
        <v>1100</v>
      </c>
      <c r="I19" s="57">
        <v>3</v>
      </c>
      <c r="J19" s="48">
        <v>4</v>
      </c>
      <c r="K19" s="48">
        <v>7</v>
      </c>
    </row>
    <row r="20" spans="1:11" ht="15.75" customHeight="1" x14ac:dyDescent="0.35">
      <c r="A20" s="55" t="s">
        <v>153</v>
      </c>
      <c r="B20" s="61" t="s">
        <v>183</v>
      </c>
      <c r="C20" s="55">
        <v>95</v>
      </c>
      <c r="D20" s="58">
        <v>5.99</v>
      </c>
      <c r="E20" s="55">
        <v>25.7</v>
      </c>
      <c r="F20" s="55">
        <v>0</v>
      </c>
      <c r="G20" s="55">
        <v>100</v>
      </c>
      <c r="H20" s="55">
        <v>1420</v>
      </c>
      <c r="I20" s="57">
        <v>3</v>
      </c>
      <c r="J20" s="48">
        <v>5</v>
      </c>
      <c r="K20" s="48">
        <v>7</v>
      </c>
    </row>
    <row r="21" spans="1:11" ht="15.75" customHeight="1" x14ac:dyDescent="0.35">
      <c r="A21" s="55" t="s">
        <v>153</v>
      </c>
      <c r="B21" s="61" t="s">
        <v>185</v>
      </c>
      <c r="C21" s="55">
        <v>80</v>
      </c>
      <c r="D21" s="70">
        <v>14.7</v>
      </c>
      <c r="E21" s="55">
        <v>24.13</v>
      </c>
      <c r="F21" s="55">
        <v>2.1</v>
      </c>
      <c r="G21" s="55">
        <v>100</v>
      </c>
      <c r="H21" s="55">
        <v>1420</v>
      </c>
      <c r="I21" s="57">
        <v>1</v>
      </c>
      <c r="J21" s="48">
        <v>3</v>
      </c>
      <c r="K21" s="48">
        <v>11</v>
      </c>
    </row>
    <row r="22" spans="1:11" ht="15.75" customHeight="1" x14ac:dyDescent="0.35">
      <c r="A22" s="55" t="s">
        <v>153</v>
      </c>
      <c r="B22" s="61" t="s">
        <v>185</v>
      </c>
      <c r="C22" s="55">
        <v>99</v>
      </c>
      <c r="D22" s="70">
        <v>12.46</v>
      </c>
      <c r="E22" s="55">
        <v>22.9</v>
      </c>
      <c r="F22" s="55">
        <v>0</v>
      </c>
      <c r="G22" s="55">
        <v>100</v>
      </c>
      <c r="H22" s="55">
        <v>1420</v>
      </c>
      <c r="I22" s="57">
        <v>1</v>
      </c>
      <c r="J22" s="48">
        <v>4</v>
      </c>
      <c r="K22" s="48">
        <v>5</v>
      </c>
    </row>
    <row r="23" spans="1:11" ht="15.75" customHeight="1" x14ac:dyDescent="0.35">
      <c r="A23" s="55" t="s">
        <v>153</v>
      </c>
      <c r="B23" s="61" t="s">
        <v>186</v>
      </c>
      <c r="C23" s="55">
        <v>95</v>
      </c>
      <c r="D23" s="58">
        <v>1.44</v>
      </c>
      <c r="E23" s="55">
        <v>25.1</v>
      </c>
      <c r="F23" s="55">
        <v>0</v>
      </c>
      <c r="G23" s="55">
        <v>100</v>
      </c>
      <c r="H23" s="55">
        <v>1420</v>
      </c>
      <c r="I23" s="57">
        <v>6</v>
      </c>
      <c r="J23" s="48">
        <v>2</v>
      </c>
      <c r="K23" s="48">
        <v>7</v>
      </c>
    </row>
    <row r="24" spans="1:11" ht="15.75" customHeight="1" x14ac:dyDescent="0.35">
      <c r="A24" s="55" t="s">
        <v>153</v>
      </c>
      <c r="B24" s="61" t="s">
        <v>186</v>
      </c>
      <c r="C24" s="55">
        <v>99</v>
      </c>
      <c r="D24" s="58">
        <v>0.54</v>
      </c>
      <c r="E24" s="55">
        <v>21.9</v>
      </c>
      <c r="F24" s="55">
        <v>0</v>
      </c>
      <c r="G24" s="55">
        <v>100</v>
      </c>
      <c r="H24" s="55">
        <v>1420</v>
      </c>
      <c r="I24" s="57">
        <v>6</v>
      </c>
      <c r="J24" s="48">
        <v>3</v>
      </c>
      <c r="K24" s="48">
        <v>3</v>
      </c>
    </row>
    <row r="25" spans="1:11" ht="15.75" customHeight="1" x14ac:dyDescent="0.35">
      <c r="A25" s="55" t="s">
        <v>158</v>
      </c>
      <c r="B25" s="61" t="s">
        <v>176</v>
      </c>
      <c r="C25" s="55">
        <v>96</v>
      </c>
      <c r="D25" s="58">
        <v>1.1399999999999999</v>
      </c>
      <c r="E25" s="55">
        <v>26.4</v>
      </c>
      <c r="F25" s="55">
        <v>0</v>
      </c>
      <c r="G25" s="55">
        <v>22</v>
      </c>
      <c r="H25" s="55">
        <v>550</v>
      </c>
      <c r="I25" s="57">
        <v>4</v>
      </c>
      <c r="J25" s="48">
        <v>4</v>
      </c>
      <c r="K25" s="48">
        <v>7</v>
      </c>
    </row>
    <row r="26" spans="1:11" ht="15.75" customHeight="1" x14ac:dyDescent="0.35">
      <c r="A26" s="55" t="s">
        <v>158</v>
      </c>
      <c r="B26" s="61" t="s">
        <v>200</v>
      </c>
      <c r="C26" s="55">
        <v>89</v>
      </c>
      <c r="D26" s="58">
        <v>2.74</v>
      </c>
      <c r="E26" s="55">
        <v>23.5</v>
      </c>
      <c r="F26" s="55">
        <v>0</v>
      </c>
      <c r="G26" s="55">
        <v>0</v>
      </c>
      <c r="H26" s="55">
        <v>700</v>
      </c>
      <c r="I26" s="57">
        <v>5</v>
      </c>
      <c r="J26" s="48">
        <v>13</v>
      </c>
      <c r="K26" s="48">
        <v>16</v>
      </c>
    </row>
    <row r="27" spans="1:11" ht="15.75" customHeight="1" x14ac:dyDescent="0.35">
      <c r="A27" s="55" t="s">
        <v>158</v>
      </c>
      <c r="B27" s="61" t="s">
        <v>180</v>
      </c>
      <c r="C27" s="55">
        <v>88</v>
      </c>
      <c r="D27" s="58">
        <v>0.69</v>
      </c>
      <c r="E27" s="55">
        <v>23.4</v>
      </c>
      <c r="F27" s="55">
        <v>6</v>
      </c>
      <c r="G27" s="55">
        <v>100</v>
      </c>
      <c r="H27" s="55">
        <v>700</v>
      </c>
      <c r="I27" s="57">
        <v>5</v>
      </c>
      <c r="J27" s="48">
        <v>8</v>
      </c>
      <c r="K27" s="48">
        <v>9</v>
      </c>
    </row>
    <row r="28" spans="1:11" ht="15.75" customHeight="1" x14ac:dyDescent="0.35">
      <c r="A28" s="55" t="s">
        <v>158</v>
      </c>
      <c r="B28" s="61" t="s">
        <v>181</v>
      </c>
      <c r="C28" s="55">
        <v>80</v>
      </c>
      <c r="D28" s="58">
        <v>51.6</v>
      </c>
      <c r="E28" s="55">
        <v>28.7</v>
      </c>
      <c r="F28" s="55">
        <v>2.5</v>
      </c>
      <c r="G28" s="55">
        <v>0</v>
      </c>
      <c r="H28" s="55">
        <v>700</v>
      </c>
      <c r="I28" s="57">
        <v>3</v>
      </c>
      <c r="J28" s="48">
        <v>5</v>
      </c>
      <c r="K28" s="48">
        <v>5</v>
      </c>
    </row>
    <row r="29" spans="1:11" ht="15.75" customHeight="1" x14ac:dyDescent="0.35">
      <c r="A29" s="55" t="s">
        <v>158</v>
      </c>
      <c r="B29" s="61" t="s">
        <v>198</v>
      </c>
      <c r="C29" s="55">
        <v>71</v>
      </c>
      <c r="D29" s="58">
        <v>7.17</v>
      </c>
      <c r="E29" s="55">
        <v>26.1</v>
      </c>
      <c r="F29" s="55">
        <v>1.9</v>
      </c>
      <c r="G29" s="55">
        <v>0</v>
      </c>
      <c r="H29" s="55">
        <v>700</v>
      </c>
      <c r="I29" s="57">
        <v>3</v>
      </c>
      <c r="J29" s="48">
        <v>9</v>
      </c>
      <c r="K29" s="48">
        <v>11</v>
      </c>
    </row>
    <row r="30" spans="1:11" ht="15.75" customHeight="1" x14ac:dyDescent="0.35">
      <c r="A30" s="55" t="s">
        <v>158</v>
      </c>
      <c r="B30" s="61" t="s">
        <v>199</v>
      </c>
      <c r="C30" s="48">
        <v>72</v>
      </c>
      <c r="D30" s="48">
        <v>17.850000000000001</v>
      </c>
      <c r="E30" s="48">
        <v>26.9</v>
      </c>
      <c r="F30" s="48">
        <v>1.6</v>
      </c>
      <c r="G30" s="48">
        <v>90</v>
      </c>
      <c r="H30" s="55">
        <v>700</v>
      </c>
      <c r="I30" s="57">
        <v>2</v>
      </c>
      <c r="J30" s="48">
        <v>2</v>
      </c>
      <c r="K30" s="48">
        <v>3</v>
      </c>
    </row>
    <row r="31" spans="1:11" ht="15.75" customHeight="1" x14ac:dyDescent="0.35">
      <c r="A31" s="55" t="s">
        <v>158</v>
      </c>
      <c r="B31" s="61" t="s">
        <v>183</v>
      </c>
      <c r="C31" s="55">
        <v>99</v>
      </c>
      <c r="D31" s="58">
        <v>29.59</v>
      </c>
      <c r="E31" s="55">
        <v>24.9</v>
      </c>
      <c r="F31" s="55">
        <v>0.65</v>
      </c>
      <c r="G31" s="55">
        <v>99</v>
      </c>
      <c r="H31" s="55">
        <v>700</v>
      </c>
      <c r="I31" s="57">
        <v>3</v>
      </c>
      <c r="J31" s="48">
        <v>4</v>
      </c>
      <c r="K31" s="48">
        <v>7</v>
      </c>
    </row>
    <row r="32" spans="1:11" ht="15.75" customHeight="1" x14ac:dyDescent="0.35">
      <c r="A32" s="55" t="s">
        <v>158</v>
      </c>
      <c r="B32" s="61" t="s">
        <v>185</v>
      </c>
      <c r="C32" s="55">
        <v>99</v>
      </c>
      <c r="D32" s="58">
        <v>27.94</v>
      </c>
      <c r="E32" s="55">
        <v>22.3</v>
      </c>
      <c r="F32" s="55">
        <v>1.2</v>
      </c>
      <c r="G32" s="55">
        <v>100</v>
      </c>
      <c r="H32" s="55">
        <v>700</v>
      </c>
      <c r="I32" s="57">
        <v>1</v>
      </c>
      <c r="J32" s="48">
        <v>5</v>
      </c>
      <c r="K32" s="48">
        <v>15</v>
      </c>
    </row>
    <row r="33" spans="1:11" ht="15.75" customHeight="1" x14ac:dyDescent="0.35">
      <c r="A33" s="55" t="s">
        <v>158</v>
      </c>
      <c r="B33" s="61" t="s">
        <v>186</v>
      </c>
      <c r="C33" s="55">
        <v>95</v>
      </c>
      <c r="D33" s="58">
        <v>0.4</v>
      </c>
      <c r="E33" s="55">
        <v>17.100000000000001</v>
      </c>
      <c r="F33" s="55">
        <v>0</v>
      </c>
      <c r="G33" s="55">
        <v>0</v>
      </c>
      <c r="H33" s="55">
        <v>700</v>
      </c>
      <c r="I33" s="57">
        <v>6</v>
      </c>
      <c r="J33" s="48">
        <v>10</v>
      </c>
      <c r="K33" s="48">
        <v>33</v>
      </c>
    </row>
    <row r="34" spans="1:11" ht="15.75" customHeight="1" x14ac:dyDescent="0.35">
      <c r="A34" s="55" t="s">
        <v>158</v>
      </c>
      <c r="B34" s="61" t="s">
        <v>186</v>
      </c>
      <c r="C34" s="55">
        <v>95</v>
      </c>
      <c r="D34" s="58">
        <v>0.41</v>
      </c>
      <c r="E34" s="55">
        <v>17.100000000000001</v>
      </c>
      <c r="F34" s="55">
        <v>0</v>
      </c>
      <c r="G34" s="55">
        <v>100</v>
      </c>
      <c r="H34" s="55">
        <v>700</v>
      </c>
      <c r="I34" s="57">
        <v>6</v>
      </c>
      <c r="J34" s="48">
        <v>8</v>
      </c>
      <c r="K34" s="48">
        <v>11</v>
      </c>
    </row>
    <row r="35" spans="1:11" ht="15.75" customHeight="1" x14ac:dyDescent="0.35">
      <c r="A35" s="55" t="s">
        <v>164</v>
      </c>
      <c r="B35" s="61" t="s">
        <v>200</v>
      </c>
      <c r="C35" s="55">
        <v>91</v>
      </c>
      <c r="D35" s="58">
        <v>1.1499999999999999</v>
      </c>
      <c r="E35" s="55">
        <v>24.4</v>
      </c>
      <c r="F35" s="55">
        <v>0</v>
      </c>
      <c r="G35" s="55">
        <v>100</v>
      </c>
      <c r="H35" s="55">
        <v>480</v>
      </c>
      <c r="I35" s="57">
        <v>5</v>
      </c>
      <c r="J35" s="48">
        <v>8</v>
      </c>
      <c r="K35" s="48">
        <v>8</v>
      </c>
    </row>
    <row r="36" spans="1:11" ht="15.75" customHeight="1" x14ac:dyDescent="0.35">
      <c r="A36" s="55" t="s">
        <v>164</v>
      </c>
      <c r="B36" s="61" t="s">
        <v>180</v>
      </c>
      <c r="C36" s="55">
        <v>91</v>
      </c>
      <c r="D36" s="58">
        <v>0.57999999999999996</v>
      </c>
      <c r="E36" s="55">
        <v>26.4</v>
      </c>
      <c r="F36" s="55">
        <v>0</v>
      </c>
      <c r="G36" s="55">
        <v>100</v>
      </c>
      <c r="H36" s="55">
        <v>780</v>
      </c>
      <c r="I36" s="57">
        <v>5</v>
      </c>
      <c r="J36" s="48">
        <v>10</v>
      </c>
      <c r="K36" s="48">
        <v>10</v>
      </c>
    </row>
    <row r="37" spans="1:11" ht="15.75" customHeight="1" x14ac:dyDescent="0.35">
      <c r="A37" s="55" t="s">
        <v>164</v>
      </c>
      <c r="B37" s="61" t="s">
        <v>180</v>
      </c>
      <c r="C37" s="55">
        <v>91</v>
      </c>
      <c r="D37" s="58">
        <v>0.81</v>
      </c>
      <c r="E37" s="55">
        <v>23.28</v>
      </c>
      <c r="F37" s="55">
        <v>0</v>
      </c>
      <c r="G37" s="55">
        <v>100</v>
      </c>
      <c r="H37" s="55">
        <v>480</v>
      </c>
      <c r="I37" s="57">
        <v>5</v>
      </c>
      <c r="J37" s="48">
        <v>5</v>
      </c>
      <c r="K37" s="48">
        <v>5</v>
      </c>
    </row>
    <row r="38" spans="1:11" ht="15.75" customHeight="1" x14ac:dyDescent="0.35">
      <c r="A38" s="55" t="s">
        <v>164</v>
      </c>
      <c r="B38" s="61" t="s">
        <v>181</v>
      </c>
      <c r="C38" s="55">
        <v>99</v>
      </c>
      <c r="D38" s="58">
        <v>85.6</v>
      </c>
      <c r="E38" s="55">
        <v>28.5</v>
      </c>
      <c r="F38" s="55">
        <v>1.2</v>
      </c>
      <c r="G38" s="55">
        <v>100</v>
      </c>
      <c r="H38" s="55">
        <v>780</v>
      </c>
      <c r="I38" s="57">
        <v>3</v>
      </c>
      <c r="J38" s="48">
        <v>1</v>
      </c>
      <c r="K38" s="48">
        <v>1</v>
      </c>
    </row>
    <row r="39" spans="1:11" ht="15.75" customHeight="1" x14ac:dyDescent="0.35">
      <c r="A39" s="55" t="s">
        <v>164</v>
      </c>
      <c r="B39" s="61" t="s">
        <v>181</v>
      </c>
      <c r="C39" s="55">
        <v>91</v>
      </c>
      <c r="D39" s="58">
        <v>13.15</v>
      </c>
      <c r="E39" s="55">
        <v>26.13</v>
      </c>
      <c r="F39" s="55">
        <v>0</v>
      </c>
      <c r="G39" s="55">
        <v>100</v>
      </c>
      <c r="H39" s="55">
        <v>480</v>
      </c>
      <c r="I39" s="57">
        <v>3</v>
      </c>
      <c r="J39" s="48">
        <v>3</v>
      </c>
      <c r="K39" s="48">
        <v>3</v>
      </c>
    </row>
    <row r="40" spans="1:11" s="75" customFormat="1" ht="15.75" customHeight="1" x14ac:dyDescent="0.35">
      <c r="A40" s="71" t="s">
        <v>164</v>
      </c>
      <c r="B40" s="72" t="s">
        <v>198</v>
      </c>
      <c r="C40" s="71">
        <v>93</v>
      </c>
      <c r="D40" s="73">
        <v>14.5</v>
      </c>
      <c r="E40" s="71">
        <v>28.73</v>
      </c>
      <c r="F40" s="71">
        <v>0</v>
      </c>
      <c r="G40" s="71">
        <v>100</v>
      </c>
      <c r="H40" s="71">
        <v>480</v>
      </c>
      <c r="I40" s="74">
        <v>3</v>
      </c>
      <c r="J40" s="75">
        <v>6</v>
      </c>
      <c r="K40" s="75">
        <v>9</v>
      </c>
    </row>
    <row r="41" spans="1:11" ht="15.75" customHeight="1" x14ac:dyDescent="0.35">
      <c r="A41" s="55" t="s">
        <v>164</v>
      </c>
      <c r="B41" s="61" t="s">
        <v>199</v>
      </c>
      <c r="C41" s="55">
        <v>92</v>
      </c>
      <c r="D41" s="58">
        <v>97.97</v>
      </c>
      <c r="E41" s="55">
        <v>28.73</v>
      </c>
      <c r="F41" s="55">
        <v>0.97</v>
      </c>
      <c r="G41" s="55">
        <v>100</v>
      </c>
      <c r="H41" s="55">
        <v>480</v>
      </c>
      <c r="I41" s="57">
        <v>2</v>
      </c>
      <c r="J41" s="48">
        <v>0</v>
      </c>
      <c r="K41" s="48">
        <v>0</v>
      </c>
    </row>
    <row r="42" spans="1:11" ht="15.75" customHeight="1" x14ac:dyDescent="0.35">
      <c r="A42" s="55" t="s">
        <v>164</v>
      </c>
      <c r="B42" s="61" t="s">
        <v>183</v>
      </c>
      <c r="C42" s="55">
        <v>81</v>
      </c>
      <c r="D42" s="58">
        <v>5.23</v>
      </c>
      <c r="E42" s="55">
        <v>27.03</v>
      </c>
      <c r="F42" s="55">
        <v>0</v>
      </c>
      <c r="G42" s="55">
        <v>100</v>
      </c>
      <c r="H42" s="55">
        <v>480</v>
      </c>
      <c r="I42" s="57">
        <v>3</v>
      </c>
      <c r="J42" s="48">
        <v>4</v>
      </c>
      <c r="K42" s="48">
        <v>5</v>
      </c>
    </row>
    <row r="43" spans="1:11" ht="15.75" customHeight="1" x14ac:dyDescent="0.35">
      <c r="A43" s="55" t="s">
        <v>164</v>
      </c>
      <c r="B43" s="61" t="s">
        <v>185</v>
      </c>
      <c r="C43" s="55">
        <v>72</v>
      </c>
      <c r="D43" s="58">
        <v>4.6399999999999997</v>
      </c>
      <c r="E43" s="55">
        <v>24.9</v>
      </c>
      <c r="F43" s="55">
        <v>3.17</v>
      </c>
      <c r="G43" s="55">
        <v>100</v>
      </c>
      <c r="H43" s="55">
        <v>480</v>
      </c>
      <c r="I43" s="57">
        <v>1</v>
      </c>
      <c r="J43" s="48">
        <v>2</v>
      </c>
      <c r="K43" s="48">
        <v>4</v>
      </c>
    </row>
    <row r="44" spans="1:11" ht="15.75" customHeight="1" x14ac:dyDescent="0.35">
      <c r="A44" s="55" t="s">
        <v>164</v>
      </c>
      <c r="B44" s="61" t="s">
        <v>186</v>
      </c>
      <c r="C44" s="55">
        <v>83</v>
      </c>
      <c r="D44" s="58">
        <v>0.20499999999999999</v>
      </c>
      <c r="E44" s="55">
        <v>24.8</v>
      </c>
      <c r="F44" s="55">
        <v>0</v>
      </c>
      <c r="G44" s="55">
        <v>100</v>
      </c>
      <c r="H44" s="55">
        <v>480</v>
      </c>
      <c r="I44" s="57">
        <v>6</v>
      </c>
      <c r="J44" s="48">
        <v>0</v>
      </c>
      <c r="K44" s="48">
        <v>0</v>
      </c>
    </row>
    <row r="45" spans="1:11" ht="15.75" customHeight="1" x14ac:dyDescent="0.35">
      <c r="A45" s="55" t="s">
        <v>168</v>
      </c>
      <c r="B45" s="55" t="s">
        <v>176</v>
      </c>
      <c r="C45" s="55">
        <v>92</v>
      </c>
      <c r="D45" s="58">
        <v>0.14000000000000001</v>
      </c>
      <c r="E45" s="55">
        <v>22.5</v>
      </c>
      <c r="F45" s="55">
        <v>0</v>
      </c>
      <c r="G45" s="55">
        <v>100</v>
      </c>
      <c r="H45" s="55">
        <v>480</v>
      </c>
      <c r="I45" s="57">
        <v>4</v>
      </c>
      <c r="J45" s="48">
        <v>6</v>
      </c>
      <c r="K45" s="48">
        <v>11</v>
      </c>
    </row>
    <row r="46" spans="1:11" ht="15.75" customHeight="1" x14ac:dyDescent="0.35">
      <c r="A46" s="55" t="s">
        <v>168</v>
      </c>
      <c r="B46" s="55" t="s">
        <v>177</v>
      </c>
      <c r="C46" s="55">
        <v>97</v>
      </c>
      <c r="D46" s="58">
        <v>4.5999999999999996</v>
      </c>
      <c r="E46" s="55">
        <v>24.3</v>
      </c>
      <c r="F46" s="55">
        <v>0</v>
      </c>
      <c r="G46" s="55">
        <v>100</v>
      </c>
      <c r="H46" s="55">
        <v>480</v>
      </c>
      <c r="I46" s="57">
        <v>3</v>
      </c>
      <c r="J46" s="48">
        <v>17</v>
      </c>
      <c r="K46" s="48">
        <v>24</v>
      </c>
    </row>
    <row r="47" spans="1:11" ht="15.75" customHeight="1" x14ac:dyDescent="0.35">
      <c r="A47" s="55" t="s">
        <v>168</v>
      </c>
      <c r="B47" s="55" t="s">
        <v>200</v>
      </c>
      <c r="C47" s="55">
        <v>99</v>
      </c>
      <c r="D47" s="58">
        <v>24.2</v>
      </c>
      <c r="E47" s="55">
        <v>26.1</v>
      </c>
      <c r="F47" s="55">
        <v>0</v>
      </c>
      <c r="G47" s="55">
        <v>35</v>
      </c>
      <c r="H47" s="55">
        <v>480</v>
      </c>
      <c r="I47" s="57">
        <v>5</v>
      </c>
      <c r="J47" s="48">
        <v>11</v>
      </c>
      <c r="K47" s="48">
        <v>11</v>
      </c>
    </row>
    <row r="48" spans="1:11" ht="15.75" customHeight="1" x14ac:dyDescent="0.35">
      <c r="A48" s="55" t="s">
        <v>168</v>
      </c>
      <c r="B48" s="55" t="s">
        <v>180</v>
      </c>
      <c r="C48" s="55">
        <v>97</v>
      </c>
      <c r="D48" s="58">
        <v>1.08</v>
      </c>
      <c r="E48" s="55">
        <v>25.4</v>
      </c>
      <c r="F48" s="55">
        <v>0</v>
      </c>
      <c r="G48" s="55">
        <v>65</v>
      </c>
      <c r="H48" s="55">
        <v>480</v>
      </c>
      <c r="I48" s="57">
        <v>5</v>
      </c>
      <c r="J48" s="48">
        <v>9</v>
      </c>
      <c r="K48" s="48">
        <v>9</v>
      </c>
    </row>
    <row r="49" spans="1:11" ht="15.75" customHeight="1" x14ac:dyDescent="0.35">
      <c r="A49" s="55" t="s">
        <v>168</v>
      </c>
      <c r="B49" s="48" t="s">
        <v>181</v>
      </c>
      <c r="C49" s="48">
        <v>87</v>
      </c>
      <c r="D49" s="76">
        <v>9.8000000000000007</v>
      </c>
      <c r="E49" s="48">
        <v>34.5</v>
      </c>
      <c r="F49" s="48">
        <v>0</v>
      </c>
      <c r="G49" s="48">
        <v>0</v>
      </c>
      <c r="H49" s="48">
        <v>480</v>
      </c>
      <c r="I49" s="49">
        <v>3</v>
      </c>
      <c r="J49" s="48">
        <v>3</v>
      </c>
      <c r="K49" s="48">
        <v>3</v>
      </c>
    </row>
    <row r="50" spans="1:11" ht="15.75" customHeight="1" x14ac:dyDescent="0.35">
      <c r="A50" s="55" t="s">
        <v>168</v>
      </c>
      <c r="B50" s="48" t="s">
        <v>198</v>
      </c>
      <c r="C50" s="48">
        <v>81</v>
      </c>
      <c r="D50" s="76">
        <v>36.6</v>
      </c>
      <c r="E50" s="48">
        <v>31.4</v>
      </c>
      <c r="F50" s="48">
        <v>0.8</v>
      </c>
      <c r="G50" s="48">
        <v>96</v>
      </c>
      <c r="H50" s="48">
        <v>480</v>
      </c>
      <c r="I50" s="49">
        <v>3</v>
      </c>
      <c r="J50" s="48">
        <v>7</v>
      </c>
      <c r="K50" s="48">
        <v>7</v>
      </c>
    </row>
    <row r="51" spans="1:11" ht="15.75" customHeight="1" x14ac:dyDescent="0.35">
      <c r="A51" s="55" t="s">
        <v>168</v>
      </c>
      <c r="B51" s="48" t="s">
        <v>199</v>
      </c>
      <c r="C51" s="48">
        <v>92</v>
      </c>
      <c r="D51" s="76">
        <v>15.6</v>
      </c>
      <c r="E51" s="48">
        <v>23.5</v>
      </c>
      <c r="F51" s="48">
        <v>0.7</v>
      </c>
      <c r="G51" s="48">
        <v>2</v>
      </c>
      <c r="H51" s="48">
        <v>480</v>
      </c>
      <c r="I51" s="49">
        <v>2</v>
      </c>
      <c r="J51" s="48">
        <v>1</v>
      </c>
      <c r="K51" s="48">
        <v>1</v>
      </c>
    </row>
    <row r="52" spans="1:11" ht="15.75" customHeight="1" x14ac:dyDescent="0.35">
      <c r="A52" s="55" t="s">
        <v>168</v>
      </c>
      <c r="B52" s="48" t="s">
        <v>183</v>
      </c>
      <c r="C52" s="48">
        <v>89</v>
      </c>
      <c r="D52" s="76">
        <v>1</v>
      </c>
      <c r="E52" s="48">
        <v>22.2</v>
      </c>
      <c r="F52" s="48">
        <v>0</v>
      </c>
      <c r="G52" s="48">
        <v>100</v>
      </c>
      <c r="H52" s="48">
        <v>1420</v>
      </c>
      <c r="I52" s="49">
        <v>3</v>
      </c>
      <c r="J52" s="48">
        <v>4</v>
      </c>
      <c r="K52" s="48">
        <v>4</v>
      </c>
    </row>
    <row r="53" spans="1:11" ht="15.75" customHeight="1" x14ac:dyDescent="0.35">
      <c r="A53" s="55" t="s">
        <v>168</v>
      </c>
      <c r="B53" s="48" t="s">
        <v>185</v>
      </c>
      <c r="C53" s="48">
        <v>60</v>
      </c>
      <c r="D53" s="76">
        <v>44</v>
      </c>
      <c r="E53" s="48">
        <v>32.6</v>
      </c>
      <c r="F53" s="48">
        <v>0</v>
      </c>
      <c r="G53" s="48">
        <v>85</v>
      </c>
      <c r="H53" s="48">
        <v>1420</v>
      </c>
      <c r="I53" s="49">
        <v>1</v>
      </c>
      <c r="J53" s="48">
        <v>2</v>
      </c>
      <c r="K53" s="48">
        <v>4</v>
      </c>
    </row>
    <row r="54" spans="1:11" ht="15.75" customHeight="1" x14ac:dyDescent="0.35">
      <c r="A54" s="55" t="s">
        <v>168</v>
      </c>
      <c r="B54" s="48" t="s">
        <v>186</v>
      </c>
      <c r="C54" s="48">
        <v>76</v>
      </c>
      <c r="D54" s="76">
        <v>1.53</v>
      </c>
      <c r="E54" s="48">
        <v>25.4</v>
      </c>
      <c r="F54" s="48">
        <v>0</v>
      </c>
      <c r="G54" s="48">
        <v>100</v>
      </c>
      <c r="H54" s="48">
        <v>1420</v>
      </c>
      <c r="I54" s="49">
        <v>6</v>
      </c>
      <c r="J54" s="48">
        <v>4</v>
      </c>
      <c r="K54" s="48">
        <v>5</v>
      </c>
    </row>
    <row r="55" spans="1:11" ht="15.75" customHeight="1" x14ac:dyDescent="0.35">
      <c r="A55" s="48" t="s">
        <v>172</v>
      </c>
      <c r="B55" s="48" t="s">
        <v>200</v>
      </c>
      <c r="C55" s="48">
        <v>99</v>
      </c>
      <c r="D55" s="76">
        <v>0.28000000000000003</v>
      </c>
      <c r="E55" s="48">
        <v>23.5</v>
      </c>
      <c r="F55" s="48">
        <v>0</v>
      </c>
      <c r="G55" s="48">
        <v>100</v>
      </c>
      <c r="H55" s="48">
        <v>650</v>
      </c>
      <c r="I55" s="49">
        <v>5</v>
      </c>
      <c r="J55" s="48">
        <v>7</v>
      </c>
      <c r="K55" s="48">
        <v>10</v>
      </c>
    </row>
    <row r="56" spans="1:11" ht="15.75" customHeight="1" x14ac:dyDescent="0.35">
      <c r="A56" s="48" t="s">
        <v>172</v>
      </c>
      <c r="B56" s="48" t="s">
        <v>180</v>
      </c>
      <c r="C56" s="48">
        <v>96</v>
      </c>
      <c r="D56" s="76">
        <v>0.64</v>
      </c>
      <c r="E56" s="48">
        <v>24.9</v>
      </c>
      <c r="F56" s="48">
        <v>0</v>
      </c>
      <c r="G56" s="48">
        <v>100</v>
      </c>
      <c r="H56" s="48">
        <v>650</v>
      </c>
      <c r="I56" s="49">
        <v>5</v>
      </c>
      <c r="J56" s="48">
        <v>9</v>
      </c>
      <c r="K56" s="48">
        <v>9</v>
      </c>
    </row>
    <row r="57" spans="1:11" ht="15.75" customHeight="1" x14ac:dyDescent="0.35">
      <c r="A57" s="48" t="s">
        <v>172</v>
      </c>
      <c r="B57" s="48" t="s">
        <v>181</v>
      </c>
      <c r="C57" s="48">
        <v>98</v>
      </c>
      <c r="D57" s="76">
        <v>2.2799999999999998</v>
      </c>
      <c r="E57" s="48">
        <v>23.7</v>
      </c>
      <c r="F57" s="48">
        <v>0</v>
      </c>
      <c r="G57" s="48">
        <v>100</v>
      </c>
      <c r="H57" s="48">
        <v>650</v>
      </c>
      <c r="I57" s="49">
        <v>3</v>
      </c>
      <c r="J57" s="48">
        <v>4</v>
      </c>
      <c r="K57" s="48">
        <v>4</v>
      </c>
    </row>
    <row r="58" spans="1:11" ht="15.75" customHeight="1" x14ac:dyDescent="0.35">
      <c r="A58" s="48" t="s">
        <v>172</v>
      </c>
      <c r="B58" s="48" t="s">
        <v>198</v>
      </c>
      <c r="C58" s="48">
        <v>99</v>
      </c>
      <c r="D58" s="76">
        <v>7.2350000000000003</v>
      </c>
      <c r="E58" s="48">
        <v>24.6</v>
      </c>
      <c r="F58" s="48">
        <v>1.4</v>
      </c>
      <c r="G58" s="48">
        <v>100</v>
      </c>
      <c r="H58" s="48">
        <v>650</v>
      </c>
      <c r="I58" s="49">
        <v>3</v>
      </c>
      <c r="J58" s="48">
        <v>10</v>
      </c>
      <c r="K58" s="48">
        <v>16</v>
      </c>
    </row>
    <row r="59" spans="1:11" ht="15.75" customHeight="1" x14ac:dyDescent="0.35">
      <c r="A59" s="48" t="s">
        <v>172</v>
      </c>
      <c r="B59" s="48" t="s">
        <v>199</v>
      </c>
      <c r="C59" s="48">
        <v>78</v>
      </c>
      <c r="D59" s="76">
        <v>17.850000000000001</v>
      </c>
      <c r="E59" s="48">
        <v>26.8</v>
      </c>
      <c r="F59" s="48">
        <v>0.7</v>
      </c>
      <c r="G59" s="48">
        <v>100</v>
      </c>
      <c r="H59" s="48">
        <v>650</v>
      </c>
      <c r="I59" s="49">
        <v>2</v>
      </c>
      <c r="J59" s="48">
        <v>3</v>
      </c>
      <c r="K59" s="48">
        <v>3</v>
      </c>
    </row>
    <row r="60" spans="1:11" ht="15.75" customHeight="1" x14ac:dyDescent="0.35">
      <c r="D60" s="76"/>
    </row>
    <row r="61" spans="1:11" ht="15.75" customHeight="1" x14ac:dyDescent="0.35">
      <c r="D61" s="76"/>
    </row>
    <row r="62" spans="1:11" ht="15.75" customHeight="1" x14ac:dyDescent="0.35">
      <c r="D62" s="76"/>
    </row>
    <row r="63" spans="1:11" ht="15.75" customHeight="1" x14ac:dyDescent="0.35">
      <c r="D63" s="76"/>
    </row>
    <row r="64" spans="1:11" ht="15.75" customHeight="1" x14ac:dyDescent="0.35">
      <c r="D64" s="76"/>
    </row>
    <row r="65" spans="4:4" ht="15.75" customHeight="1" x14ac:dyDescent="0.35">
      <c r="D65" s="76"/>
    </row>
    <row r="66" spans="4:4" ht="15.75" customHeight="1" x14ac:dyDescent="0.35">
      <c r="D66" s="76"/>
    </row>
    <row r="67" spans="4:4" ht="15.75" customHeight="1" x14ac:dyDescent="0.35">
      <c r="D67" s="76"/>
    </row>
    <row r="68" spans="4:4" ht="15.75" customHeight="1" x14ac:dyDescent="0.35">
      <c r="D68" s="76"/>
    </row>
    <row r="69" spans="4:4" ht="15.75" customHeight="1" x14ac:dyDescent="0.35">
      <c r="D69" s="76"/>
    </row>
    <row r="70" spans="4:4" ht="15.75" customHeight="1" x14ac:dyDescent="0.35">
      <c r="D70" s="76"/>
    </row>
    <row r="71" spans="4:4" ht="15.75" customHeight="1" x14ac:dyDescent="0.35">
      <c r="D71" s="76"/>
    </row>
    <row r="72" spans="4:4" ht="15.75" customHeight="1" x14ac:dyDescent="0.35">
      <c r="D72" s="76"/>
    </row>
    <row r="73" spans="4:4" ht="15.75" customHeight="1" x14ac:dyDescent="0.35">
      <c r="D73" s="76"/>
    </row>
    <row r="74" spans="4:4" ht="15.75" customHeight="1" x14ac:dyDescent="0.35">
      <c r="D74" s="76"/>
    </row>
    <row r="75" spans="4:4" ht="15.75" customHeight="1" x14ac:dyDescent="0.35">
      <c r="D75" s="76"/>
    </row>
    <row r="76" spans="4:4" ht="15.75" customHeight="1" x14ac:dyDescent="0.35">
      <c r="D76" s="76"/>
    </row>
    <row r="77" spans="4:4" ht="15.75" customHeight="1" x14ac:dyDescent="0.35">
      <c r="D77" s="76"/>
    </row>
    <row r="78" spans="4:4" ht="15.75" customHeight="1" x14ac:dyDescent="0.35">
      <c r="D78" s="76"/>
    </row>
    <row r="79" spans="4:4" ht="15.75" customHeight="1" x14ac:dyDescent="0.35">
      <c r="D79" s="76"/>
    </row>
    <row r="80" spans="4:4" ht="15.75" customHeight="1" x14ac:dyDescent="0.35">
      <c r="D80" s="76"/>
    </row>
    <row r="81" spans="4:4" ht="15.75" customHeight="1" x14ac:dyDescent="0.35">
      <c r="D81" s="76"/>
    </row>
    <row r="82" spans="4:4" ht="15.75" customHeight="1" x14ac:dyDescent="0.35">
      <c r="D82" s="76"/>
    </row>
    <row r="83" spans="4:4" ht="15.75" customHeight="1" x14ac:dyDescent="0.35">
      <c r="D83" s="76"/>
    </row>
    <row r="84" spans="4:4" ht="15.75" customHeight="1" x14ac:dyDescent="0.35">
      <c r="D84" s="76"/>
    </row>
    <row r="85" spans="4:4" ht="15.75" customHeight="1" x14ac:dyDescent="0.35">
      <c r="D85" s="76"/>
    </row>
    <row r="86" spans="4:4" ht="15.75" customHeight="1" x14ac:dyDescent="0.35">
      <c r="D86" s="76"/>
    </row>
    <row r="87" spans="4:4" ht="15.75" customHeight="1" x14ac:dyDescent="0.35">
      <c r="D87" s="76"/>
    </row>
    <row r="88" spans="4:4" ht="15.75" customHeight="1" x14ac:dyDescent="0.35">
      <c r="D88" s="76"/>
    </row>
    <row r="89" spans="4:4" ht="15.75" customHeight="1" x14ac:dyDescent="0.35">
      <c r="D89" s="76"/>
    </row>
    <row r="90" spans="4:4" ht="15.75" customHeight="1" x14ac:dyDescent="0.35">
      <c r="D90" s="76"/>
    </row>
    <row r="91" spans="4:4" ht="15.75" customHeight="1" x14ac:dyDescent="0.35">
      <c r="D91" s="76"/>
    </row>
    <row r="92" spans="4:4" ht="15.75" customHeight="1" x14ac:dyDescent="0.35">
      <c r="D92" s="76"/>
    </row>
    <row r="93" spans="4:4" ht="15.75" customHeight="1" x14ac:dyDescent="0.35">
      <c r="D93" s="76"/>
    </row>
    <row r="94" spans="4:4" ht="15.75" customHeight="1" x14ac:dyDescent="0.35">
      <c r="D94" s="76"/>
    </row>
    <row r="95" spans="4:4" ht="15.75" customHeight="1" x14ac:dyDescent="0.35">
      <c r="D95" s="76"/>
    </row>
    <row r="96" spans="4:4" ht="15.75" customHeight="1" x14ac:dyDescent="0.35">
      <c r="D96" s="76"/>
    </row>
    <row r="97" spans="4:4" ht="15.75" customHeight="1" x14ac:dyDescent="0.35">
      <c r="D97" s="76"/>
    </row>
    <row r="98" spans="4:4" ht="15.75" customHeight="1" x14ac:dyDescent="0.35">
      <c r="D98" s="76"/>
    </row>
    <row r="99" spans="4:4" ht="15.75" customHeight="1" x14ac:dyDescent="0.35">
      <c r="D99" s="76"/>
    </row>
    <row r="100" spans="4:4" ht="15.75" customHeight="1" x14ac:dyDescent="0.35">
      <c r="D100" s="76"/>
    </row>
    <row r="101" spans="4:4" ht="15.75" customHeight="1" x14ac:dyDescent="0.35">
      <c r="D101" s="76"/>
    </row>
    <row r="102" spans="4:4" ht="15.75" customHeight="1" x14ac:dyDescent="0.35">
      <c r="D102" s="76"/>
    </row>
    <row r="103" spans="4:4" ht="15.75" customHeight="1" x14ac:dyDescent="0.35">
      <c r="D103" s="76"/>
    </row>
    <row r="104" spans="4:4" ht="15.75" customHeight="1" x14ac:dyDescent="0.35">
      <c r="D104" s="76"/>
    </row>
    <row r="105" spans="4:4" ht="15.75" customHeight="1" x14ac:dyDescent="0.35">
      <c r="D105" s="76"/>
    </row>
    <row r="106" spans="4:4" ht="15.75" customHeight="1" x14ac:dyDescent="0.35">
      <c r="D106" s="76"/>
    </row>
    <row r="107" spans="4:4" ht="15.75" customHeight="1" x14ac:dyDescent="0.35">
      <c r="D107" s="76"/>
    </row>
    <row r="108" spans="4:4" ht="15.75" customHeight="1" x14ac:dyDescent="0.35">
      <c r="D108" s="76"/>
    </row>
    <row r="109" spans="4:4" ht="15.75" customHeight="1" x14ac:dyDescent="0.35">
      <c r="D109" s="76"/>
    </row>
    <row r="110" spans="4:4" ht="15.75" customHeight="1" x14ac:dyDescent="0.35">
      <c r="D110" s="76"/>
    </row>
    <row r="111" spans="4:4" ht="15.75" customHeight="1" x14ac:dyDescent="0.35">
      <c r="D111" s="76"/>
    </row>
    <row r="112" spans="4:4" ht="15.75" customHeight="1" x14ac:dyDescent="0.35">
      <c r="D112" s="76"/>
    </row>
    <row r="113" spans="4:4" ht="15.75" customHeight="1" x14ac:dyDescent="0.35">
      <c r="D113" s="76"/>
    </row>
    <row r="114" spans="4:4" ht="15.75" customHeight="1" x14ac:dyDescent="0.35">
      <c r="D114" s="76"/>
    </row>
    <row r="115" spans="4:4" ht="15.75" customHeight="1" x14ac:dyDescent="0.35">
      <c r="D115" s="76"/>
    </row>
    <row r="116" spans="4:4" ht="15.75" customHeight="1" x14ac:dyDescent="0.35">
      <c r="D116" s="76"/>
    </row>
    <row r="117" spans="4:4" ht="15.75" customHeight="1" x14ac:dyDescent="0.35">
      <c r="D117" s="76"/>
    </row>
    <row r="118" spans="4:4" ht="15.75" customHeight="1" x14ac:dyDescent="0.35">
      <c r="D118" s="76"/>
    </row>
    <row r="119" spans="4:4" ht="15.75" customHeight="1" x14ac:dyDescent="0.35">
      <c r="D119" s="76"/>
    </row>
    <row r="120" spans="4:4" ht="15.75" customHeight="1" x14ac:dyDescent="0.35">
      <c r="D120" s="76"/>
    </row>
    <row r="121" spans="4:4" ht="15.75" customHeight="1" x14ac:dyDescent="0.35">
      <c r="D121" s="76"/>
    </row>
    <row r="122" spans="4:4" ht="15.75" customHeight="1" x14ac:dyDescent="0.35">
      <c r="D122" s="76"/>
    </row>
    <row r="123" spans="4:4" ht="15.75" customHeight="1" x14ac:dyDescent="0.35">
      <c r="D123" s="76"/>
    </row>
    <row r="124" spans="4:4" ht="15.75" customHeight="1" x14ac:dyDescent="0.35">
      <c r="D124" s="76"/>
    </row>
    <row r="125" spans="4:4" ht="15.75" customHeight="1" x14ac:dyDescent="0.35">
      <c r="D125" s="76"/>
    </row>
    <row r="126" spans="4:4" ht="15.75" customHeight="1" x14ac:dyDescent="0.35">
      <c r="D126" s="76"/>
    </row>
    <row r="127" spans="4:4" ht="15.75" customHeight="1" x14ac:dyDescent="0.35">
      <c r="D127" s="76"/>
    </row>
    <row r="128" spans="4:4" ht="15.75" customHeight="1" x14ac:dyDescent="0.35">
      <c r="D128" s="76"/>
    </row>
    <row r="129" spans="4:4" ht="15.75" customHeight="1" x14ac:dyDescent="0.35">
      <c r="D129" s="76"/>
    </row>
    <row r="130" spans="4:4" ht="15.75" customHeight="1" x14ac:dyDescent="0.35">
      <c r="D130" s="76"/>
    </row>
    <row r="131" spans="4:4" ht="15.75" customHeight="1" x14ac:dyDescent="0.35">
      <c r="D131" s="76"/>
    </row>
    <row r="132" spans="4:4" ht="15.75" customHeight="1" x14ac:dyDescent="0.35"/>
    <row r="133" spans="4:4" ht="15.75" customHeight="1" x14ac:dyDescent="0.35"/>
    <row r="134" spans="4:4" ht="15.75" customHeight="1" x14ac:dyDescent="0.35"/>
    <row r="135" spans="4:4" ht="15.75" customHeight="1" x14ac:dyDescent="0.35"/>
    <row r="136" spans="4:4" ht="15.75" customHeight="1" x14ac:dyDescent="0.35"/>
    <row r="137" spans="4:4" ht="15.75" customHeight="1" x14ac:dyDescent="0.35"/>
    <row r="138" spans="4:4" ht="15.75" customHeight="1" x14ac:dyDescent="0.35"/>
    <row r="139" spans="4:4" ht="15.75" customHeight="1" x14ac:dyDescent="0.35"/>
    <row r="140" spans="4:4" ht="15.75" customHeight="1" x14ac:dyDescent="0.35"/>
    <row r="141" spans="4:4" ht="15.75" customHeight="1" x14ac:dyDescent="0.35"/>
    <row r="142" spans="4:4" ht="15.75" customHeight="1" x14ac:dyDescent="0.35"/>
    <row r="143" spans="4:4" ht="15.75" customHeight="1" x14ac:dyDescent="0.35"/>
    <row r="144" spans="4: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5"/>
  <sheetViews>
    <sheetView topLeftCell="A60" zoomScale="80" workbookViewId="0">
      <selection activeCell="A57" sqref="A56:XFD57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237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2" t="s">
        <v>19</v>
      </c>
      <c r="I2" s="53" t="s">
        <v>21</v>
      </c>
      <c r="J2" s="48" t="s">
        <v>174</v>
      </c>
      <c r="K2" s="48" t="s">
        <v>175</v>
      </c>
    </row>
    <row r="3" spans="1:11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5"/>
      <c r="H3" s="58"/>
      <c r="I3" s="57">
        <v>3</v>
      </c>
      <c r="J3" s="48">
        <v>7</v>
      </c>
      <c r="K3" s="48">
        <v>14</v>
      </c>
    </row>
    <row r="4" spans="1:11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5"/>
      <c r="H4" s="58"/>
      <c r="I4" s="57">
        <v>5</v>
      </c>
      <c r="J4" s="48">
        <v>3</v>
      </c>
      <c r="K4" s="48">
        <v>3</v>
      </c>
    </row>
    <row r="5" spans="1:11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5"/>
      <c r="H5" s="58"/>
      <c r="I5" s="57">
        <v>5</v>
      </c>
      <c r="J5" s="48">
        <v>1</v>
      </c>
      <c r="K5" s="48">
        <v>1</v>
      </c>
    </row>
    <row r="6" spans="1:11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5"/>
      <c r="H6" s="58"/>
      <c r="I6" s="57">
        <v>5</v>
      </c>
      <c r="J6" s="48">
        <v>1</v>
      </c>
      <c r="K6" s="48">
        <v>1</v>
      </c>
    </row>
    <row r="7" spans="1:11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5"/>
      <c r="H7" s="58"/>
      <c r="I7" s="57">
        <v>5</v>
      </c>
      <c r="J7" s="48">
        <v>2</v>
      </c>
      <c r="K7" s="48">
        <v>2</v>
      </c>
    </row>
    <row r="8" spans="1:11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5"/>
      <c r="H8" s="58"/>
      <c r="I8" s="57">
        <v>5</v>
      </c>
      <c r="J8" s="48">
        <v>1</v>
      </c>
      <c r="K8" s="48">
        <v>1</v>
      </c>
    </row>
    <row r="9" spans="1:11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5"/>
      <c r="H9" s="58"/>
      <c r="I9" s="57">
        <v>5</v>
      </c>
      <c r="J9" s="48">
        <v>3</v>
      </c>
      <c r="K9" s="48">
        <v>3</v>
      </c>
    </row>
    <row r="10" spans="1:11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5"/>
      <c r="H10" s="58"/>
      <c r="I10" s="57">
        <v>5</v>
      </c>
      <c r="J10" s="48">
        <v>1</v>
      </c>
      <c r="K10" s="48">
        <v>1</v>
      </c>
    </row>
    <row r="11" spans="1:11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5"/>
      <c r="H11" s="58"/>
      <c r="I11" s="57">
        <v>5</v>
      </c>
      <c r="J11" s="48">
        <v>3</v>
      </c>
      <c r="K11" s="48">
        <v>3</v>
      </c>
    </row>
    <row r="12" spans="1:11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5"/>
      <c r="H12" s="58"/>
      <c r="I12" s="57">
        <v>5</v>
      </c>
      <c r="J12" s="48">
        <v>3</v>
      </c>
      <c r="K12" s="48">
        <v>3</v>
      </c>
    </row>
    <row r="13" spans="1:11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5"/>
      <c r="H13" s="58"/>
      <c r="I13" s="57">
        <v>5</v>
      </c>
      <c r="J13" s="48">
        <v>1</v>
      </c>
      <c r="K13" s="48">
        <v>1</v>
      </c>
    </row>
    <row r="14" spans="1:11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5"/>
      <c r="H14" s="58"/>
      <c r="I14" s="57">
        <v>3</v>
      </c>
      <c r="J14" s="48">
        <v>3</v>
      </c>
      <c r="K14" s="48">
        <v>3</v>
      </c>
    </row>
    <row r="15" spans="1:11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5"/>
      <c r="H15" s="58"/>
      <c r="I15" s="57">
        <v>3</v>
      </c>
      <c r="J15" s="48">
        <v>3</v>
      </c>
      <c r="K15" s="48">
        <v>3</v>
      </c>
    </row>
    <row r="16" spans="1:11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5"/>
      <c r="H16" s="58"/>
      <c r="I16" s="57">
        <v>3</v>
      </c>
      <c r="J16" s="48">
        <v>2</v>
      </c>
      <c r="K16" s="48">
        <v>2</v>
      </c>
    </row>
    <row r="17" spans="1:11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5"/>
      <c r="H17" s="58"/>
      <c r="I17" s="57">
        <v>3</v>
      </c>
      <c r="J17" s="48">
        <v>4</v>
      </c>
      <c r="K17" s="48">
        <v>4</v>
      </c>
    </row>
    <row r="18" spans="1:11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5"/>
      <c r="H18" s="58"/>
      <c r="I18" s="57">
        <v>3</v>
      </c>
      <c r="J18" s="48">
        <v>1</v>
      </c>
      <c r="K18" s="48">
        <v>1</v>
      </c>
    </row>
    <row r="19" spans="1:11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5"/>
      <c r="H19" s="58"/>
      <c r="I19" s="57">
        <v>3</v>
      </c>
      <c r="J19" s="48">
        <v>1</v>
      </c>
      <c r="K19" s="48">
        <v>1</v>
      </c>
    </row>
    <row r="20" spans="1:11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5"/>
      <c r="H20" s="58"/>
      <c r="I20" s="57">
        <v>3</v>
      </c>
      <c r="J20" s="48">
        <v>5</v>
      </c>
      <c r="K20" s="48">
        <v>5</v>
      </c>
    </row>
    <row r="21" spans="1:11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5"/>
      <c r="H21" s="58"/>
      <c r="I21" s="57">
        <v>3</v>
      </c>
      <c r="J21" s="48">
        <v>2</v>
      </c>
      <c r="K21" s="48">
        <v>2</v>
      </c>
    </row>
    <row r="22" spans="1:11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5"/>
      <c r="H22" s="58"/>
      <c r="I22" s="57">
        <v>3</v>
      </c>
      <c r="J22" s="48">
        <v>1</v>
      </c>
      <c r="K22" s="48">
        <v>1</v>
      </c>
    </row>
    <row r="23" spans="1:11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5"/>
      <c r="H23" s="58"/>
      <c r="I23" s="57">
        <v>3</v>
      </c>
      <c r="J23" s="48">
        <v>1</v>
      </c>
      <c r="K23" s="48">
        <v>1</v>
      </c>
    </row>
    <row r="24" spans="1:11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5"/>
      <c r="H24" s="58"/>
      <c r="I24" s="57">
        <v>3</v>
      </c>
      <c r="J24" s="48">
        <v>1</v>
      </c>
      <c r="K24" s="48">
        <v>1</v>
      </c>
    </row>
    <row r="25" spans="1:11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5"/>
      <c r="H25" s="58"/>
      <c r="I25" s="57">
        <v>3</v>
      </c>
      <c r="J25" s="48">
        <v>1</v>
      </c>
      <c r="K25" s="48">
        <v>1</v>
      </c>
    </row>
    <row r="26" spans="1:11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5"/>
      <c r="H26" s="58"/>
      <c r="I26" s="57">
        <v>3</v>
      </c>
      <c r="J26" s="48">
        <v>1</v>
      </c>
      <c r="K26" s="48">
        <v>1</v>
      </c>
    </row>
    <row r="27" spans="1:11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5"/>
      <c r="H27" s="58"/>
      <c r="I27" s="57">
        <v>3</v>
      </c>
      <c r="J27" s="48">
        <v>1</v>
      </c>
      <c r="K27" s="48">
        <v>1</v>
      </c>
    </row>
    <row r="28" spans="1:11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5"/>
      <c r="H28" s="58"/>
      <c r="I28" s="60">
        <v>3</v>
      </c>
      <c r="J28" s="48">
        <v>3</v>
      </c>
      <c r="K28" s="48">
        <v>3</v>
      </c>
    </row>
    <row r="29" spans="1:11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5"/>
      <c r="H29" s="58"/>
      <c r="I29" s="60">
        <v>3</v>
      </c>
      <c r="J29" s="48">
        <v>1</v>
      </c>
      <c r="K29" s="48">
        <v>1</v>
      </c>
    </row>
    <row r="30" spans="1:11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5"/>
      <c r="H30" s="47">
        <v>480</v>
      </c>
      <c r="I30" s="57">
        <v>4</v>
      </c>
      <c r="J30" s="48">
        <v>10</v>
      </c>
      <c r="K30" s="48">
        <v>10</v>
      </c>
    </row>
    <row r="31" spans="1:11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5"/>
      <c r="H31" s="47"/>
      <c r="I31" s="57">
        <v>4</v>
      </c>
      <c r="J31" s="48">
        <v>7</v>
      </c>
      <c r="K31" s="48">
        <v>7</v>
      </c>
    </row>
    <row r="32" spans="1:11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5"/>
      <c r="H32" s="47">
        <v>480</v>
      </c>
      <c r="I32" s="57">
        <v>3</v>
      </c>
      <c r="J32" s="48">
        <v>14</v>
      </c>
      <c r="K32" s="48">
        <v>17</v>
      </c>
    </row>
    <row r="33" spans="1:11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5"/>
      <c r="H33" s="47"/>
      <c r="I33" s="57">
        <v>3</v>
      </c>
      <c r="J33" s="48">
        <v>5</v>
      </c>
      <c r="K33" s="48">
        <v>5</v>
      </c>
    </row>
    <row r="34" spans="1:11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5"/>
      <c r="H34" s="58"/>
      <c r="I34" s="57">
        <v>5</v>
      </c>
      <c r="J34" s="48">
        <v>2</v>
      </c>
      <c r="K34" s="48">
        <v>2</v>
      </c>
    </row>
    <row r="35" spans="1:11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5"/>
      <c r="H35" s="47">
        <v>480</v>
      </c>
      <c r="I35" s="57">
        <v>5</v>
      </c>
      <c r="J35" s="48">
        <v>12</v>
      </c>
      <c r="K35" s="48">
        <v>12</v>
      </c>
    </row>
    <row r="36" spans="1:11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5"/>
      <c r="H36" s="47"/>
      <c r="I36" s="57">
        <v>5</v>
      </c>
      <c r="J36" s="48">
        <v>3</v>
      </c>
      <c r="K36" s="48">
        <v>3</v>
      </c>
    </row>
    <row r="37" spans="1:11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5"/>
      <c r="H37" s="47">
        <v>480</v>
      </c>
      <c r="I37" s="57">
        <v>5</v>
      </c>
      <c r="J37" s="48">
        <v>0</v>
      </c>
      <c r="K37" s="48">
        <v>0</v>
      </c>
    </row>
    <row r="38" spans="1:11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5"/>
      <c r="H38" s="47"/>
      <c r="I38" s="57">
        <v>5</v>
      </c>
      <c r="J38" s="48">
        <v>2</v>
      </c>
      <c r="K38" s="48">
        <v>3</v>
      </c>
    </row>
    <row r="39" spans="1:11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5"/>
      <c r="H39" s="58"/>
      <c r="I39" s="57">
        <v>3</v>
      </c>
      <c r="J39" s="48">
        <v>1</v>
      </c>
      <c r="K39" s="48">
        <v>1</v>
      </c>
    </row>
    <row r="40" spans="1:11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5"/>
      <c r="H40" s="47">
        <v>480</v>
      </c>
      <c r="I40" s="57">
        <v>3</v>
      </c>
      <c r="J40" s="48">
        <v>4</v>
      </c>
      <c r="K40" s="48">
        <v>4</v>
      </c>
    </row>
    <row r="41" spans="1:11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5"/>
      <c r="H41" s="47"/>
      <c r="I41" s="57">
        <v>3</v>
      </c>
      <c r="J41" s="48">
        <v>4</v>
      </c>
      <c r="K41" s="48">
        <v>4</v>
      </c>
    </row>
    <row r="42" spans="1:11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5"/>
      <c r="H42" s="47">
        <v>480</v>
      </c>
      <c r="I42" s="57">
        <v>3</v>
      </c>
      <c r="J42" s="48">
        <v>1</v>
      </c>
      <c r="K42" s="48">
        <v>1</v>
      </c>
    </row>
    <row r="43" spans="1:11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5"/>
      <c r="H43" s="47"/>
      <c r="I43" s="57">
        <v>3</v>
      </c>
      <c r="J43" s="48">
        <v>2</v>
      </c>
      <c r="K43" s="48">
        <v>2</v>
      </c>
    </row>
    <row r="44" spans="1:11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55"/>
      <c r="H44" s="66">
        <v>480</v>
      </c>
      <c r="I44" s="60">
        <v>4</v>
      </c>
      <c r="J44" s="48">
        <v>9</v>
      </c>
      <c r="K44" s="48">
        <v>18</v>
      </c>
    </row>
    <row r="45" spans="1:11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55"/>
      <c r="H45" s="64"/>
      <c r="I45" s="60">
        <v>3</v>
      </c>
      <c r="J45" s="48">
        <v>11</v>
      </c>
      <c r="K45" s="48">
        <v>11</v>
      </c>
    </row>
    <row r="46" spans="1:11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55"/>
      <c r="H46" s="64"/>
      <c r="I46" s="60">
        <v>5</v>
      </c>
      <c r="J46" s="48">
        <v>7</v>
      </c>
      <c r="K46" s="48">
        <v>10</v>
      </c>
    </row>
    <row r="47" spans="1:11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55"/>
      <c r="H47" s="65">
        <v>480</v>
      </c>
      <c r="I47" s="60">
        <v>5</v>
      </c>
      <c r="J47" s="48">
        <v>8</v>
      </c>
      <c r="K47" s="48">
        <v>9</v>
      </c>
    </row>
    <row r="48" spans="1:11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55"/>
      <c r="H48" s="62"/>
      <c r="I48" s="60">
        <v>5</v>
      </c>
      <c r="J48" s="48">
        <v>3</v>
      </c>
      <c r="K48" s="48">
        <v>3</v>
      </c>
    </row>
    <row r="49" spans="1:11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55"/>
      <c r="H49" s="65">
        <v>480</v>
      </c>
      <c r="I49" s="60">
        <v>5</v>
      </c>
      <c r="J49" s="48">
        <v>5</v>
      </c>
      <c r="K49" s="48">
        <v>9</v>
      </c>
    </row>
    <row r="50" spans="1:11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55"/>
      <c r="H50" s="65"/>
      <c r="I50" s="60">
        <v>5</v>
      </c>
      <c r="J50" s="48">
        <v>1</v>
      </c>
      <c r="K50" s="48">
        <v>1</v>
      </c>
    </row>
    <row r="51" spans="1:11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55"/>
      <c r="H51" s="65">
        <v>480</v>
      </c>
      <c r="I51" s="60">
        <v>3</v>
      </c>
      <c r="J51" s="48">
        <v>4</v>
      </c>
      <c r="K51" s="48">
        <v>7</v>
      </c>
    </row>
    <row r="52" spans="1:11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55"/>
      <c r="H52" s="65"/>
      <c r="I52" s="60">
        <v>3</v>
      </c>
      <c r="J52" s="48">
        <v>2</v>
      </c>
      <c r="K52" s="48">
        <v>4</v>
      </c>
    </row>
    <row r="53" spans="1:11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55"/>
      <c r="H53" s="65">
        <v>480</v>
      </c>
      <c r="I53" s="60">
        <v>3</v>
      </c>
      <c r="J53" s="48">
        <v>6</v>
      </c>
      <c r="K53" s="48">
        <v>12</v>
      </c>
    </row>
    <row r="54" spans="1:11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55"/>
      <c r="H54" s="65"/>
      <c r="I54" s="60">
        <v>3</v>
      </c>
      <c r="J54" s="48">
        <v>4</v>
      </c>
      <c r="K54" s="48">
        <v>15</v>
      </c>
    </row>
    <row r="55" spans="1:11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55"/>
      <c r="H55" s="62"/>
      <c r="I55" s="60">
        <v>3</v>
      </c>
      <c r="J55" s="48">
        <v>0</v>
      </c>
      <c r="K55" s="48">
        <v>0</v>
      </c>
    </row>
    <row r="56" spans="1:11" ht="15.75" customHeight="1" x14ac:dyDescent="0.35">
      <c r="A56" s="55" t="s">
        <v>141</v>
      </c>
      <c r="B56" s="63" t="s">
        <v>186</v>
      </c>
      <c r="C56" s="65">
        <v>75</v>
      </c>
      <c r="D56" s="69">
        <v>0.71899999999999997</v>
      </c>
      <c r="E56" s="65">
        <v>25.8</v>
      </c>
      <c r="F56" s="65">
        <v>0</v>
      </c>
      <c r="G56" s="55"/>
      <c r="H56" s="62"/>
      <c r="I56" s="60">
        <v>6</v>
      </c>
      <c r="J56" s="48">
        <v>0</v>
      </c>
      <c r="K56" s="48">
        <v>0</v>
      </c>
    </row>
    <row r="57" spans="1:11" ht="15.75" customHeight="1" x14ac:dyDescent="0.35">
      <c r="A57" s="55" t="s">
        <v>146</v>
      </c>
      <c r="B57" s="61" t="s">
        <v>176</v>
      </c>
      <c r="C57" s="55">
        <v>99</v>
      </c>
      <c r="D57" s="70">
        <v>0.27700000000000002</v>
      </c>
      <c r="E57" s="55">
        <v>26.4</v>
      </c>
      <c r="F57" s="55">
        <v>0</v>
      </c>
      <c r="G57" s="55">
        <v>100</v>
      </c>
      <c r="H57" s="55"/>
      <c r="I57" s="57">
        <v>4</v>
      </c>
      <c r="J57" s="48">
        <v>6</v>
      </c>
      <c r="K57" s="48">
        <v>22</v>
      </c>
    </row>
    <row r="58" spans="1:11" ht="15.75" customHeight="1" x14ac:dyDescent="0.35">
      <c r="A58" s="55" t="s">
        <v>146</v>
      </c>
      <c r="B58" s="61" t="s">
        <v>177</v>
      </c>
      <c r="C58" s="55">
        <v>92</v>
      </c>
      <c r="D58" s="58">
        <v>0.78</v>
      </c>
      <c r="E58" s="55">
        <v>24.6</v>
      </c>
      <c r="F58" s="55">
        <v>0</v>
      </c>
      <c r="G58" s="55">
        <v>5</v>
      </c>
      <c r="H58" s="55"/>
      <c r="I58" s="57">
        <v>3</v>
      </c>
      <c r="J58" s="48">
        <v>9</v>
      </c>
      <c r="K58" s="48">
        <v>14</v>
      </c>
    </row>
    <row r="59" spans="1:11" ht="15.75" customHeight="1" x14ac:dyDescent="0.35">
      <c r="A59" s="55" t="s">
        <v>146</v>
      </c>
      <c r="B59" s="61" t="s">
        <v>200</v>
      </c>
      <c r="C59" s="55">
        <v>94</v>
      </c>
      <c r="D59" s="70">
        <v>0.50800000000000001</v>
      </c>
      <c r="E59" s="55">
        <v>24.8</v>
      </c>
      <c r="F59" s="55">
        <v>0</v>
      </c>
      <c r="G59" s="55">
        <v>5</v>
      </c>
      <c r="H59" s="55"/>
      <c r="I59" s="57">
        <v>5</v>
      </c>
      <c r="J59" s="48">
        <v>8</v>
      </c>
      <c r="K59" s="48">
        <v>8</v>
      </c>
    </row>
    <row r="60" spans="1:11" ht="15.75" customHeight="1" x14ac:dyDescent="0.35">
      <c r="A60" s="55" t="s">
        <v>146</v>
      </c>
      <c r="B60" s="61" t="s">
        <v>200</v>
      </c>
      <c r="C60" s="55">
        <v>94</v>
      </c>
      <c r="D60" s="70">
        <v>0.5</v>
      </c>
      <c r="E60" s="55">
        <v>24.8</v>
      </c>
      <c r="F60" s="55">
        <v>0</v>
      </c>
      <c r="G60" s="55">
        <v>100</v>
      </c>
      <c r="H60" s="55">
        <v>870</v>
      </c>
      <c r="I60" s="57">
        <v>5</v>
      </c>
      <c r="J60" s="48">
        <v>2</v>
      </c>
      <c r="K60" s="48">
        <v>6</v>
      </c>
    </row>
    <row r="61" spans="1:11" ht="15.75" customHeight="1" x14ac:dyDescent="0.35">
      <c r="A61" s="55" t="s">
        <v>146</v>
      </c>
      <c r="B61" s="61" t="s">
        <v>200</v>
      </c>
      <c r="C61" s="59">
        <v>94</v>
      </c>
      <c r="D61" s="70">
        <v>0.5</v>
      </c>
      <c r="E61" s="55">
        <v>23</v>
      </c>
      <c r="F61" s="55">
        <v>0</v>
      </c>
      <c r="G61" s="55">
        <v>100</v>
      </c>
      <c r="H61" s="55"/>
      <c r="I61" s="57">
        <v>5</v>
      </c>
      <c r="J61" s="48">
        <v>5</v>
      </c>
      <c r="K61" s="48">
        <v>5</v>
      </c>
    </row>
    <row r="62" spans="1:11" ht="15.75" customHeight="1" x14ac:dyDescent="0.35">
      <c r="A62" s="55" t="s">
        <v>146</v>
      </c>
      <c r="B62" s="61" t="s">
        <v>200</v>
      </c>
      <c r="C62" s="59">
        <v>94</v>
      </c>
      <c r="D62" s="70">
        <v>0.5</v>
      </c>
      <c r="E62" s="55">
        <v>22</v>
      </c>
      <c r="F62" s="55">
        <v>0</v>
      </c>
      <c r="G62" s="55">
        <v>100</v>
      </c>
      <c r="H62" s="55"/>
      <c r="I62" s="57">
        <v>5</v>
      </c>
      <c r="J62" s="48">
        <v>1</v>
      </c>
      <c r="K62" s="48">
        <v>1</v>
      </c>
    </row>
    <row r="63" spans="1:11" ht="15.75" customHeight="1" x14ac:dyDescent="0.35">
      <c r="A63" s="55" t="s">
        <v>146</v>
      </c>
      <c r="B63" s="61" t="s">
        <v>181</v>
      </c>
      <c r="C63" s="55">
        <v>99</v>
      </c>
      <c r="D63" s="58">
        <v>7.59</v>
      </c>
      <c r="E63" s="55">
        <v>23.9</v>
      </c>
      <c r="F63" s="55">
        <v>0</v>
      </c>
      <c r="G63" s="55">
        <v>100</v>
      </c>
      <c r="H63" s="55">
        <v>870</v>
      </c>
      <c r="I63" s="57">
        <v>3</v>
      </c>
      <c r="J63" s="48">
        <v>5</v>
      </c>
      <c r="K63" s="48">
        <v>6</v>
      </c>
    </row>
    <row r="64" spans="1:11" ht="15.75" customHeight="1" x14ac:dyDescent="0.35">
      <c r="A64" s="55" t="s">
        <v>146</v>
      </c>
      <c r="B64" s="61" t="s">
        <v>198</v>
      </c>
      <c r="C64" s="55">
        <v>99</v>
      </c>
      <c r="D64" s="58">
        <v>13.05</v>
      </c>
      <c r="E64" s="55">
        <v>25.9</v>
      </c>
      <c r="F64" s="55">
        <v>0.45</v>
      </c>
      <c r="G64" s="55">
        <v>100</v>
      </c>
      <c r="H64" s="55">
        <v>870</v>
      </c>
      <c r="I64" s="57">
        <v>3</v>
      </c>
      <c r="J64" s="48">
        <v>4</v>
      </c>
      <c r="K64" s="48">
        <v>4</v>
      </c>
    </row>
    <row r="65" spans="1:11" ht="15.75" customHeight="1" x14ac:dyDescent="0.35">
      <c r="A65" s="55" t="s">
        <v>146</v>
      </c>
      <c r="B65" s="61" t="s">
        <v>183</v>
      </c>
      <c r="C65" s="55">
        <v>79</v>
      </c>
      <c r="D65" s="58">
        <v>15.5</v>
      </c>
      <c r="E65" s="55">
        <v>28.3</v>
      </c>
      <c r="F65" s="55">
        <v>0</v>
      </c>
      <c r="G65" s="55">
        <v>100</v>
      </c>
      <c r="H65" s="55">
        <v>1360</v>
      </c>
      <c r="I65" s="57">
        <v>3</v>
      </c>
      <c r="J65" s="48">
        <v>3</v>
      </c>
      <c r="K65" s="48">
        <v>3</v>
      </c>
    </row>
    <row r="66" spans="1:11" ht="15.75" customHeight="1" x14ac:dyDescent="0.35">
      <c r="A66" s="55" t="s">
        <v>146</v>
      </c>
      <c r="B66" s="61" t="s">
        <v>183</v>
      </c>
      <c r="C66" s="55">
        <v>79</v>
      </c>
      <c r="D66" s="58">
        <v>4.87</v>
      </c>
      <c r="E66" s="55">
        <v>25.2</v>
      </c>
      <c r="F66" s="55">
        <v>0</v>
      </c>
      <c r="G66" s="55">
        <v>100</v>
      </c>
      <c r="H66" s="55"/>
      <c r="I66" s="57">
        <v>3</v>
      </c>
      <c r="J66" s="48">
        <v>0</v>
      </c>
      <c r="K66" s="48">
        <v>0</v>
      </c>
    </row>
    <row r="67" spans="1:11" ht="15.75" customHeight="1" x14ac:dyDescent="0.35">
      <c r="A67" s="55" t="s">
        <v>146</v>
      </c>
      <c r="B67" s="61" t="s">
        <v>186</v>
      </c>
      <c r="C67" s="55">
        <v>79</v>
      </c>
      <c r="D67" s="58">
        <v>0.56999999999999995</v>
      </c>
      <c r="E67" s="55">
        <v>24.8</v>
      </c>
      <c r="F67" s="55">
        <v>0</v>
      </c>
      <c r="G67" s="55">
        <v>100</v>
      </c>
      <c r="H67" s="55">
        <v>1360</v>
      </c>
      <c r="I67" s="57">
        <v>6</v>
      </c>
      <c r="J67" s="48">
        <v>3</v>
      </c>
      <c r="K67" s="48">
        <v>4</v>
      </c>
    </row>
    <row r="68" spans="1:11" ht="15.75" customHeight="1" x14ac:dyDescent="0.35">
      <c r="A68" s="55" t="s">
        <v>146</v>
      </c>
      <c r="B68" s="61" t="s">
        <v>186</v>
      </c>
      <c r="C68" s="55">
        <v>96</v>
      </c>
      <c r="D68" s="58">
        <v>15.05</v>
      </c>
      <c r="E68" s="55">
        <v>30.2</v>
      </c>
      <c r="F68" s="55">
        <v>0</v>
      </c>
      <c r="G68" s="55">
        <v>100</v>
      </c>
      <c r="H68" s="55"/>
      <c r="I68" s="57">
        <v>6</v>
      </c>
      <c r="J68" s="48">
        <v>2</v>
      </c>
      <c r="K68" s="48">
        <v>6</v>
      </c>
    </row>
    <row r="69" spans="1:11" ht="15.75" customHeight="1" x14ac:dyDescent="0.35">
      <c r="A69" s="55" t="s">
        <v>146</v>
      </c>
      <c r="B69" s="55" t="s">
        <v>186</v>
      </c>
      <c r="C69" s="55">
        <v>57</v>
      </c>
      <c r="D69" s="58">
        <v>153.19999999999999</v>
      </c>
      <c r="E69" s="55">
        <v>30.2</v>
      </c>
      <c r="F69" s="55">
        <v>0.4</v>
      </c>
      <c r="G69" s="55">
        <v>100</v>
      </c>
      <c r="H69" s="55"/>
      <c r="I69" s="57">
        <v>6</v>
      </c>
      <c r="J69" s="48">
        <v>2</v>
      </c>
      <c r="K69" s="48">
        <v>3</v>
      </c>
    </row>
    <row r="70" spans="1:11" ht="15.75" customHeight="1" x14ac:dyDescent="0.35">
      <c r="A70" s="55" t="s">
        <v>153</v>
      </c>
      <c r="B70" s="61" t="s">
        <v>176</v>
      </c>
      <c r="C70" s="55">
        <v>98</v>
      </c>
      <c r="D70" s="58">
        <v>7.54</v>
      </c>
      <c r="E70" s="55">
        <v>25.8</v>
      </c>
      <c r="F70" s="55">
        <v>0</v>
      </c>
      <c r="G70" s="55">
        <v>100</v>
      </c>
      <c r="H70" s="55"/>
      <c r="I70" s="57">
        <v>4</v>
      </c>
      <c r="J70" s="48">
        <v>5</v>
      </c>
      <c r="K70" s="48">
        <v>7</v>
      </c>
    </row>
    <row r="71" spans="1:11" ht="15.75" customHeight="1" x14ac:dyDescent="0.35">
      <c r="A71" s="55" t="s">
        <v>153</v>
      </c>
      <c r="B71" s="61" t="s">
        <v>176</v>
      </c>
      <c r="C71" s="55">
        <v>99</v>
      </c>
      <c r="D71" s="58">
        <v>6.06</v>
      </c>
      <c r="E71" s="55">
        <v>25.35</v>
      </c>
      <c r="F71" s="55">
        <v>0</v>
      </c>
      <c r="G71" s="55">
        <v>100</v>
      </c>
      <c r="H71" s="55">
        <v>580</v>
      </c>
      <c r="I71" s="57">
        <v>4</v>
      </c>
      <c r="J71" s="48">
        <v>9</v>
      </c>
      <c r="K71" s="48">
        <v>9</v>
      </c>
    </row>
    <row r="72" spans="1:11" ht="15.75" customHeight="1" x14ac:dyDescent="0.35">
      <c r="A72" s="55" t="s">
        <v>153</v>
      </c>
      <c r="B72" s="61" t="s">
        <v>177</v>
      </c>
      <c r="C72" s="55">
        <v>98</v>
      </c>
      <c r="D72" s="58">
        <v>0.77</v>
      </c>
      <c r="E72" s="55">
        <v>22.6</v>
      </c>
      <c r="F72" s="55">
        <v>0</v>
      </c>
      <c r="G72" s="55">
        <v>100</v>
      </c>
      <c r="H72" s="55">
        <v>580</v>
      </c>
      <c r="I72" s="57">
        <v>3</v>
      </c>
      <c r="J72" s="48">
        <v>8</v>
      </c>
      <c r="K72" s="48">
        <v>14</v>
      </c>
    </row>
    <row r="73" spans="1:11" ht="15.75" customHeight="1" x14ac:dyDescent="0.35">
      <c r="A73" s="55" t="s">
        <v>153</v>
      </c>
      <c r="B73" s="61" t="s">
        <v>177</v>
      </c>
      <c r="C73" s="55">
        <v>82</v>
      </c>
      <c r="D73" s="70">
        <v>0.19800000000000001</v>
      </c>
      <c r="E73" s="55">
        <v>24.3</v>
      </c>
      <c r="F73" s="55">
        <v>0</v>
      </c>
      <c r="G73" s="55">
        <v>20</v>
      </c>
      <c r="H73" s="55"/>
      <c r="I73" s="57">
        <v>3</v>
      </c>
      <c r="J73" s="48">
        <v>9</v>
      </c>
      <c r="K73" s="48">
        <v>12</v>
      </c>
    </row>
    <row r="74" spans="1:11" ht="15.75" customHeight="1" x14ac:dyDescent="0.35">
      <c r="A74" s="55" t="s">
        <v>153</v>
      </c>
      <c r="B74" s="61" t="s">
        <v>200</v>
      </c>
      <c r="C74" s="55">
        <v>98</v>
      </c>
      <c r="D74" s="58">
        <v>3.69</v>
      </c>
      <c r="E74" s="55">
        <v>22.35</v>
      </c>
      <c r="F74" s="55">
        <v>0</v>
      </c>
      <c r="G74" s="55">
        <v>0</v>
      </c>
      <c r="H74" s="55">
        <v>870</v>
      </c>
      <c r="I74" s="57">
        <v>5</v>
      </c>
      <c r="J74" s="48">
        <v>3</v>
      </c>
      <c r="K74" s="48">
        <v>7</v>
      </c>
    </row>
    <row r="75" spans="1:11" ht="15.75" customHeight="1" x14ac:dyDescent="0.35">
      <c r="A75" s="55" t="s">
        <v>153</v>
      </c>
      <c r="B75" s="61" t="s">
        <v>200</v>
      </c>
      <c r="C75" s="55">
        <v>98</v>
      </c>
      <c r="D75" s="58">
        <v>3.69</v>
      </c>
      <c r="E75" s="55">
        <v>22.35</v>
      </c>
      <c r="F75" s="55">
        <v>0</v>
      </c>
      <c r="G75" s="55">
        <v>0</v>
      </c>
      <c r="H75" s="55">
        <v>870</v>
      </c>
      <c r="I75" s="57">
        <v>5</v>
      </c>
      <c r="J75" s="48">
        <v>13</v>
      </c>
      <c r="K75" s="48">
        <v>14</v>
      </c>
    </row>
    <row r="76" spans="1:11" ht="15.75" customHeight="1" x14ac:dyDescent="0.35">
      <c r="A76" s="55" t="s">
        <v>153</v>
      </c>
      <c r="B76" s="61" t="s">
        <v>200</v>
      </c>
      <c r="C76" s="55">
        <v>90</v>
      </c>
      <c r="D76" s="70">
        <v>3.5000000000000003E-2</v>
      </c>
      <c r="E76" s="55">
        <v>24.2</v>
      </c>
      <c r="F76" s="55">
        <v>0</v>
      </c>
      <c r="G76" s="55">
        <v>20</v>
      </c>
      <c r="H76" s="55"/>
      <c r="I76" s="57">
        <v>5</v>
      </c>
      <c r="J76" s="48">
        <v>1</v>
      </c>
      <c r="K76" s="48">
        <v>1</v>
      </c>
    </row>
    <row r="77" spans="1:11" ht="15.75" customHeight="1" x14ac:dyDescent="0.35">
      <c r="A77" s="55" t="s">
        <v>153</v>
      </c>
      <c r="B77" s="61" t="s">
        <v>200</v>
      </c>
      <c r="C77" s="55">
        <v>61</v>
      </c>
      <c r="D77" s="70">
        <v>9.4E-2</v>
      </c>
      <c r="E77" s="55">
        <v>25.5</v>
      </c>
      <c r="F77" s="55">
        <v>0</v>
      </c>
      <c r="G77" s="55">
        <v>15</v>
      </c>
      <c r="H77" s="55"/>
      <c r="I77" s="57">
        <v>5</v>
      </c>
      <c r="J77" s="48">
        <v>6</v>
      </c>
      <c r="K77" s="48">
        <v>8</v>
      </c>
    </row>
    <row r="78" spans="1:11" ht="15.75" customHeight="1" x14ac:dyDescent="0.35">
      <c r="A78" s="55" t="s">
        <v>153</v>
      </c>
      <c r="B78" s="61" t="s">
        <v>200</v>
      </c>
      <c r="C78" s="55">
        <v>65</v>
      </c>
      <c r="D78" s="70">
        <v>3.5000000000000003E-2</v>
      </c>
      <c r="E78" s="55">
        <v>25.7</v>
      </c>
      <c r="F78" s="55">
        <v>0</v>
      </c>
      <c r="G78" s="55">
        <v>100</v>
      </c>
      <c r="H78" s="55"/>
      <c r="I78" s="57">
        <v>5</v>
      </c>
      <c r="J78" s="48">
        <v>3</v>
      </c>
      <c r="K78" s="48">
        <v>3</v>
      </c>
    </row>
    <row r="79" spans="1:11" ht="15.75" customHeight="1" x14ac:dyDescent="0.35">
      <c r="A79" s="55" t="s">
        <v>153</v>
      </c>
      <c r="B79" s="61" t="s">
        <v>180</v>
      </c>
      <c r="C79" s="55">
        <v>85</v>
      </c>
      <c r="D79" s="58">
        <v>3.81</v>
      </c>
      <c r="E79" s="55">
        <v>25</v>
      </c>
      <c r="F79" s="55">
        <v>0</v>
      </c>
      <c r="G79" s="55">
        <v>78.33</v>
      </c>
      <c r="H79" s="55">
        <v>870</v>
      </c>
      <c r="I79" s="57">
        <v>5</v>
      </c>
      <c r="J79" s="48">
        <v>3</v>
      </c>
      <c r="K79" s="48">
        <v>3</v>
      </c>
    </row>
    <row r="80" spans="1:11" ht="15.75" customHeight="1" x14ac:dyDescent="0.35">
      <c r="A80" s="55" t="s">
        <v>153</v>
      </c>
      <c r="B80" s="61" t="s">
        <v>180</v>
      </c>
      <c r="C80" s="55">
        <v>61</v>
      </c>
      <c r="D80" s="58">
        <v>4.78</v>
      </c>
      <c r="E80" s="55">
        <v>28.7</v>
      </c>
      <c r="F80" s="55">
        <v>0</v>
      </c>
      <c r="G80" s="55">
        <v>100</v>
      </c>
      <c r="H80" s="55"/>
      <c r="I80" s="57">
        <v>5</v>
      </c>
      <c r="J80" s="48">
        <v>0</v>
      </c>
      <c r="K80" s="48">
        <v>0</v>
      </c>
    </row>
    <row r="81" spans="1:11" ht="15.75" customHeight="1" x14ac:dyDescent="0.35">
      <c r="A81" s="55" t="s">
        <v>153</v>
      </c>
      <c r="B81" s="61" t="s">
        <v>180</v>
      </c>
      <c r="C81" s="55">
        <v>47</v>
      </c>
      <c r="D81" s="70">
        <v>0.74399999999999999</v>
      </c>
      <c r="E81" s="55">
        <v>29.9</v>
      </c>
      <c r="F81" s="55">
        <v>0</v>
      </c>
      <c r="G81" s="55">
        <v>2</v>
      </c>
      <c r="H81" s="55"/>
      <c r="I81" s="57">
        <v>5</v>
      </c>
      <c r="J81" s="48">
        <v>2</v>
      </c>
      <c r="K81" s="48">
        <v>2</v>
      </c>
    </row>
    <row r="82" spans="1:11" ht="15.75" customHeight="1" x14ac:dyDescent="0.35">
      <c r="A82" s="55" t="s">
        <v>153</v>
      </c>
      <c r="B82" s="61" t="s">
        <v>180</v>
      </c>
      <c r="C82" s="55">
        <v>50</v>
      </c>
      <c r="D82" s="70">
        <v>0.7</v>
      </c>
      <c r="E82" s="55">
        <v>26.3</v>
      </c>
      <c r="F82" s="55">
        <v>0</v>
      </c>
      <c r="G82" s="55">
        <v>100</v>
      </c>
      <c r="H82" s="55"/>
      <c r="I82" s="57">
        <v>5</v>
      </c>
      <c r="J82" s="48">
        <v>2</v>
      </c>
      <c r="K82" s="48">
        <v>5</v>
      </c>
    </row>
    <row r="83" spans="1:11" ht="15.75" customHeight="1" x14ac:dyDescent="0.35">
      <c r="A83" s="55" t="s">
        <v>153</v>
      </c>
      <c r="B83" s="61" t="s">
        <v>181</v>
      </c>
      <c r="C83" s="55">
        <v>85</v>
      </c>
      <c r="D83" s="58">
        <v>13.84</v>
      </c>
      <c r="E83" s="55">
        <v>26.7</v>
      </c>
      <c r="F83" s="55">
        <v>0</v>
      </c>
      <c r="G83" s="55">
        <v>100</v>
      </c>
      <c r="H83" s="55">
        <v>870</v>
      </c>
      <c r="I83" s="57">
        <v>3</v>
      </c>
      <c r="J83" s="48">
        <v>4</v>
      </c>
      <c r="K83" s="48">
        <v>6</v>
      </c>
    </row>
    <row r="84" spans="1:11" ht="15.75" customHeight="1" x14ac:dyDescent="0.35">
      <c r="A84" s="55" t="s">
        <v>153</v>
      </c>
      <c r="B84" s="61" t="s">
        <v>181</v>
      </c>
      <c r="C84" s="55">
        <v>55</v>
      </c>
      <c r="D84" s="58">
        <v>55.3</v>
      </c>
      <c r="E84" s="55">
        <v>30.2</v>
      </c>
      <c r="F84" s="55">
        <v>0</v>
      </c>
      <c r="G84" s="55">
        <v>100</v>
      </c>
      <c r="H84" s="55"/>
      <c r="I84" s="57">
        <v>3</v>
      </c>
      <c r="J84" s="48">
        <v>0</v>
      </c>
      <c r="K84" s="48">
        <v>0</v>
      </c>
    </row>
    <row r="85" spans="1:11" ht="15.75" customHeight="1" x14ac:dyDescent="0.35">
      <c r="A85" s="55" t="s">
        <v>153</v>
      </c>
      <c r="B85" s="61" t="s">
        <v>181</v>
      </c>
      <c r="C85" s="55">
        <v>51</v>
      </c>
      <c r="D85" s="58">
        <v>26.78</v>
      </c>
      <c r="E85" s="55">
        <v>30.7</v>
      </c>
      <c r="F85" s="55">
        <v>0</v>
      </c>
      <c r="G85" s="55">
        <v>23.33</v>
      </c>
      <c r="H85" s="55"/>
      <c r="I85" s="57">
        <v>3</v>
      </c>
      <c r="J85" s="48">
        <v>2</v>
      </c>
      <c r="K85" s="48">
        <v>2</v>
      </c>
    </row>
    <row r="86" spans="1:11" ht="15.75" customHeight="1" x14ac:dyDescent="0.35">
      <c r="A86" s="55" t="s">
        <v>153</v>
      </c>
      <c r="B86" s="61" t="s">
        <v>198</v>
      </c>
      <c r="C86" s="55">
        <v>90</v>
      </c>
      <c r="D86" s="58">
        <v>8.44</v>
      </c>
      <c r="E86" s="55">
        <v>27.4</v>
      </c>
      <c r="F86" s="55">
        <v>0.8</v>
      </c>
      <c r="G86" s="55">
        <v>100</v>
      </c>
      <c r="H86" s="55">
        <v>870</v>
      </c>
      <c r="I86" s="57">
        <v>3</v>
      </c>
      <c r="J86" s="48">
        <v>12</v>
      </c>
      <c r="K86" s="48">
        <v>17</v>
      </c>
    </row>
    <row r="87" spans="1:11" ht="15.75" customHeight="1" x14ac:dyDescent="0.35">
      <c r="A87" s="55" t="s">
        <v>153</v>
      </c>
      <c r="B87" s="56" t="s">
        <v>198</v>
      </c>
      <c r="C87" s="55">
        <v>58</v>
      </c>
      <c r="D87" s="58">
        <v>30.1</v>
      </c>
      <c r="E87" s="55">
        <v>29.1</v>
      </c>
      <c r="F87" s="55">
        <v>0</v>
      </c>
      <c r="G87" s="55">
        <v>98.75</v>
      </c>
      <c r="H87" s="55"/>
      <c r="I87" s="57">
        <v>3</v>
      </c>
      <c r="J87" s="48">
        <v>2</v>
      </c>
      <c r="K87" s="48">
        <v>2</v>
      </c>
    </row>
    <row r="88" spans="1:11" ht="15.75" customHeight="1" x14ac:dyDescent="0.35">
      <c r="A88" s="55" t="s">
        <v>153</v>
      </c>
      <c r="B88" s="61" t="s">
        <v>183</v>
      </c>
      <c r="C88" s="55">
        <v>95</v>
      </c>
      <c r="D88" s="58">
        <v>10.69</v>
      </c>
      <c r="E88" s="55">
        <v>22.8</v>
      </c>
      <c r="F88" s="55">
        <v>1.2</v>
      </c>
      <c r="G88" s="55">
        <v>100</v>
      </c>
      <c r="H88" s="55">
        <v>1100</v>
      </c>
      <c r="I88" s="57">
        <v>3</v>
      </c>
      <c r="J88" s="48">
        <v>4</v>
      </c>
      <c r="K88" s="48">
        <v>7</v>
      </c>
    </row>
    <row r="89" spans="1:11" ht="15.75" customHeight="1" x14ac:dyDescent="0.35">
      <c r="A89" s="55" t="s">
        <v>153</v>
      </c>
      <c r="B89" s="61" t="s">
        <v>183</v>
      </c>
      <c r="C89" s="55">
        <v>95</v>
      </c>
      <c r="D89" s="58">
        <v>5.99</v>
      </c>
      <c r="E89" s="55">
        <v>25.7</v>
      </c>
      <c r="F89" s="55">
        <v>0</v>
      </c>
      <c r="G89" s="55">
        <v>100</v>
      </c>
      <c r="H89" s="55">
        <v>1420</v>
      </c>
      <c r="I89" s="57">
        <v>3</v>
      </c>
      <c r="J89" s="48">
        <v>5</v>
      </c>
      <c r="K89" s="48">
        <v>7</v>
      </c>
    </row>
    <row r="90" spans="1:11" ht="15.75" customHeight="1" x14ac:dyDescent="0.35">
      <c r="A90" s="55" t="s">
        <v>153</v>
      </c>
      <c r="B90" s="56" t="s">
        <v>183</v>
      </c>
      <c r="C90" s="55">
        <v>98</v>
      </c>
      <c r="D90" s="58">
        <v>3.61</v>
      </c>
      <c r="E90" s="55">
        <v>23</v>
      </c>
      <c r="F90" s="55">
        <v>0</v>
      </c>
      <c r="G90" s="55">
        <v>100</v>
      </c>
      <c r="H90" s="55"/>
      <c r="I90" s="57">
        <v>3</v>
      </c>
      <c r="J90" s="48">
        <v>0</v>
      </c>
      <c r="K90" s="48">
        <v>0</v>
      </c>
    </row>
    <row r="91" spans="1:11" ht="15.75" customHeight="1" x14ac:dyDescent="0.35">
      <c r="A91" s="55" t="s">
        <v>153</v>
      </c>
      <c r="B91" s="61" t="s">
        <v>183</v>
      </c>
      <c r="C91" s="55">
        <v>80</v>
      </c>
      <c r="D91" s="58">
        <v>6.89</v>
      </c>
      <c r="E91" s="55">
        <v>24.3</v>
      </c>
      <c r="F91" s="55">
        <v>0.87</v>
      </c>
      <c r="G91" s="55">
        <v>100</v>
      </c>
      <c r="H91" s="55"/>
      <c r="I91" s="57">
        <v>3</v>
      </c>
      <c r="J91" s="48">
        <v>2</v>
      </c>
      <c r="K91" s="48">
        <v>2</v>
      </c>
    </row>
    <row r="92" spans="1:11" ht="15.75" customHeight="1" x14ac:dyDescent="0.35">
      <c r="A92" s="55" t="s">
        <v>153</v>
      </c>
      <c r="B92" s="61" t="s">
        <v>186</v>
      </c>
      <c r="C92" s="55">
        <v>95</v>
      </c>
      <c r="D92" s="58">
        <v>1.44</v>
      </c>
      <c r="E92" s="55">
        <v>25.1</v>
      </c>
      <c r="F92" s="55">
        <v>0</v>
      </c>
      <c r="G92" s="55">
        <v>100</v>
      </c>
      <c r="H92" s="55">
        <v>1420</v>
      </c>
      <c r="I92" s="57">
        <v>6</v>
      </c>
      <c r="J92" s="48">
        <v>2</v>
      </c>
      <c r="K92" s="48">
        <v>7</v>
      </c>
    </row>
    <row r="93" spans="1:11" ht="15.75" customHeight="1" x14ac:dyDescent="0.35">
      <c r="A93" s="55" t="s">
        <v>153</v>
      </c>
      <c r="B93" s="61" t="s">
        <v>186</v>
      </c>
      <c r="C93" s="55">
        <v>99</v>
      </c>
      <c r="D93" s="58">
        <v>0.54</v>
      </c>
      <c r="E93" s="55">
        <v>21.9</v>
      </c>
      <c r="F93" s="55">
        <v>0</v>
      </c>
      <c r="G93" s="55">
        <v>100</v>
      </c>
      <c r="H93" s="55">
        <v>1420</v>
      </c>
      <c r="I93" s="57">
        <v>6</v>
      </c>
      <c r="J93" s="48">
        <v>3</v>
      </c>
      <c r="K93" s="48">
        <v>3</v>
      </c>
    </row>
    <row r="94" spans="1:11" ht="15.75" customHeight="1" x14ac:dyDescent="0.35">
      <c r="A94" s="55" t="s">
        <v>153</v>
      </c>
      <c r="B94" s="61" t="s">
        <v>186</v>
      </c>
      <c r="C94" s="55">
        <v>99</v>
      </c>
      <c r="D94" s="58">
        <v>0.63</v>
      </c>
      <c r="E94" s="55">
        <v>25.1</v>
      </c>
      <c r="F94" s="55">
        <v>0</v>
      </c>
      <c r="G94" s="55">
        <v>100</v>
      </c>
      <c r="H94" s="55"/>
      <c r="I94" s="57">
        <v>6</v>
      </c>
      <c r="J94" s="48">
        <v>3</v>
      </c>
      <c r="K94" s="48">
        <v>8</v>
      </c>
    </row>
    <row r="95" spans="1:11" ht="15.75" customHeight="1" x14ac:dyDescent="0.35">
      <c r="A95" s="55" t="s">
        <v>153</v>
      </c>
      <c r="B95" s="61" t="s">
        <v>186</v>
      </c>
      <c r="C95" s="55">
        <v>99</v>
      </c>
      <c r="D95" s="58">
        <v>1.67</v>
      </c>
      <c r="E95" s="55">
        <v>25.2</v>
      </c>
      <c r="F95" s="55">
        <v>0</v>
      </c>
      <c r="G95" s="55">
        <v>100</v>
      </c>
      <c r="H95" s="55"/>
      <c r="I95" s="57">
        <v>6</v>
      </c>
      <c r="J95" s="48">
        <v>3</v>
      </c>
      <c r="K95" s="48">
        <v>4</v>
      </c>
    </row>
    <row r="96" spans="1:11" ht="15.75" customHeight="1" x14ac:dyDescent="0.35">
      <c r="A96" s="55" t="s">
        <v>158</v>
      </c>
      <c r="B96" s="61" t="s">
        <v>176</v>
      </c>
      <c r="C96" s="55">
        <v>96</v>
      </c>
      <c r="D96" s="58">
        <v>1.1399999999999999</v>
      </c>
      <c r="E96" s="55">
        <v>26.4</v>
      </c>
      <c r="F96" s="55">
        <v>0</v>
      </c>
      <c r="G96" s="55">
        <v>22</v>
      </c>
      <c r="H96" s="55">
        <v>550</v>
      </c>
      <c r="I96" s="57">
        <v>4</v>
      </c>
      <c r="J96" s="48">
        <v>4</v>
      </c>
      <c r="K96" s="48">
        <v>7</v>
      </c>
    </row>
    <row r="97" spans="1:11" ht="15.75" customHeight="1" x14ac:dyDescent="0.35">
      <c r="A97" s="55" t="s">
        <v>158</v>
      </c>
      <c r="B97" s="61" t="s">
        <v>176</v>
      </c>
      <c r="C97" s="55">
        <v>99</v>
      </c>
      <c r="D97" s="58">
        <v>8.51</v>
      </c>
      <c r="E97" s="55">
        <v>26.5</v>
      </c>
      <c r="F97" s="55">
        <v>0</v>
      </c>
      <c r="G97" s="55">
        <v>36.659999999999997</v>
      </c>
      <c r="H97" s="55"/>
      <c r="I97" s="57">
        <v>4</v>
      </c>
      <c r="J97" s="48">
        <v>9</v>
      </c>
      <c r="K97" s="48">
        <v>9</v>
      </c>
    </row>
    <row r="98" spans="1:11" ht="15.75" customHeight="1" x14ac:dyDescent="0.35">
      <c r="A98" s="55" t="s">
        <v>158</v>
      </c>
      <c r="B98" s="61" t="s">
        <v>176</v>
      </c>
      <c r="C98" s="55">
        <v>99</v>
      </c>
      <c r="D98" s="58">
        <v>8.52</v>
      </c>
      <c r="E98" s="55">
        <v>26.5</v>
      </c>
      <c r="F98" s="55">
        <v>0</v>
      </c>
      <c r="G98" s="55">
        <v>100</v>
      </c>
      <c r="H98" s="55"/>
      <c r="I98" s="57">
        <v>4</v>
      </c>
      <c r="J98" s="48">
        <v>5</v>
      </c>
      <c r="K98" s="48">
        <v>6</v>
      </c>
    </row>
    <row r="99" spans="1:11" ht="15.75" customHeight="1" x14ac:dyDescent="0.35">
      <c r="A99" s="55" t="s">
        <v>158</v>
      </c>
      <c r="B99" s="61" t="s">
        <v>178</v>
      </c>
      <c r="C99" s="55">
        <v>99</v>
      </c>
      <c r="D99" s="58">
        <v>6.93</v>
      </c>
      <c r="E99" s="55">
        <v>23.5</v>
      </c>
      <c r="F99" s="55">
        <v>0</v>
      </c>
      <c r="G99" s="55">
        <v>98</v>
      </c>
      <c r="H99" s="55"/>
      <c r="I99" s="57">
        <v>3</v>
      </c>
      <c r="J99" s="48">
        <v>7</v>
      </c>
      <c r="K99" s="48">
        <v>7</v>
      </c>
    </row>
    <row r="100" spans="1:11" ht="15.75" customHeight="1" x14ac:dyDescent="0.35">
      <c r="A100" s="55" t="s">
        <v>158</v>
      </c>
      <c r="B100" s="61" t="s">
        <v>178</v>
      </c>
      <c r="C100" s="55">
        <v>99</v>
      </c>
      <c r="D100" s="58">
        <v>6.8</v>
      </c>
      <c r="E100" s="55">
        <v>23.5</v>
      </c>
      <c r="F100" s="55">
        <v>0</v>
      </c>
      <c r="G100" s="55">
        <v>100</v>
      </c>
      <c r="H100" s="55"/>
      <c r="I100" s="57">
        <v>3</v>
      </c>
      <c r="J100" s="48">
        <v>1</v>
      </c>
      <c r="K100" s="48">
        <v>1</v>
      </c>
    </row>
    <row r="101" spans="1:11" ht="15.75" customHeight="1" x14ac:dyDescent="0.35">
      <c r="A101" s="55" t="s">
        <v>158</v>
      </c>
      <c r="B101" s="61" t="s">
        <v>200</v>
      </c>
      <c r="C101" s="55">
        <v>89</v>
      </c>
      <c r="D101" s="58">
        <v>2.74</v>
      </c>
      <c r="E101" s="55">
        <v>23.5</v>
      </c>
      <c r="F101" s="55">
        <v>0</v>
      </c>
      <c r="G101" s="55">
        <v>0</v>
      </c>
      <c r="H101" s="55">
        <v>700</v>
      </c>
      <c r="I101" s="57">
        <v>5</v>
      </c>
      <c r="J101" s="48">
        <v>13</v>
      </c>
      <c r="K101" s="48">
        <v>16</v>
      </c>
    </row>
    <row r="102" spans="1:11" ht="15.75" customHeight="1" x14ac:dyDescent="0.35">
      <c r="A102" s="55" t="s">
        <v>158</v>
      </c>
      <c r="B102" s="61" t="s">
        <v>200</v>
      </c>
      <c r="C102" s="55">
        <v>99</v>
      </c>
      <c r="D102" s="58">
        <v>0.32</v>
      </c>
      <c r="E102" s="55">
        <v>21.5</v>
      </c>
      <c r="F102" s="55">
        <v>0</v>
      </c>
      <c r="G102" s="55">
        <v>100</v>
      </c>
      <c r="H102" s="55"/>
      <c r="I102" s="57">
        <v>5</v>
      </c>
      <c r="J102" s="48">
        <v>3</v>
      </c>
      <c r="K102" s="48">
        <v>3</v>
      </c>
    </row>
    <row r="103" spans="1:11" ht="15.75" customHeight="1" x14ac:dyDescent="0.35">
      <c r="A103" s="55" t="s">
        <v>158</v>
      </c>
      <c r="B103" s="61" t="s">
        <v>200</v>
      </c>
      <c r="C103" s="55">
        <v>87</v>
      </c>
      <c r="D103" s="58">
        <v>0.03</v>
      </c>
      <c r="E103" s="55">
        <v>23.2</v>
      </c>
      <c r="F103" s="55">
        <v>0</v>
      </c>
      <c r="G103" s="55">
        <v>100</v>
      </c>
      <c r="H103" s="55"/>
      <c r="I103" s="57">
        <v>5</v>
      </c>
      <c r="J103" s="48">
        <v>3</v>
      </c>
      <c r="K103" s="48">
        <v>3</v>
      </c>
    </row>
    <row r="104" spans="1:11" ht="15.75" customHeight="1" x14ac:dyDescent="0.35">
      <c r="A104" s="55" t="s">
        <v>158</v>
      </c>
      <c r="B104" s="61" t="s">
        <v>200</v>
      </c>
      <c r="C104" s="55">
        <v>85</v>
      </c>
      <c r="D104" s="58">
        <v>0.04</v>
      </c>
      <c r="E104" s="55">
        <v>23.2</v>
      </c>
      <c r="F104" s="55">
        <v>0</v>
      </c>
      <c r="G104" s="55">
        <v>50</v>
      </c>
      <c r="H104" s="55"/>
      <c r="I104" s="57">
        <v>5</v>
      </c>
      <c r="J104" s="48">
        <v>1</v>
      </c>
      <c r="K104" s="48">
        <v>1</v>
      </c>
    </row>
    <row r="105" spans="1:11" ht="15.75" customHeight="1" x14ac:dyDescent="0.35">
      <c r="A105" s="55" t="s">
        <v>158</v>
      </c>
      <c r="B105" s="61" t="s">
        <v>180</v>
      </c>
      <c r="C105" s="55">
        <v>88</v>
      </c>
      <c r="D105" s="58">
        <v>0.69</v>
      </c>
      <c r="E105" s="55">
        <v>23.4</v>
      </c>
      <c r="F105" s="55">
        <v>6</v>
      </c>
      <c r="G105" s="55">
        <v>100</v>
      </c>
      <c r="H105" s="55">
        <v>700</v>
      </c>
      <c r="I105" s="57">
        <v>5</v>
      </c>
      <c r="J105" s="48">
        <v>8</v>
      </c>
      <c r="K105" s="48">
        <v>9</v>
      </c>
    </row>
    <row r="106" spans="1:11" ht="15.75" customHeight="1" x14ac:dyDescent="0.35">
      <c r="A106" s="55" t="s">
        <v>158</v>
      </c>
      <c r="B106" s="61" t="s">
        <v>180</v>
      </c>
      <c r="C106" s="55">
        <v>88</v>
      </c>
      <c r="D106" s="58">
        <v>1.86</v>
      </c>
      <c r="E106" s="55">
        <v>27.2</v>
      </c>
      <c r="F106" s="55">
        <v>0.6</v>
      </c>
      <c r="G106" s="55">
        <v>100</v>
      </c>
      <c r="H106" s="55"/>
      <c r="I106" s="57">
        <v>5</v>
      </c>
      <c r="J106" s="48">
        <v>4</v>
      </c>
      <c r="K106" s="48">
        <v>4</v>
      </c>
    </row>
    <row r="107" spans="1:11" ht="15.75" customHeight="1" x14ac:dyDescent="0.35">
      <c r="A107" s="55" t="s">
        <v>158</v>
      </c>
      <c r="B107" s="61" t="s">
        <v>181</v>
      </c>
      <c r="C107" s="55">
        <v>80</v>
      </c>
      <c r="D107" s="58">
        <v>51.6</v>
      </c>
      <c r="E107" s="55">
        <v>28.7</v>
      </c>
      <c r="F107" s="55">
        <v>2.5</v>
      </c>
      <c r="G107" s="55">
        <v>0</v>
      </c>
      <c r="H107" s="55">
        <v>700</v>
      </c>
      <c r="I107" s="57">
        <v>3</v>
      </c>
      <c r="J107" s="48">
        <v>5</v>
      </c>
      <c r="K107" s="48">
        <v>5</v>
      </c>
    </row>
    <row r="108" spans="1:11" ht="15.75" customHeight="1" x14ac:dyDescent="0.35">
      <c r="A108" s="55" t="s">
        <v>158</v>
      </c>
      <c r="B108" s="61" t="s">
        <v>198</v>
      </c>
      <c r="C108" s="55">
        <v>71</v>
      </c>
      <c r="D108" s="58">
        <v>7.17</v>
      </c>
      <c r="E108" s="55">
        <v>26.1</v>
      </c>
      <c r="F108" s="55">
        <v>1.9</v>
      </c>
      <c r="G108" s="55">
        <v>0</v>
      </c>
      <c r="H108" s="55">
        <v>700</v>
      </c>
      <c r="I108" s="57">
        <v>3</v>
      </c>
      <c r="J108" s="48">
        <v>9</v>
      </c>
      <c r="K108" s="48">
        <v>11</v>
      </c>
    </row>
    <row r="109" spans="1:11" ht="15.75" customHeight="1" x14ac:dyDescent="0.35">
      <c r="A109" s="55" t="s">
        <v>158</v>
      </c>
      <c r="B109" s="61" t="s">
        <v>198</v>
      </c>
      <c r="C109" s="55">
        <v>74</v>
      </c>
      <c r="D109" s="58">
        <v>7.5</v>
      </c>
      <c r="E109" s="55">
        <v>26</v>
      </c>
      <c r="F109" s="55">
        <v>0</v>
      </c>
      <c r="G109" s="55">
        <v>100</v>
      </c>
      <c r="H109" s="55"/>
      <c r="I109" s="57">
        <v>3</v>
      </c>
      <c r="J109" s="48">
        <v>1</v>
      </c>
      <c r="K109" s="48">
        <v>1</v>
      </c>
    </row>
    <row r="110" spans="1:11" ht="15.75" customHeight="1" x14ac:dyDescent="0.35">
      <c r="A110" s="55" t="s">
        <v>158</v>
      </c>
      <c r="B110" s="61" t="s">
        <v>198</v>
      </c>
      <c r="C110" s="55">
        <v>54</v>
      </c>
      <c r="D110" s="58">
        <v>10.85</v>
      </c>
      <c r="E110" s="55">
        <v>28.3</v>
      </c>
      <c r="F110" s="55">
        <v>1.45</v>
      </c>
      <c r="G110" s="55">
        <v>35</v>
      </c>
      <c r="H110" s="55"/>
      <c r="I110" s="57">
        <v>3</v>
      </c>
      <c r="J110" s="48">
        <v>4</v>
      </c>
      <c r="K110" s="48">
        <v>4</v>
      </c>
    </row>
    <row r="111" spans="1:11" ht="15.75" customHeight="1" x14ac:dyDescent="0.35">
      <c r="A111" s="55" t="s">
        <v>158</v>
      </c>
      <c r="B111" s="61" t="s">
        <v>183</v>
      </c>
      <c r="C111" s="55">
        <v>77</v>
      </c>
      <c r="D111" s="58">
        <v>19</v>
      </c>
      <c r="E111" s="55">
        <v>23.9</v>
      </c>
      <c r="F111" s="55">
        <v>0</v>
      </c>
      <c r="G111" s="55">
        <v>100</v>
      </c>
      <c r="H111" s="55"/>
      <c r="I111" s="57">
        <v>3</v>
      </c>
      <c r="J111" s="48">
        <v>4</v>
      </c>
      <c r="K111" s="48">
        <v>13</v>
      </c>
    </row>
    <row r="112" spans="1:11" ht="15.75" customHeight="1" x14ac:dyDescent="0.35">
      <c r="A112" s="55" t="s">
        <v>158</v>
      </c>
      <c r="B112" s="61" t="s">
        <v>183</v>
      </c>
      <c r="C112" s="55">
        <v>99</v>
      </c>
      <c r="D112" s="58">
        <v>29.59</v>
      </c>
      <c r="E112" s="55">
        <v>24.9</v>
      </c>
      <c r="F112" s="55">
        <v>0.65</v>
      </c>
      <c r="G112" s="55">
        <v>99</v>
      </c>
      <c r="H112" s="55">
        <v>700</v>
      </c>
      <c r="I112" s="57">
        <v>3</v>
      </c>
      <c r="J112" s="48">
        <v>4</v>
      </c>
      <c r="K112" s="48">
        <v>7</v>
      </c>
    </row>
    <row r="113" spans="1:11" ht="15.75" customHeight="1" x14ac:dyDescent="0.35">
      <c r="A113" s="55" t="s">
        <v>158</v>
      </c>
      <c r="B113" s="61" t="s">
        <v>183</v>
      </c>
      <c r="C113" s="55">
        <v>74</v>
      </c>
      <c r="D113" s="58">
        <v>1.52</v>
      </c>
      <c r="E113" s="55">
        <v>19.829999999999998</v>
      </c>
      <c r="F113" s="55">
        <v>0.85</v>
      </c>
      <c r="G113" s="55">
        <v>100</v>
      </c>
      <c r="H113" s="55"/>
      <c r="I113" s="57">
        <v>3</v>
      </c>
      <c r="J113" s="48">
        <v>2</v>
      </c>
      <c r="K113" s="48">
        <v>2</v>
      </c>
    </row>
    <row r="114" spans="1:11" ht="15.75" customHeight="1" x14ac:dyDescent="0.35">
      <c r="A114" s="55" t="s">
        <v>158</v>
      </c>
      <c r="B114" s="61" t="s">
        <v>186</v>
      </c>
      <c r="C114" s="55">
        <v>95</v>
      </c>
      <c r="D114" s="58">
        <v>0.4</v>
      </c>
      <c r="E114" s="55">
        <v>17.100000000000001</v>
      </c>
      <c r="F114" s="55">
        <v>0</v>
      </c>
      <c r="G114" s="55">
        <v>0</v>
      </c>
      <c r="H114" s="55">
        <v>700</v>
      </c>
      <c r="I114" s="57">
        <v>6</v>
      </c>
      <c r="J114" s="48">
        <v>10</v>
      </c>
      <c r="K114" s="48">
        <v>33</v>
      </c>
    </row>
    <row r="115" spans="1:11" ht="15.75" customHeight="1" x14ac:dyDescent="0.35">
      <c r="A115" s="55" t="s">
        <v>158</v>
      </c>
      <c r="B115" s="61" t="s">
        <v>186</v>
      </c>
      <c r="C115" s="55">
        <v>95</v>
      </c>
      <c r="D115" s="58">
        <v>0.42</v>
      </c>
      <c r="E115" s="55">
        <v>17.2</v>
      </c>
      <c r="F115" s="55">
        <v>0</v>
      </c>
      <c r="G115" s="55">
        <v>100</v>
      </c>
      <c r="H115" s="55"/>
      <c r="I115" s="57">
        <v>6</v>
      </c>
      <c r="J115" s="48">
        <v>1</v>
      </c>
      <c r="K115" s="48">
        <v>1</v>
      </c>
    </row>
    <row r="116" spans="1:11" ht="15.75" customHeight="1" x14ac:dyDescent="0.35">
      <c r="A116" s="55" t="s">
        <v>158</v>
      </c>
      <c r="B116" s="61" t="s">
        <v>186</v>
      </c>
      <c r="C116" s="55">
        <v>95</v>
      </c>
      <c r="D116" s="58">
        <v>0.41</v>
      </c>
      <c r="E116" s="55">
        <v>17.100000000000001</v>
      </c>
      <c r="F116" s="55">
        <v>0</v>
      </c>
      <c r="G116" s="55">
        <v>100</v>
      </c>
      <c r="H116" s="55">
        <v>700</v>
      </c>
      <c r="I116" s="57">
        <v>6</v>
      </c>
      <c r="J116" s="48">
        <v>8</v>
      </c>
      <c r="K116" s="48">
        <v>11</v>
      </c>
    </row>
    <row r="117" spans="1:11" ht="15.75" customHeight="1" x14ac:dyDescent="0.35">
      <c r="A117" s="55" t="s">
        <v>158</v>
      </c>
      <c r="B117" s="61" t="s">
        <v>186</v>
      </c>
      <c r="C117" s="55">
        <v>87</v>
      </c>
      <c r="D117" s="58">
        <v>0.16</v>
      </c>
      <c r="E117" s="55">
        <v>20.2</v>
      </c>
      <c r="F117" s="55">
        <v>0</v>
      </c>
      <c r="G117" s="55">
        <v>100</v>
      </c>
      <c r="H117" s="55"/>
      <c r="I117" s="57">
        <v>6</v>
      </c>
      <c r="J117" s="48">
        <v>6</v>
      </c>
      <c r="K117" s="48">
        <v>6</v>
      </c>
    </row>
    <row r="118" spans="1:11" ht="15.75" customHeight="1" x14ac:dyDescent="0.35">
      <c r="A118" s="55" t="s">
        <v>164</v>
      </c>
      <c r="B118" s="61" t="s">
        <v>176</v>
      </c>
      <c r="C118" s="55">
        <v>89</v>
      </c>
      <c r="D118" s="58">
        <v>1.36</v>
      </c>
      <c r="E118" s="55">
        <v>23.18</v>
      </c>
      <c r="F118" s="55">
        <v>0</v>
      </c>
      <c r="G118" s="55">
        <v>100</v>
      </c>
      <c r="H118" s="55"/>
      <c r="I118" s="57">
        <v>4</v>
      </c>
      <c r="J118" s="48">
        <v>8</v>
      </c>
      <c r="K118" s="48">
        <v>11</v>
      </c>
    </row>
    <row r="119" spans="1:11" ht="15.75" customHeight="1" x14ac:dyDescent="0.35">
      <c r="A119" s="55" t="s">
        <v>164</v>
      </c>
      <c r="B119" s="61" t="s">
        <v>177</v>
      </c>
      <c r="C119" s="55">
        <v>94</v>
      </c>
      <c r="D119" s="58">
        <v>7.68</v>
      </c>
      <c r="E119" s="55">
        <v>26.7</v>
      </c>
      <c r="F119" s="55">
        <v>0.75</v>
      </c>
      <c r="G119" s="55">
        <v>100</v>
      </c>
      <c r="H119" s="55"/>
      <c r="I119" s="57">
        <v>3</v>
      </c>
      <c r="J119" s="48">
        <v>6</v>
      </c>
      <c r="K119" s="48">
        <v>8</v>
      </c>
    </row>
    <row r="120" spans="1:11" ht="15.75" customHeight="1" x14ac:dyDescent="0.35">
      <c r="A120" s="55" t="s">
        <v>164</v>
      </c>
      <c r="B120" s="61" t="s">
        <v>177</v>
      </c>
      <c r="C120" s="55">
        <v>90</v>
      </c>
      <c r="D120" s="58">
        <v>1.5</v>
      </c>
      <c r="E120" s="55">
        <v>23.4</v>
      </c>
      <c r="F120" s="55">
        <v>0</v>
      </c>
      <c r="G120" s="55">
        <v>100</v>
      </c>
      <c r="H120" s="55"/>
      <c r="I120" s="57">
        <v>3</v>
      </c>
      <c r="J120" s="48">
        <v>1</v>
      </c>
      <c r="K120" s="48">
        <v>1</v>
      </c>
    </row>
    <row r="121" spans="1:11" ht="15.75" customHeight="1" x14ac:dyDescent="0.35">
      <c r="A121" s="55" t="s">
        <v>164</v>
      </c>
      <c r="B121" s="61" t="s">
        <v>200</v>
      </c>
      <c r="C121" s="55">
        <v>91</v>
      </c>
      <c r="D121" s="58">
        <v>1.1499999999999999</v>
      </c>
      <c r="E121" s="55">
        <v>24.4</v>
      </c>
      <c r="F121" s="55">
        <v>0</v>
      </c>
      <c r="G121" s="55">
        <v>100</v>
      </c>
      <c r="H121" s="55">
        <v>480</v>
      </c>
      <c r="I121" s="57">
        <v>5</v>
      </c>
      <c r="J121" s="48">
        <v>8</v>
      </c>
      <c r="K121" s="48">
        <v>8</v>
      </c>
    </row>
    <row r="122" spans="1:11" ht="15.75" customHeight="1" x14ac:dyDescent="0.35">
      <c r="A122" s="55" t="s">
        <v>164</v>
      </c>
      <c r="B122" s="61" t="s">
        <v>200</v>
      </c>
      <c r="C122" s="55">
        <v>94</v>
      </c>
      <c r="D122" s="58">
        <v>1.2</v>
      </c>
      <c r="E122" s="55">
        <v>24.4</v>
      </c>
      <c r="F122" s="55">
        <v>0</v>
      </c>
      <c r="G122" s="55">
        <v>100</v>
      </c>
      <c r="H122" s="55"/>
      <c r="I122" s="57">
        <v>5</v>
      </c>
      <c r="J122" s="48">
        <v>1</v>
      </c>
      <c r="K122" s="48">
        <v>1</v>
      </c>
    </row>
    <row r="123" spans="1:11" ht="15.75" customHeight="1" x14ac:dyDescent="0.35">
      <c r="A123" s="55" t="s">
        <v>164</v>
      </c>
      <c r="B123" s="61" t="s">
        <v>200</v>
      </c>
      <c r="C123" s="55">
        <v>85</v>
      </c>
      <c r="D123" s="58">
        <v>1.3</v>
      </c>
      <c r="E123" s="55">
        <v>24.4</v>
      </c>
      <c r="F123" s="55">
        <v>0</v>
      </c>
      <c r="G123" s="55">
        <v>100</v>
      </c>
      <c r="H123" s="55"/>
      <c r="I123" s="57">
        <v>5</v>
      </c>
      <c r="J123" s="48">
        <v>8</v>
      </c>
      <c r="K123" s="48">
        <v>8</v>
      </c>
    </row>
    <row r="124" spans="1:11" ht="15.75" customHeight="1" x14ac:dyDescent="0.35">
      <c r="A124" s="55" t="s">
        <v>164</v>
      </c>
      <c r="B124" s="61" t="s">
        <v>180</v>
      </c>
      <c r="C124" s="55">
        <v>91</v>
      </c>
      <c r="D124" s="58">
        <v>0.57999999999999996</v>
      </c>
      <c r="E124" s="55">
        <v>26.4</v>
      </c>
      <c r="F124" s="55">
        <v>0</v>
      </c>
      <c r="G124" s="55">
        <v>100</v>
      </c>
      <c r="H124" s="55">
        <v>780</v>
      </c>
      <c r="I124" s="57">
        <v>5</v>
      </c>
      <c r="J124" s="48">
        <v>10</v>
      </c>
      <c r="K124" s="48">
        <v>10</v>
      </c>
    </row>
    <row r="125" spans="1:11" ht="15.75" customHeight="1" x14ac:dyDescent="0.35">
      <c r="A125" s="55" t="s">
        <v>164</v>
      </c>
      <c r="B125" s="61" t="s">
        <v>180</v>
      </c>
      <c r="C125" s="55">
        <v>91</v>
      </c>
      <c r="D125" s="58">
        <v>0.81</v>
      </c>
      <c r="E125" s="55">
        <v>23.28</v>
      </c>
      <c r="F125" s="55">
        <v>0</v>
      </c>
      <c r="G125" s="55">
        <v>100</v>
      </c>
      <c r="H125" s="55">
        <v>480</v>
      </c>
      <c r="I125" s="57">
        <v>5</v>
      </c>
      <c r="J125" s="48">
        <v>5</v>
      </c>
      <c r="K125" s="48">
        <v>5</v>
      </c>
    </row>
    <row r="126" spans="1:11" ht="15.75" customHeight="1" x14ac:dyDescent="0.35">
      <c r="A126" s="55" t="s">
        <v>164</v>
      </c>
      <c r="B126" s="61" t="s">
        <v>181</v>
      </c>
      <c r="C126" s="55">
        <v>91</v>
      </c>
      <c r="D126" s="58">
        <v>0.81</v>
      </c>
      <c r="E126" s="55">
        <v>23.3</v>
      </c>
      <c r="F126" s="55">
        <v>0</v>
      </c>
      <c r="G126" s="55">
        <v>100</v>
      </c>
      <c r="H126" s="55"/>
      <c r="I126" s="57">
        <v>3</v>
      </c>
      <c r="J126" s="48">
        <v>1</v>
      </c>
      <c r="K126" s="48">
        <v>2</v>
      </c>
    </row>
    <row r="127" spans="1:11" ht="15.75" customHeight="1" x14ac:dyDescent="0.35">
      <c r="A127" s="55" t="s">
        <v>164</v>
      </c>
      <c r="B127" s="61" t="s">
        <v>181</v>
      </c>
      <c r="C127" s="55">
        <v>99</v>
      </c>
      <c r="D127" s="58">
        <v>85.6</v>
      </c>
      <c r="E127" s="55">
        <v>28.5</v>
      </c>
      <c r="F127" s="55">
        <v>1.2</v>
      </c>
      <c r="G127" s="55">
        <v>100</v>
      </c>
      <c r="H127" s="55">
        <v>780</v>
      </c>
      <c r="I127" s="57">
        <v>3</v>
      </c>
      <c r="J127" s="48">
        <v>1</v>
      </c>
      <c r="K127" s="48">
        <v>1</v>
      </c>
    </row>
    <row r="128" spans="1:11" ht="15.75" customHeight="1" x14ac:dyDescent="0.35">
      <c r="A128" s="55" t="s">
        <v>164</v>
      </c>
      <c r="B128" s="61" t="s">
        <v>181</v>
      </c>
      <c r="C128" s="55">
        <v>91</v>
      </c>
      <c r="D128" s="58">
        <v>13.15</v>
      </c>
      <c r="E128" s="55">
        <v>26.13</v>
      </c>
      <c r="F128" s="55">
        <v>0</v>
      </c>
      <c r="G128" s="55">
        <v>100</v>
      </c>
      <c r="H128" s="55">
        <v>480</v>
      </c>
      <c r="I128" s="57">
        <v>3</v>
      </c>
      <c r="J128" s="48">
        <v>3</v>
      </c>
      <c r="K128" s="48">
        <v>3</v>
      </c>
    </row>
    <row r="129" spans="1:11" ht="15.75" customHeight="1" x14ac:dyDescent="0.35">
      <c r="A129" s="55" t="s">
        <v>164</v>
      </c>
      <c r="B129" s="61" t="s">
        <v>198</v>
      </c>
      <c r="C129" s="55">
        <v>75</v>
      </c>
      <c r="D129" s="58">
        <v>17.2</v>
      </c>
      <c r="E129" s="55">
        <v>28</v>
      </c>
      <c r="F129" s="55">
        <v>0</v>
      </c>
      <c r="G129" s="55">
        <v>100</v>
      </c>
      <c r="H129" s="55"/>
      <c r="I129" s="57">
        <v>3</v>
      </c>
      <c r="J129" s="48">
        <v>2</v>
      </c>
      <c r="K129" s="48">
        <v>2</v>
      </c>
    </row>
    <row r="130" spans="1:11" s="75" customFormat="1" ht="15.75" customHeight="1" x14ac:dyDescent="0.35">
      <c r="A130" s="71" t="s">
        <v>164</v>
      </c>
      <c r="B130" s="72" t="s">
        <v>198</v>
      </c>
      <c r="C130" s="71">
        <v>93</v>
      </c>
      <c r="D130" s="73">
        <v>14.5</v>
      </c>
      <c r="E130" s="71">
        <v>28.73</v>
      </c>
      <c r="F130" s="71">
        <v>0</v>
      </c>
      <c r="G130" s="71">
        <v>100</v>
      </c>
      <c r="H130" s="71">
        <v>480</v>
      </c>
      <c r="I130" s="74">
        <v>3</v>
      </c>
      <c r="J130" s="75">
        <v>6</v>
      </c>
      <c r="K130" s="75">
        <v>9</v>
      </c>
    </row>
    <row r="131" spans="1:11" ht="15.75" customHeight="1" x14ac:dyDescent="0.35">
      <c r="A131" s="55" t="s">
        <v>164</v>
      </c>
      <c r="B131" s="61" t="s">
        <v>198</v>
      </c>
      <c r="C131" s="55">
        <v>74</v>
      </c>
      <c r="D131" s="58">
        <v>18</v>
      </c>
      <c r="E131" s="55">
        <v>28</v>
      </c>
      <c r="F131" s="55">
        <v>0</v>
      </c>
      <c r="G131" s="55">
        <v>2</v>
      </c>
      <c r="H131" s="55"/>
      <c r="I131" s="57">
        <v>3</v>
      </c>
      <c r="J131" s="48">
        <v>2</v>
      </c>
      <c r="K131" s="48">
        <v>2</v>
      </c>
    </row>
    <row r="132" spans="1:11" ht="15.75" customHeight="1" x14ac:dyDescent="0.35">
      <c r="A132" s="55" t="s">
        <v>164</v>
      </c>
      <c r="B132" s="61" t="s">
        <v>183</v>
      </c>
      <c r="C132" s="55">
        <v>89</v>
      </c>
      <c r="D132" s="58">
        <v>7.61</v>
      </c>
      <c r="E132" s="55">
        <v>23.8</v>
      </c>
      <c r="F132" s="55">
        <v>0.75</v>
      </c>
      <c r="G132" s="55">
        <v>100</v>
      </c>
      <c r="H132" s="55"/>
      <c r="I132" s="57">
        <v>3</v>
      </c>
      <c r="J132" s="48">
        <v>5</v>
      </c>
      <c r="K132" s="48">
        <v>10</v>
      </c>
    </row>
    <row r="133" spans="1:11" ht="15.75" customHeight="1" x14ac:dyDescent="0.35">
      <c r="A133" s="55" t="s">
        <v>164</v>
      </c>
      <c r="B133" s="61" t="s">
        <v>183</v>
      </c>
      <c r="C133" s="55">
        <v>81</v>
      </c>
      <c r="D133" s="58">
        <v>5.23</v>
      </c>
      <c r="E133" s="55">
        <v>27.03</v>
      </c>
      <c r="F133" s="55">
        <v>0</v>
      </c>
      <c r="G133" s="55">
        <v>100</v>
      </c>
      <c r="H133" s="55">
        <v>480</v>
      </c>
      <c r="I133" s="57">
        <v>3</v>
      </c>
      <c r="J133" s="48">
        <v>4</v>
      </c>
      <c r="K133" s="48">
        <v>5</v>
      </c>
    </row>
    <row r="134" spans="1:11" ht="15.75" customHeight="1" x14ac:dyDescent="0.35">
      <c r="A134" s="55" t="s">
        <v>164</v>
      </c>
      <c r="B134" s="61" t="s">
        <v>186</v>
      </c>
      <c r="C134" s="55">
        <v>86</v>
      </c>
      <c r="D134" s="58">
        <v>0.14000000000000001</v>
      </c>
      <c r="E134" s="55">
        <v>18.55</v>
      </c>
      <c r="F134" s="55">
        <v>0</v>
      </c>
      <c r="G134" s="55">
        <v>100</v>
      </c>
      <c r="H134" s="55"/>
      <c r="I134" s="57">
        <v>6</v>
      </c>
      <c r="J134" s="48">
        <v>5</v>
      </c>
      <c r="K134" s="48">
        <v>5</v>
      </c>
    </row>
    <row r="135" spans="1:11" ht="15.75" customHeight="1" x14ac:dyDescent="0.35">
      <c r="A135" s="55" t="s">
        <v>164</v>
      </c>
      <c r="B135" s="61" t="s">
        <v>186</v>
      </c>
      <c r="C135" s="55">
        <v>87</v>
      </c>
      <c r="D135" s="58">
        <v>0.15</v>
      </c>
      <c r="E135" s="55">
        <v>15.2</v>
      </c>
      <c r="F135" s="55">
        <v>0</v>
      </c>
      <c r="G135" s="55">
        <v>100</v>
      </c>
      <c r="H135" s="55"/>
      <c r="I135" s="57">
        <v>6</v>
      </c>
      <c r="J135" s="48">
        <v>3</v>
      </c>
      <c r="K135" s="48">
        <v>3</v>
      </c>
    </row>
    <row r="136" spans="1:11" ht="15.75" customHeight="1" x14ac:dyDescent="0.35">
      <c r="A136" s="55" t="s">
        <v>164</v>
      </c>
      <c r="B136" s="61" t="s">
        <v>186</v>
      </c>
      <c r="C136" s="55">
        <v>83</v>
      </c>
      <c r="D136" s="58">
        <v>0.20499999999999999</v>
      </c>
      <c r="E136" s="55">
        <v>24.8</v>
      </c>
      <c r="F136" s="55">
        <v>0</v>
      </c>
      <c r="G136" s="55">
        <v>100</v>
      </c>
      <c r="H136" s="55">
        <v>480</v>
      </c>
      <c r="I136" s="57">
        <v>6</v>
      </c>
      <c r="J136" s="48">
        <v>0</v>
      </c>
      <c r="K136" s="48">
        <v>0</v>
      </c>
    </row>
    <row r="137" spans="1:11" ht="15.75" customHeight="1" x14ac:dyDescent="0.35">
      <c r="A137" s="55" t="s">
        <v>168</v>
      </c>
      <c r="B137" s="55" t="s">
        <v>176</v>
      </c>
      <c r="C137" s="55">
        <v>92</v>
      </c>
      <c r="D137" s="58">
        <v>0.14000000000000001</v>
      </c>
      <c r="E137" s="55">
        <v>22.5</v>
      </c>
      <c r="F137" s="55">
        <v>0</v>
      </c>
      <c r="G137" s="55">
        <v>100</v>
      </c>
      <c r="H137" s="55">
        <v>480</v>
      </c>
      <c r="I137" s="57">
        <v>4</v>
      </c>
      <c r="J137" s="48">
        <v>6</v>
      </c>
      <c r="K137" s="48">
        <v>11</v>
      </c>
    </row>
    <row r="138" spans="1:11" ht="15.75" customHeight="1" x14ac:dyDescent="0.35">
      <c r="A138" s="55" t="s">
        <v>168</v>
      </c>
      <c r="B138" s="55" t="s">
        <v>176</v>
      </c>
      <c r="C138" s="55">
        <v>92</v>
      </c>
      <c r="D138" s="58">
        <v>0.14000000000000001</v>
      </c>
      <c r="E138" s="55">
        <v>22.5</v>
      </c>
      <c r="F138" s="55">
        <v>0</v>
      </c>
      <c r="G138" s="55">
        <v>60</v>
      </c>
      <c r="H138" s="55"/>
      <c r="I138" s="57">
        <v>4</v>
      </c>
      <c r="J138" s="48">
        <v>1</v>
      </c>
      <c r="K138" s="48">
        <v>2</v>
      </c>
    </row>
    <row r="139" spans="1:11" ht="15.75" customHeight="1" x14ac:dyDescent="0.35">
      <c r="A139" s="55" t="s">
        <v>168</v>
      </c>
      <c r="B139" s="55" t="s">
        <v>177</v>
      </c>
      <c r="C139" s="55">
        <v>97</v>
      </c>
      <c r="D139" s="58">
        <v>4.5999999999999996</v>
      </c>
      <c r="E139" s="55">
        <v>24.3</v>
      </c>
      <c r="F139" s="55">
        <v>0</v>
      </c>
      <c r="G139" s="55">
        <v>100</v>
      </c>
      <c r="H139" s="55">
        <v>480</v>
      </c>
      <c r="I139" s="57">
        <v>3</v>
      </c>
      <c r="J139" s="48">
        <v>17</v>
      </c>
      <c r="K139" s="48">
        <v>24</v>
      </c>
    </row>
    <row r="140" spans="1:11" ht="15.75" customHeight="1" x14ac:dyDescent="0.35">
      <c r="A140" s="55" t="s">
        <v>168</v>
      </c>
      <c r="B140" s="55" t="s">
        <v>200</v>
      </c>
      <c r="C140" s="55">
        <v>99</v>
      </c>
      <c r="D140" s="58">
        <v>24.2</v>
      </c>
      <c r="E140" s="55">
        <v>26.1</v>
      </c>
      <c r="F140" s="55">
        <v>0</v>
      </c>
      <c r="G140" s="55">
        <v>60</v>
      </c>
      <c r="H140" s="55"/>
      <c r="I140" s="57">
        <v>5</v>
      </c>
      <c r="J140" s="48">
        <v>1</v>
      </c>
      <c r="K140" s="48">
        <v>1</v>
      </c>
    </row>
    <row r="141" spans="1:11" ht="15.75" customHeight="1" x14ac:dyDescent="0.35">
      <c r="A141" s="55" t="s">
        <v>168</v>
      </c>
      <c r="B141" s="55" t="s">
        <v>200</v>
      </c>
      <c r="C141" s="55">
        <v>99</v>
      </c>
      <c r="D141" s="58">
        <v>24.2</v>
      </c>
      <c r="E141" s="55">
        <v>26.1</v>
      </c>
      <c r="F141" s="55">
        <v>0</v>
      </c>
      <c r="G141" s="55">
        <v>35</v>
      </c>
      <c r="H141" s="55">
        <v>480</v>
      </c>
      <c r="I141" s="57">
        <v>5</v>
      </c>
      <c r="J141" s="48">
        <v>11</v>
      </c>
      <c r="K141" s="48">
        <v>11</v>
      </c>
    </row>
    <row r="142" spans="1:11" ht="15.75" customHeight="1" x14ac:dyDescent="0.35">
      <c r="A142" s="55" t="s">
        <v>168</v>
      </c>
      <c r="B142" s="55" t="s">
        <v>200</v>
      </c>
      <c r="C142" s="55">
        <v>84</v>
      </c>
      <c r="D142" s="58">
        <v>0.17</v>
      </c>
      <c r="E142" s="55">
        <v>24</v>
      </c>
      <c r="F142" s="55">
        <v>0</v>
      </c>
      <c r="G142" s="55">
        <v>100</v>
      </c>
      <c r="H142" s="55"/>
      <c r="I142" s="57">
        <v>5</v>
      </c>
      <c r="J142" s="48">
        <v>2</v>
      </c>
      <c r="K142" s="48">
        <v>2</v>
      </c>
    </row>
    <row r="143" spans="1:11" ht="15.75" customHeight="1" x14ac:dyDescent="0.35">
      <c r="A143" s="55" t="s">
        <v>168</v>
      </c>
      <c r="B143" s="55" t="s">
        <v>180</v>
      </c>
      <c r="C143" s="55">
        <v>97</v>
      </c>
      <c r="D143" s="58">
        <v>1.08</v>
      </c>
      <c r="E143" s="55">
        <v>25.4</v>
      </c>
      <c r="F143" s="55">
        <v>0</v>
      </c>
      <c r="G143" s="55">
        <v>100</v>
      </c>
      <c r="H143" s="55"/>
      <c r="I143" s="57">
        <v>5</v>
      </c>
      <c r="J143" s="48">
        <v>6</v>
      </c>
      <c r="K143" s="48">
        <v>8</v>
      </c>
    </row>
    <row r="144" spans="1:11" ht="15.75" customHeight="1" x14ac:dyDescent="0.35">
      <c r="A144" s="55" t="s">
        <v>168</v>
      </c>
      <c r="B144" s="55" t="s">
        <v>180</v>
      </c>
      <c r="C144" s="55">
        <v>97</v>
      </c>
      <c r="D144" s="58">
        <v>1.08</v>
      </c>
      <c r="E144" s="55">
        <v>25.4</v>
      </c>
      <c r="F144" s="55">
        <v>0</v>
      </c>
      <c r="G144" s="55">
        <v>65</v>
      </c>
      <c r="H144" s="55">
        <v>480</v>
      </c>
      <c r="I144" s="57">
        <v>5</v>
      </c>
      <c r="J144" s="48">
        <v>9</v>
      </c>
      <c r="K144" s="48">
        <v>9</v>
      </c>
    </row>
    <row r="145" spans="1:11" ht="15.75" customHeight="1" x14ac:dyDescent="0.35">
      <c r="A145" s="55" t="s">
        <v>168</v>
      </c>
      <c r="B145" s="48" t="s">
        <v>180</v>
      </c>
      <c r="C145" s="48">
        <v>80</v>
      </c>
      <c r="D145" s="76">
        <v>0.04</v>
      </c>
      <c r="E145" s="48">
        <v>25.3</v>
      </c>
      <c r="F145" s="48">
        <v>0</v>
      </c>
      <c r="G145" s="48">
        <v>100</v>
      </c>
      <c r="H145" s="55"/>
      <c r="I145" s="49">
        <v>5</v>
      </c>
      <c r="J145" s="48">
        <v>0</v>
      </c>
      <c r="K145" s="48">
        <v>0</v>
      </c>
    </row>
    <row r="146" spans="1:11" ht="15.75" customHeight="1" x14ac:dyDescent="0.35">
      <c r="A146" s="55" t="s">
        <v>168</v>
      </c>
      <c r="B146" s="48" t="s">
        <v>181</v>
      </c>
      <c r="C146" s="48">
        <v>87</v>
      </c>
      <c r="D146" s="76">
        <v>9.8000000000000007</v>
      </c>
      <c r="E146" s="48">
        <v>34.5</v>
      </c>
      <c r="F146" s="48">
        <v>0</v>
      </c>
      <c r="G146" s="48">
        <v>90</v>
      </c>
      <c r="I146" s="49">
        <v>3</v>
      </c>
      <c r="J146" s="48">
        <v>4</v>
      </c>
      <c r="K146" s="48">
        <v>4</v>
      </c>
    </row>
    <row r="147" spans="1:11" ht="15.75" customHeight="1" x14ac:dyDescent="0.35">
      <c r="A147" s="55" t="s">
        <v>168</v>
      </c>
      <c r="B147" s="48" t="s">
        <v>181</v>
      </c>
      <c r="C147" s="48">
        <v>87</v>
      </c>
      <c r="D147" s="76">
        <v>9.8000000000000007</v>
      </c>
      <c r="E147" s="48">
        <v>34.5</v>
      </c>
      <c r="F147" s="48">
        <v>0</v>
      </c>
      <c r="G147" s="48">
        <v>0</v>
      </c>
      <c r="H147" s="48">
        <v>480</v>
      </c>
      <c r="I147" s="49">
        <v>3</v>
      </c>
      <c r="J147" s="48">
        <v>3</v>
      </c>
      <c r="K147" s="48">
        <v>3</v>
      </c>
    </row>
    <row r="148" spans="1:11" ht="15.75" customHeight="1" x14ac:dyDescent="0.35">
      <c r="A148" s="55" t="s">
        <v>168</v>
      </c>
      <c r="B148" s="48" t="s">
        <v>181</v>
      </c>
      <c r="C148" s="48">
        <v>80</v>
      </c>
      <c r="D148" s="76">
        <v>1.5</v>
      </c>
      <c r="E148" s="48">
        <v>26.9</v>
      </c>
      <c r="F148" s="48">
        <v>0</v>
      </c>
      <c r="G148" s="48">
        <v>100</v>
      </c>
      <c r="I148" s="49">
        <v>3</v>
      </c>
      <c r="J148" s="48">
        <v>3</v>
      </c>
      <c r="K148" s="48">
        <v>4</v>
      </c>
    </row>
    <row r="149" spans="1:11" ht="15.75" customHeight="1" x14ac:dyDescent="0.35">
      <c r="A149" s="55" t="s">
        <v>168</v>
      </c>
      <c r="B149" s="48" t="s">
        <v>198</v>
      </c>
      <c r="C149" s="48">
        <v>81</v>
      </c>
      <c r="D149" s="76">
        <v>36.6</v>
      </c>
      <c r="E149" s="48">
        <v>31.4</v>
      </c>
      <c r="F149" s="48">
        <v>0.8</v>
      </c>
      <c r="G149" s="48">
        <v>96</v>
      </c>
      <c r="H149" s="48">
        <v>480</v>
      </c>
      <c r="I149" s="49">
        <v>3</v>
      </c>
      <c r="J149" s="48">
        <v>7</v>
      </c>
      <c r="K149" s="48">
        <v>7</v>
      </c>
    </row>
    <row r="150" spans="1:11" ht="15.75" customHeight="1" x14ac:dyDescent="0.35">
      <c r="A150" s="55" t="s">
        <v>168</v>
      </c>
      <c r="B150" s="48" t="s">
        <v>198</v>
      </c>
      <c r="C150" s="48">
        <v>79</v>
      </c>
      <c r="D150" s="76">
        <v>13.35</v>
      </c>
      <c r="E150" s="48">
        <v>29.2</v>
      </c>
      <c r="F150" s="48">
        <v>0</v>
      </c>
      <c r="G150" s="48">
        <v>100</v>
      </c>
      <c r="I150" s="49">
        <v>3</v>
      </c>
      <c r="J150" s="48">
        <v>2</v>
      </c>
      <c r="K150" s="48">
        <v>2</v>
      </c>
    </row>
    <row r="151" spans="1:11" ht="15.75" customHeight="1" x14ac:dyDescent="0.35">
      <c r="A151" s="55" t="s">
        <v>168</v>
      </c>
      <c r="B151" s="48" t="s">
        <v>183</v>
      </c>
      <c r="C151" s="48">
        <v>89</v>
      </c>
      <c r="D151" s="76">
        <v>1.1000000000000001</v>
      </c>
      <c r="E151" s="48">
        <v>22.3</v>
      </c>
      <c r="F151" s="48">
        <v>0</v>
      </c>
      <c r="G151" s="48">
        <v>2</v>
      </c>
      <c r="I151" s="49">
        <v>3</v>
      </c>
      <c r="J151" s="48">
        <v>7</v>
      </c>
      <c r="K151" s="48">
        <v>10</v>
      </c>
    </row>
    <row r="152" spans="1:11" ht="15.75" customHeight="1" x14ac:dyDescent="0.35">
      <c r="A152" s="55" t="s">
        <v>168</v>
      </c>
      <c r="B152" s="48" t="s">
        <v>183</v>
      </c>
      <c r="C152" s="48">
        <v>89</v>
      </c>
      <c r="D152" s="76">
        <v>1</v>
      </c>
      <c r="E152" s="48">
        <v>22.2</v>
      </c>
      <c r="F152" s="48">
        <v>0</v>
      </c>
      <c r="G152" s="48">
        <v>100</v>
      </c>
      <c r="H152" s="48">
        <v>1420</v>
      </c>
      <c r="I152" s="49">
        <v>3</v>
      </c>
      <c r="J152" s="48">
        <v>4</v>
      </c>
      <c r="K152" s="48">
        <v>4</v>
      </c>
    </row>
    <row r="153" spans="1:11" ht="15.75" customHeight="1" x14ac:dyDescent="0.35">
      <c r="A153" s="55" t="s">
        <v>168</v>
      </c>
      <c r="B153" s="48" t="s">
        <v>183</v>
      </c>
      <c r="C153" s="48">
        <v>72</v>
      </c>
      <c r="D153" s="48">
        <v>0.75</v>
      </c>
      <c r="E153" s="48">
        <v>25</v>
      </c>
      <c r="F153" s="48">
        <v>0.9</v>
      </c>
      <c r="G153" s="48">
        <v>100</v>
      </c>
      <c r="I153" s="49">
        <v>3</v>
      </c>
      <c r="J153" s="48">
        <v>2</v>
      </c>
      <c r="K153" s="48">
        <v>3</v>
      </c>
    </row>
    <row r="154" spans="1:11" ht="15.75" customHeight="1" x14ac:dyDescent="0.35">
      <c r="A154" s="55" t="s">
        <v>168</v>
      </c>
      <c r="B154" s="48" t="s">
        <v>186</v>
      </c>
      <c r="C154" s="48">
        <v>76</v>
      </c>
      <c r="D154" s="76">
        <v>1.53</v>
      </c>
      <c r="E154" s="48">
        <v>25.4</v>
      </c>
      <c r="F154" s="48">
        <v>0</v>
      </c>
      <c r="G154" s="48">
        <v>100</v>
      </c>
      <c r="H154" s="48">
        <v>1420</v>
      </c>
      <c r="I154" s="49">
        <v>6</v>
      </c>
      <c r="J154" s="48">
        <v>4</v>
      </c>
      <c r="K154" s="48">
        <v>5</v>
      </c>
    </row>
    <row r="155" spans="1:11" ht="15.75" customHeight="1" x14ac:dyDescent="0.35">
      <c r="A155" s="48" t="s">
        <v>172</v>
      </c>
      <c r="B155" s="48" t="s">
        <v>176</v>
      </c>
      <c r="C155" s="48">
        <v>81</v>
      </c>
      <c r="D155" s="76">
        <v>1.6</v>
      </c>
      <c r="E155" s="48">
        <v>26.5</v>
      </c>
      <c r="F155" s="48">
        <v>0</v>
      </c>
      <c r="G155" s="48">
        <v>30</v>
      </c>
      <c r="I155" s="49">
        <v>4</v>
      </c>
      <c r="J155" s="48">
        <v>12</v>
      </c>
      <c r="K155" s="48">
        <v>18</v>
      </c>
    </row>
    <row r="156" spans="1:11" ht="15.75" customHeight="1" x14ac:dyDescent="0.35">
      <c r="A156" s="48" t="s">
        <v>172</v>
      </c>
      <c r="B156" s="48" t="s">
        <v>177</v>
      </c>
      <c r="C156" s="48">
        <v>96</v>
      </c>
      <c r="D156" s="76">
        <v>1.1299999999999999</v>
      </c>
      <c r="E156" s="48">
        <v>26.4</v>
      </c>
      <c r="F156" s="48">
        <v>0</v>
      </c>
      <c r="G156" s="48">
        <v>100</v>
      </c>
      <c r="I156" s="49">
        <v>3</v>
      </c>
      <c r="J156" s="48">
        <v>5</v>
      </c>
      <c r="K156" s="48">
        <v>5</v>
      </c>
    </row>
    <row r="157" spans="1:11" ht="15.75" customHeight="1" x14ac:dyDescent="0.35">
      <c r="A157" s="48" t="s">
        <v>172</v>
      </c>
      <c r="B157" s="48" t="s">
        <v>200</v>
      </c>
      <c r="C157" s="48">
        <v>99</v>
      </c>
      <c r="D157" s="76">
        <v>0.28000000000000003</v>
      </c>
      <c r="E157" s="48">
        <v>23.5</v>
      </c>
      <c r="F157" s="48">
        <v>0</v>
      </c>
      <c r="G157" s="48">
        <v>100</v>
      </c>
      <c r="H157" s="48">
        <v>650</v>
      </c>
      <c r="I157" s="49">
        <v>5</v>
      </c>
      <c r="J157" s="48">
        <v>7</v>
      </c>
      <c r="K157" s="48">
        <v>10</v>
      </c>
    </row>
    <row r="158" spans="1:11" ht="15.75" customHeight="1" x14ac:dyDescent="0.35">
      <c r="A158" s="48" t="s">
        <v>172</v>
      </c>
      <c r="B158" s="48" t="s">
        <v>180</v>
      </c>
      <c r="C158" s="48">
        <v>96</v>
      </c>
      <c r="D158" s="76">
        <v>0.64</v>
      </c>
      <c r="E158" s="48">
        <v>24.9</v>
      </c>
      <c r="F158" s="48">
        <v>0</v>
      </c>
      <c r="G158" s="48">
        <v>100</v>
      </c>
      <c r="H158" s="48">
        <v>650</v>
      </c>
      <c r="I158" s="49">
        <v>5</v>
      </c>
      <c r="J158" s="48">
        <v>9</v>
      </c>
      <c r="K158" s="48">
        <v>9</v>
      </c>
    </row>
    <row r="159" spans="1:11" ht="15.75" customHeight="1" x14ac:dyDescent="0.35">
      <c r="A159" s="48" t="s">
        <v>172</v>
      </c>
      <c r="B159" s="48" t="s">
        <v>181</v>
      </c>
      <c r="C159" s="48">
        <v>98</v>
      </c>
      <c r="D159" s="76">
        <v>2.2799999999999998</v>
      </c>
      <c r="E159" s="48">
        <v>23.7</v>
      </c>
      <c r="F159" s="48">
        <v>0</v>
      </c>
      <c r="G159" s="48">
        <v>100</v>
      </c>
      <c r="H159" s="48">
        <v>650</v>
      </c>
      <c r="I159" s="49">
        <v>3</v>
      </c>
      <c r="J159" s="48">
        <v>4</v>
      </c>
      <c r="K159" s="48">
        <v>4</v>
      </c>
    </row>
    <row r="160" spans="1:11" ht="15.75" customHeight="1" x14ac:dyDescent="0.35">
      <c r="A160" s="48" t="s">
        <v>172</v>
      </c>
      <c r="B160" s="48" t="s">
        <v>198</v>
      </c>
      <c r="C160" s="48">
        <v>99</v>
      </c>
      <c r="D160" s="76">
        <v>7.2350000000000003</v>
      </c>
      <c r="E160" s="48">
        <v>24.6</v>
      </c>
      <c r="F160" s="48">
        <v>1.4</v>
      </c>
      <c r="G160" s="48">
        <v>100</v>
      </c>
      <c r="H160" s="48">
        <v>650</v>
      </c>
      <c r="I160" s="49">
        <v>3</v>
      </c>
      <c r="J160" s="48">
        <v>10</v>
      </c>
      <c r="K160" s="48">
        <v>16</v>
      </c>
    </row>
    <row r="161" spans="1:11" ht="15.75" customHeight="1" x14ac:dyDescent="0.35">
      <c r="A161" s="48" t="s">
        <v>172</v>
      </c>
      <c r="B161" s="48" t="s">
        <v>183</v>
      </c>
      <c r="C161" s="48">
        <v>92</v>
      </c>
      <c r="D161" s="76">
        <v>44.68</v>
      </c>
      <c r="E161" s="48">
        <v>23.2</v>
      </c>
      <c r="F161" s="48">
        <v>0.6</v>
      </c>
      <c r="G161" s="48">
        <v>0</v>
      </c>
      <c r="I161" s="49">
        <v>3</v>
      </c>
      <c r="J161" s="48">
        <v>8</v>
      </c>
      <c r="K161" s="48">
        <v>9</v>
      </c>
    </row>
    <row r="162" spans="1:11" ht="15.75" customHeight="1" x14ac:dyDescent="0.35">
      <c r="A162" s="48" t="s">
        <v>172</v>
      </c>
      <c r="B162" s="48" t="s">
        <v>183</v>
      </c>
      <c r="C162" s="48">
        <v>84</v>
      </c>
      <c r="D162" s="76">
        <v>0.5</v>
      </c>
      <c r="E162" s="48">
        <v>25.9</v>
      </c>
      <c r="F162" s="48">
        <v>0</v>
      </c>
      <c r="G162" s="48">
        <v>100</v>
      </c>
      <c r="I162" s="49">
        <v>3</v>
      </c>
      <c r="J162" s="48">
        <v>4</v>
      </c>
      <c r="K162" s="48">
        <v>4</v>
      </c>
    </row>
    <row r="163" spans="1:11" ht="15.75" customHeight="1" x14ac:dyDescent="0.35">
      <c r="A163" s="48" t="s">
        <v>172</v>
      </c>
      <c r="B163" s="48" t="s">
        <v>186</v>
      </c>
      <c r="C163" s="48">
        <v>83</v>
      </c>
      <c r="D163" s="76">
        <v>1.1299999999999999</v>
      </c>
      <c r="E163" s="48">
        <v>25.5</v>
      </c>
      <c r="F163" s="48">
        <v>0</v>
      </c>
      <c r="G163" s="48">
        <v>100</v>
      </c>
      <c r="I163" s="49">
        <v>6</v>
      </c>
      <c r="J163" s="48">
        <v>9</v>
      </c>
      <c r="K163" s="48">
        <v>19</v>
      </c>
    </row>
    <row r="164" spans="1:11" ht="15.75" customHeight="1" x14ac:dyDescent="0.35">
      <c r="D164" s="76"/>
    </row>
    <row r="165" spans="1:11" ht="15.75" customHeight="1" x14ac:dyDescent="0.35">
      <c r="D165" s="76"/>
    </row>
    <row r="166" spans="1:11" ht="15.75" customHeight="1" x14ac:dyDescent="0.35">
      <c r="D166" s="76"/>
    </row>
    <row r="167" spans="1:11" ht="15.75" customHeight="1" x14ac:dyDescent="0.35">
      <c r="D167" s="76"/>
    </row>
    <row r="168" spans="1:11" ht="15.75" customHeight="1" x14ac:dyDescent="0.35">
      <c r="D168" s="76"/>
    </row>
    <row r="169" spans="1:11" ht="15.75" customHeight="1" x14ac:dyDescent="0.35">
      <c r="D169" s="76"/>
    </row>
    <row r="170" spans="1:11" ht="15.75" customHeight="1" x14ac:dyDescent="0.35">
      <c r="D170" s="76"/>
    </row>
    <row r="171" spans="1:11" ht="15.75" customHeight="1" x14ac:dyDescent="0.35">
      <c r="D171" s="76"/>
    </row>
    <row r="172" spans="1:11" ht="15.75" customHeight="1" x14ac:dyDescent="0.35">
      <c r="D172" s="76"/>
    </row>
    <row r="173" spans="1:11" ht="15.75" customHeight="1" x14ac:dyDescent="0.35">
      <c r="D173" s="76"/>
    </row>
    <row r="174" spans="1:11" ht="15.75" customHeight="1" x14ac:dyDescent="0.35">
      <c r="D174" s="76"/>
    </row>
    <row r="175" spans="1:11" ht="15.75" customHeight="1" x14ac:dyDescent="0.35">
      <c r="D175" s="76"/>
    </row>
    <row r="176" spans="1:11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/>
    <row r="237" spans="4:4" ht="15.75" customHeight="1" x14ac:dyDescent="0.35"/>
    <row r="238" spans="4:4" ht="15.75" customHeight="1" x14ac:dyDescent="0.35"/>
    <row r="239" spans="4:4" ht="15.75" customHeight="1" x14ac:dyDescent="0.35"/>
    <row r="240" spans="4: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autoFilter ref="A2:K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8"/>
  <sheetViews>
    <sheetView topLeftCell="A2" zoomScale="80" workbookViewId="0">
      <selection activeCell="N2" sqref="N2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120" x14ac:dyDescent="0.35">
      <c r="A2" s="51" t="s">
        <v>196</v>
      </c>
      <c r="B2" s="51" t="s">
        <v>187</v>
      </c>
      <c r="C2" s="52" t="s">
        <v>188</v>
      </c>
      <c r="D2" s="54" t="s">
        <v>189</v>
      </c>
      <c r="E2" s="52" t="s">
        <v>190</v>
      </c>
      <c r="F2" s="52" t="s">
        <v>191</v>
      </c>
      <c r="G2" s="52" t="s">
        <v>192</v>
      </c>
      <c r="H2" s="52" t="s">
        <v>197</v>
      </c>
      <c r="I2" s="53" t="s">
        <v>194</v>
      </c>
      <c r="J2" s="48" t="s">
        <v>195</v>
      </c>
      <c r="K2" s="48" t="s">
        <v>175</v>
      </c>
    </row>
    <row r="3" spans="1:11" ht="15.75" customHeight="1" x14ac:dyDescent="0.35">
      <c r="A3" s="55" t="s">
        <v>146</v>
      </c>
      <c r="B3" s="61" t="s">
        <v>200</v>
      </c>
      <c r="C3" s="55">
        <v>94</v>
      </c>
      <c r="D3" s="70">
        <v>0.5</v>
      </c>
      <c r="E3" s="55">
        <v>24.8</v>
      </c>
      <c r="F3" s="55">
        <v>0</v>
      </c>
      <c r="G3" s="55">
        <v>100</v>
      </c>
      <c r="H3" s="55">
        <v>870</v>
      </c>
      <c r="I3" s="57">
        <v>5</v>
      </c>
      <c r="J3" s="48">
        <v>2</v>
      </c>
      <c r="K3" s="48">
        <v>6</v>
      </c>
    </row>
    <row r="4" spans="1:11" ht="15.75" customHeight="1" x14ac:dyDescent="0.35">
      <c r="A4" s="55" t="s">
        <v>146</v>
      </c>
      <c r="B4" s="61" t="s">
        <v>181</v>
      </c>
      <c r="C4" s="55">
        <v>99</v>
      </c>
      <c r="D4" s="58">
        <v>7.59</v>
      </c>
      <c r="E4" s="55">
        <v>23.9</v>
      </c>
      <c r="F4" s="55">
        <v>0</v>
      </c>
      <c r="G4" s="55">
        <v>100</v>
      </c>
      <c r="H4" s="55">
        <v>870</v>
      </c>
      <c r="I4" s="57">
        <v>3</v>
      </c>
      <c r="J4" s="48">
        <v>5</v>
      </c>
      <c r="K4" s="48">
        <v>6</v>
      </c>
    </row>
    <row r="5" spans="1:11" ht="15.75" customHeight="1" x14ac:dyDescent="0.35">
      <c r="A5" s="55" t="s">
        <v>146</v>
      </c>
      <c r="B5" s="61" t="s">
        <v>198</v>
      </c>
      <c r="C5" s="55">
        <v>99</v>
      </c>
      <c r="D5" s="58">
        <v>13.05</v>
      </c>
      <c r="E5" s="55">
        <v>25.9</v>
      </c>
      <c r="F5" s="55">
        <v>0.45</v>
      </c>
      <c r="G5" s="55">
        <v>100</v>
      </c>
      <c r="H5" s="55">
        <v>870</v>
      </c>
      <c r="I5" s="57">
        <v>3</v>
      </c>
      <c r="J5" s="48">
        <v>4</v>
      </c>
      <c r="K5" s="48">
        <v>4</v>
      </c>
    </row>
    <row r="6" spans="1:11" ht="15.75" customHeight="1" x14ac:dyDescent="0.35">
      <c r="A6" s="55" t="s">
        <v>146</v>
      </c>
      <c r="B6" s="61" t="s">
        <v>183</v>
      </c>
      <c r="C6" s="55">
        <v>79</v>
      </c>
      <c r="D6" s="58">
        <v>15.5</v>
      </c>
      <c r="E6" s="55">
        <v>28.3</v>
      </c>
      <c r="F6" s="55">
        <v>0</v>
      </c>
      <c r="G6" s="55">
        <v>100</v>
      </c>
      <c r="H6" s="55">
        <v>1360</v>
      </c>
      <c r="I6" s="57">
        <v>3</v>
      </c>
      <c r="J6" s="48">
        <v>3</v>
      </c>
      <c r="K6" s="48">
        <v>3</v>
      </c>
    </row>
    <row r="7" spans="1:11" ht="15.75" customHeight="1" x14ac:dyDescent="0.35">
      <c r="A7" s="55" t="s">
        <v>146</v>
      </c>
      <c r="B7" s="61" t="s">
        <v>186</v>
      </c>
      <c r="C7" s="55">
        <v>79</v>
      </c>
      <c r="D7" s="58">
        <v>0.56999999999999995</v>
      </c>
      <c r="E7" s="55">
        <v>24.8</v>
      </c>
      <c r="F7" s="55">
        <v>0</v>
      </c>
      <c r="G7" s="55">
        <v>100</v>
      </c>
      <c r="H7" s="55">
        <v>1360</v>
      </c>
      <c r="I7" s="57">
        <v>6</v>
      </c>
      <c r="J7" s="48">
        <v>3</v>
      </c>
      <c r="K7" s="48">
        <v>4</v>
      </c>
    </row>
    <row r="8" spans="1:11" ht="15.75" customHeight="1" x14ac:dyDescent="0.35">
      <c r="A8" s="55" t="s">
        <v>153</v>
      </c>
      <c r="B8" s="61" t="s">
        <v>176</v>
      </c>
      <c r="C8" s="55">
        <v>99</v>
      </c>
      <c r="D8" s="58">
        <v>6.06</v>
      </c>
      <c r="E8" s="55">
        <v>25.35</v>
      </c>
      <c r="F8" s="55">
        <v>0</v>
      </c>
      <c r="G8" s="55">
        <v>100</v>
      </c>
      <c r="H8" s="55">
        <v>580</v>
      </c>
      <c r="I8" s="57">
        <v>4</v>
      </c>
      <c r="J8" s="48">
        <v>9</v>
      </c>
      <c r="K8" s="48">
        <v>9</v>
      </c>
    </row>
    <row r="9" spans="1:11" ht="15.75" customHeight="1" x14ac:dyDescent="0.35">
      <c r="A9" s="55" t="s">
        <v>153</v>
      </c>
      <c r="B9" s="61" t="s">
        <v>177</v>
      </c>
      <c r="C9" s="55">
        <v>98</v>
      </c>
      <c r="D9" s="58">
        <v>0.77</v>
      </c>
      <c r="E9" s="55">
        <v>22.6</v>
      </c>
      <c r="F9" s="55">
        <v>0</v>
      </c>
      <c r="G9" s="55">
        <v>100</v>
      </c>
      <c r="H9" s="55">
        <v>580</v>
      </c>
      <c r="I9" s="57">
        <v>3</v>
      </c>
      <c r="J9" s="48">
        <v>8</v>
      </c>
      <c r="K9" s="48">
        <v>14</v>
      </c>
    </row>
    <row r="10" spans="1:11" ht="15.75" customHeight="1" x14ac:dyDescent="0.35">
      <c r="A10" s="55" t="s">
        <v>153</v>
      </c>
      <c r="B10" s="61" t="s">
        <v>200</v>
      </c>
      <c r="C10" s="55">
        <v>98</v>
      </c>
      <c r="D10" s="58">
        <v>3.69</v>
      </c>
      <c r="E10" s="55">
        <v>22.35</v>
      </c>
      <c r="F10" s="55">
        <v>0</v>
      </c>
      <c r="G10" s="55">
        <v>0</v>
      </c>
      <c r="H10" s="55">
        <v>870</v>
      </c>
      <c r="I10" s="57">
        <v>5</v>
      </c>
      <c r="J10" s="48">
        <v>3</v>
      </c>
      <c r="K10" s="48">
        <v>7</v>
      </c>
    </row>
    <row r="11" spans="1:11" ht="15.75" customHeight="1" x14ac:dyDescent="0.35">
      <c r="A11" s="55" t="s">
        <v>153</v>
      </c>
      <c r="B11" s="61" t="s">
        <v>200</v>
      </c>
      <c r="C11" s="55">
        <v>98</v>
      </c>
      <c r="D11" s="58">
        <v>3.69</v>
      </c>
      <c r="E11" s="55">
        <v>22.35</v>
      </c>
      <c r="F11" s="55">
        <v>0</v>
      </c>
      <c r="G11" s="55">
        <v>0</v>
      </c>
      <c r="H11" s="55">
        <v>870</v>
      </c>
      <c r="I11" s="57">
        <v>5</v>
      </c>
      <c r="J11" s="48">
        <v>13</v>
      </c>
      <c r="K11" s="48">
        <v>14</v>
      </c>
    </row>
    <row r="12" spans="1:11" ht="15.75" customHeight="1" x14ac:dyDescent="0.35">
      <c r="A12" s="55" t="s">
        <v>153</v>
      </c>
      <c r="B12" s="61" t="s">
        <v>180</v>
      </c>
      <c r="C12" s="55">
        <v>85</v>
      </c>
      <c r="D12" s="58">
        <v>3.81</v>
      </c>
      <c r="E12" s="55">
        <v>25</v>
      </c>
      <c r="F12" s="55">
        <v>0</v>
      </c>
      <c r="G12" s="55">
        <v>78.33</v>
      </c>
      <c r="H12" s="55">
        <v>870</v>
      </c>
      <c r="I12" s="57">
        <v>5</v>
      </c>
      <c r="J12" s="48">
        <v>3</v>
      </c>
      <c r="K12" s="48">
        <v>3</v>
      </c>
    </row>
    <row r="13" spans="1:11" ht="15.75" customHeight="1" x14ac:dyDescent="0.35">
      <c r="A13" s="55" t="s">
        <v>153</v>
      </c>
      <c r="B13" s="61" t="s">
        <v>181</v>
      </c>
      <c r="C13" s="55">
        <v>85</v>
      </c>
      <c r="D13" s="58">
        <v>13.84</v>
      </c>
      <c r="E13" s="55">
        <v>26.7</v>
      </c>
      <c r="F13" s="55">
        <v>0</v>
      </c>
      <c r="G13" s="55">
        <v>100</v>
      </c>
      <c r="H13" s="55">
        <v>870</v>
      </c>
      <c r="I13" s="57">
        <v>3</v>
      </c>
      <c r="J13" s="48">
        <v>4</v>
      </c>
      <c r="K13" s="48">
        <v>6</v>
      </c>
    </row>
    <row r="14" spans="1:11" ht="15.75" customHeight="1" x14ac:dyDescent="0.35">
      <c r="A14" s="55" t="s">
        <v>153</v>
      </c>
      <c r="B14" s="61" t="s">
        <v>198</v>
      </c>
      <c r="C14" s="55">
        <v>90</v>
      </c>
      <c r="D14" s="58">
        <v>8.44</v>
      </c>
      <c r="E14" s="55">
        <v>27.4</v>
      </c>
      <c r="F14" s="55">
        <v>0.8</v>
      </c>
      <c r="G14" s="55">
        <v>100</v>
      </c>
      <c r="H14" s="55">
        <v>870</v>
      </c>
      <c r="I14" s="57">
        <v>3</v>
      </c>
      <c r="J14" s="48">
        <v>12</v>
      </c>
      <c r="K14" s="48">
        <v>17</v>
      </c>
    </row>
    <row r="15" spans="1:11" ht="15.75" customHeight="1" x14ac:dyDescent="0.35">
      <c r="A15" s="55" t="s">
        <v>153</v>
      </c>
      <c r="B15" s="61" t="s">
        <v>183</v>
      </c>
      <c r="C15" s="55">
        <v>95</v>
      </c>
      <c r="D15" s="58">
        <v>10.69</v>
      </c>
      <c r="E15" s="55">
        <v>22.8</v>
      </c>
      <c r="F15" s="55">
        <v>1.2</v>
      </c>
      <c r="G15" s="55">
        <v>100</v>
      </c>
      <c r="H15" s="55">
        <v>1100</v>
      </c>
      <c r="I15" s="57">
        <v>3</v>
      </c>
      <c r="J15" s="48">
        <v>4</v>
      </c>
      <c r="K15" s="48">
        <v>7</v>
      </c>
    </row>
    <row r="16" spans="1:11" ht="15.75" customHeight="1" x14ac:dyDescent="0.35">
      <c r="A16" s="55" t="s">
        <v>153</v>
      </c>
      <c r="B16" s="61" t="s">
        <v>183</v>
      </c>
      <c r="C16" s="55">
        <v>95</v>
      </c>
      <c r="D16" s="58">
        <v>5.99</v>
      </c>
      <c r="E16" s="55">
        <v>25.7</v>
      </c>
      <c r="F16" s="55">
        <v>0</v>
      </c>
      <c r="G16" s="55">
        <v>100</v>
      </c>
      <c r="H16" s="55">
        <v>1420</v>
      </c>
      <c r="I16" s="57">
        <v>3</v>
      </c>
      <c r="J16" s="48">
        <v>5</v>
      </c>
      <c r="K16" s="48">
        <v>7</v>
      </c>
    </row>
    <row r="17" spans="1:11" ht="15.75" customHeight="1" x14ac:dyDescent="0.35">
      <c r="A17" s="55" t="s">
        <v>153</v>
      </c>
      <c r="B17" s="61" t="s">
        <v>186</v>
      </c>
      <c r="C17" s="55">
        <v>95</v>
      </c>
      <c r="D17" s="58">
        <v>1.44</v>
      </c>
      <c r="E17" s="55">
        <v>25.1</v>
      </c>
      <c r="F17" s="55">
        <v>0</v>
      </c>
      <c r="G17" s="55">
        <v>100</v>
      </c>
      <c r="H17" s="55">
        <v>1420</v>
      </c>
      <c r="I17" s="57">
        <v>6</v>
      </c>
      <c r="J17" s="48">
        <v>2</v>
      </c>
      <c r="K17" s="48">
        <v>7</v>
      </c>
    </row>
    <row r="18" spans="1:11" ht="15.75" customHeight="1" x14ac:dyDescent="0.35">
      <c r="A18" s="55" t="s">
        <v>153</v>
      </c>
      <c r="B18" s="61" t="s">
        <v>186</v>
      </c>
      <c r="C18" s="55">
        <v>99</v>
      </c>
      <c r="D18" s="58">
        <v>0.54</v>
      </c>
      <c r="E18" s="55">
        <v>21.9</v>
      </c>
      <c r="F18" s="55">
        <v>0</v>
      </c>
      <c r="G18" s="55">
        <v>100</v>
      </c>
      <c r="H18" s="55">
        <v>1420</v>
      </c>
      <c r="I18" s="57">
        <v>6</v>
      </c>
      <c r="J18" s="48">
        <v>3</v>
      </c>
      <c r="K18" s="48">
        <v>3</v>
      </c>
    </row>
    <row r="19" spans="1:11" ht="15.75" customHeight="1" x14ac:dyDescent="0.35">
      <c r="A19" s="55" t="s">
        <v>158</v>
      </c>
      <c r="B19" s="61" t="s">
        <v>176</v>
      </c>
      <c r="C19" s="55">
        <v>96</v>
      </c>
      <c r="D19" s="58">
        <v>1.1399999999999999</v>
      </c>
      <c r="E19" s="55">
        <v>26.4</v>
      </c>
      <c r="F19" s="55">
        <v>0</v>
      </c>
      <c r="G19" s="55">
        <v>22</v>
      </c>
      <c r="H19" s="55">
        <v>550</v>
      </c>
      <c r="I19" s="57">
        <v>4</v>
      </c>
      <c r="J19" s="48">
        <v>4</v>
      </c>
      <c r="K19" s="48">
        <v>7</v>
      </c>
    </row>
    <row r="20" spans="1:11" ht="15.75" customHeight="1" x14ac:dyDescent="0.35">
      <c r="A20" s="55" t="s">
        <v>158</v>
      </c>
      <c r="B20" s="61" t="s">
        <v>200</v>
      </c>
      <c r="C20" s="55">
        <v>89</v>
      </c>
      <c r="D20" s="58">
        <v>2.74</v>
      </c>
      <c r="E20" s="55">
        <v>23.5</v>
      </c>
      <c r="F20" s="55">
        <v>0</v>
      </c>
      <c r="G20" s="55">
        <v>0</v>
      </c>
      <c r="H20" s="55">
        <v>700</v>
      </c>
      <c r="I20" s="57">
        <v>5</v>
      </c>
      <c r="J20" s="48">
        <v>13</v>
      </c>
      <c r="K20" s="48">
        <v>16</v>
      </c>
    </row>
    <row r="21" spans="1:11" ht="15.75" customHeight="1" x14ac:dyDescent="0.35">
      <c r="A21" s="55" t="s">
        <v>158</v>
      </c>
      <c r="B21" s="61" t="s">
        <v>180</v>
      </c>
      <c r="C21" s="55">
        <v>88</v>
      </c>
      <c r="D21" s="58">
        <v>0.69</v>
      </c>
      <c r="E21" s="55">
        <v>23.4</v>
      </c>
      <c r="F21" s="55">
        <v>6</v>
      </c>
      <c r="G21" s="55">
        <v>100</v>
      </c>
      <c r="H21" s="55">
        <v>700</v>
      </c>
      <c r="I21" s="57">
        <v>5</v>
      </c>
      <c r="J21" s="48">
        <v>8</v>
      </c>
      <c r="K21" s="48">
        <v>9</v>
      </c>
    </row>
    <row r="22" spans="1:11" ht="15.75" customHeight="1" x14ac:dyDescent="0.35">
      <c r="A22" s="55" t="s">
        <v>158</v>
      </c>
      <c r="B22" s="61" t="s">
        <v>181</v>
      </c>
      <c r="C22" s="55">
        <v>80</v>
      </c>
      <c r="D22" s="58">
        <v>51.6</v>
      </c>
      <c r="E22" s="55">
        <v>28.7</v>
      </c>
      <c r="F22" s="55">
        <v>2.5</v>
      </c>
      <c r="G22" s="55">
        <v>0</v>
      </c>
      <c r="H22" s="55">
        <v>700</v>
      </c>
      <c r="I22" s="57">
        <v>3</v>
      </c>
      <c r="J22" s="48">
        <v>5</v>
      </c>
      <c r="K22" s="48">
        <v>5</v>
      </c>
    </row>
    <row r="23" spans="1:11" ht="15.75" customHeight="1" x14ac:dyDescent="0.35">
      <c r="A23" s="55" t="s">
        <v>158</v>
      </c>
      <c r="B23" s="61" t="s">
        <v>198</v>
      </c>
      <c r="C23" s="55">
        <v>71</v>
      </c>
      <c r="D23" s="58">
        <v>7.17</v>
      </c>
      <c r="E23" s="55">
        <v>26.1</v>
      </c>
      <c r="F23" s="55">
        <v>1.9</v>
      </c>
      <c r="G23" s="55">
        <v>0</v>
      </c>
      <c r="H23" s="55">
        <v>700</v>
      </c>
      <c r="I23" s="57">
        <v>3</v>
      </c>
      <c r="J23" s="48">
        <v>9</v>
      </c>
      <c r="K23" s="48">
        <v>11</v>
      </c>
    </row>
    <row r="24" spans="1:11" ht="15.75" customHeight="1" x14ac:dyDescent="0.35">
      <c r="A24" s="55" t="s">
        <v>158</v>
      </c>
      <c r="B24" s="61" t="s">
        <v>183</v>
      </c>
      <c r="C24" s="55">
        <v>99</v>
      </c>
      <c r="D24" s="58">
        <v>29.59</v>
      </c>
      <c r="E24" s="55">
        <v>24.9</v>
      </c>
      <c r="F24" s="55">
        <v>0.65</v>
      </c>
      <c r="G24" s="55">
        <v>99</v>
      </c>
      <c r="H24" s="55">
        <v>700</v>
      </c>
      <c r="I24" s="57">
        <v>3</v>
      </c>
      <c r="J24" s="48">
        <v>4</v>
      </c>
      <c r="K24" s="48">
        <v>7</v>
      </c>
    </row>
    <row r="25" spans="1:11" ht="15.75" customHeight="1" x14ac:dyDescent="0.35">
      <c r="A25" s="55" t="s">
        <v>158</v>
      </c>
      <c r="B25" s="61" t="s">
        <v>186</v>
      </c>
      <c r="C25" s="55">
        <v>95</v>
      </c>
      <c r="D25" s="58">
        <v>0.4</v>
      </c>
      <c r="E25" s="55">
        <v>17.100000000000001</v>
      </c>
      <c r="F25" s="55">
        <v>0</v>
      </c>
      <c r="G25" s="55">
        <v>0</v>
      </c>
      <c r="H25" s="55">
        <v>700</v>
      </c>
      <c r="I25" s="57">
        <v>6</v>
      </c>
      <c r="J25" s="48">
        <v>10</v>
      </c>
      <c r="K25" s="48">
        <v>33</v>
      </c>
    </row>
    <row r="26" spans="1:11" ht="15.75" customHeight="1" x14ac:dyDescent="0.35">
      <c r="A26" s="55" t="s">
        <v>158</v>
      </c>
      <c r="B26" s="61" t="s">
        <v>186</v>
      </c>
      <c r="C26" s="55">
        <v>95</v>
      </c>
      <c r="D26" s="58">
        <v>0.41</v>
      </c>
      <c r="E26" s="55">
        <v>17.100000000000001</v>
      </c>
      <c r="F26" s="55">
        <v>0</v>
      </c>
      <c r="G26" s="55">
        <v>100</v>
      </c>
      <c r="H26" s="55">
        <v>700</v>
      </c>
      <c r="I26" s="57">
        <v>6</v>
      </c>
      <c r="J26" s="48">
        <v>8</v>
      </c>
      <c r="K26" s="48">
        <v>11</v>
      </c>
    </row>
    <row r="27" spans="1:11" ht="15.75" customHeight="1" x14ac:dyDescent="0.35">
      <c r="A27" s="55" t="s">
        <v>164</v>
      </c>
      <c r="B27" s="61" t="s">
        <v>200</v>
      </c>
      <c r="C27" s="55">
        <v>91</v>
      </c>
      <c r="D27" s="58">
        <v>1.1499999999999999</v>
      </c>
      <c r="E27" s="55">
        <v>24.4</v>
      </c>
      <c r="F27" s="55">
        <v>0</v>
      </c>
      <c r="G27" s="55">
        <v>100</v>
      </c>
      <c r="H27" s="55">
        <v>480</v>
      </c>
      <c r="I27" s="57">
        <v>5</v>
      </c>
      <c r="J27" s="48">
        <v>8</v>
      </c>
      <c r="K27" s="48">
        <v>8</v>
      </c>
    </row>
    <row r="28" spans="1:11" ht="15.75" customHeight="1" x14ac:dyDescent="0.35">
      <c r="A28" s="55" t="s">
        <v>164</v>
      </c>
      <c r="B28" s="61" t="s">
        <v>180</v>
      </c>
      <c r="C28" s="55">
        <v>91</v>
      </c>
      <c r="D28" s="58">
        <v>0.57999999999999996</v>
      </c>
      <c r="E28" s="55">
        <v>26.4</v>
      </c>
      <c r="F28" s="55">
        <v>0</v>
      </c>
      <c r="G28" s="55">
        <v>100</v>
      </c>
      <c r="H28" s="55">
        <v>780</v>
      </c>
      <c r="I28" s="57">
        <v>5</v>
      </c>
      <c r="J28" s="48">
        <v>10</v>
      </c>
      <c r="K28" s="48">
        <v>10</v>
      </c>
    </row>
    <row r="29" spans="1:11" ht="15.75" customHeight="1" x14ac:dyDescent="0.35">
      <c r="A29" s="55" t="s">
        <v>164</v>
      </c>
      <c r="B29" s="61" t="s">
        <v>180</v>
      </c>
      <c r="C29" s="55">
        <v>91</v>
      </c>
      <c r="D29" s="58">
        <v>0.81</v>
      </c>
      <c r="E29" s="55">
        <v>23.28</v>
      </c>
      <c r="F29" s="55">
        <v>0</v>
      </c>
      <c r="G29" s="55">
        <v>100</v>
      </c>
      <c r="H29" s="55">
        <v>480</v>
      </c>
      <c r="I29" s="57">
        <v>5</v>
      </c>
      <c r="J29" s="48">
        <v>5</v>
      </c>
      <c r="K29" s="48">
        <v>5</v>
      </c>
    </row>
    <row r="30" spans="1:11" ht="15.75" customHeight="1" x14ac:dyDescent="0.35">
      <c r="A30" s="55" t="s">
        <v>164</v>
      </c>
      <c r="B30" s="61" t="s">
        <v>181</v>
      </c>
      <c r="C30" s="55">
        <v>99</v>
      </c>
      <c r="D30" s="58">
        <v>85.6</v>
      </c>
      <c r="E30" s="55">
        <v>28.5</v>
      </c>
      <c r="F30" s="55">
        <v>1.2</v>
      </c>
      <c r="G30" s="55">
        <v>100</v>
      </c>
      <c r="H30" s="55">
        <v>780</v>
      </c>
      <c r="I30" s="57">
        <v>3</v>
      </c>
      <c r="J30" s="48">
        <v>1</v>
      </c>
      <c r="K30" s="48">
        <v>1</v>
      </c>
    </row>
    <row r="31" spans="1:11" ht="15.75" customHeight="1" x14ac:dyDescent="0.35">
      <c r="A31" s="55" t="s">
        <v>164</v>
      </c>
      <c r="B31" s="61" t="s">
        <v>181</v>
      </c>
      <c r="C31" s="55">
        <v>91</v>
      </c>
      <c r="D31" s="58">
        <v>13.15</v>
      </c>
      <c r="E31" s="55">
        <v>26.13</v>
      </c>
      <c r="F31" s="55">
        <v>0</v>
      </c>
      <c r="G31" s="55">
        <v>100</v>
      </c>
      <c r="H31" s="55">
        <v>480</v>
      </c>
      <c r="I31" s="57">
        <v>3</v>
      </c>
      <c r="J31" s="48">
        <v>3</v>
      </c>
      <c r="K31" s="48">
        <v>3</v>
      </c>
    </row>
    <row r="32" spans="1:11" s="75" customFormat="1" ht="15.75" customHeight="1" x14ac:dyDescent="0.35">
      <c r="A32" s="71" t="s">
        <v>164</v>
      </c>
      <c r="B32" s="72" t="s">
        <v>198</v>
      </c>
      <c r="C32" s="71">
        <v>93</v>
      </c>
      <c r="D32" s="73">
        <v>14.5</v>
      </c>
      <c r="E32" s="71">
        <v>28.73</v>
      </c>
      <c r="F32" s="71">
        <v>0</v>
      </c>
      <c r="G32" s="71">
        <v>100</v>
      </c>
      <c r="H32" s="71">
        <v>480</v>
      </c>
      <c r="I32" s="74">
        <v>3</v>
      </c>
      <c r="J32" s="75">
        <v>6</v>
      </c>
      <c r="K32" s="75">
        <v>9</v>
      </c>
    </row>
    <row r="33" spans="1:11" ht="15.75" customHeight="1" x14ac:dyDescent="0.35">
      <c r="A33" s="55" t="s">
        <v>164</v>
      </c>
      <c r="B33" s="61" t="s">
        <v>183</v>
      </c>
      <c r="C33" s="55">
        <v>81</v>
      </c>
      <c r="D33" s="58">
        <v>5.23</v>
      </c>
      <c r="E33" s="55">
        <v>27.03</v>
      </c>
      <c r="F33" s="55">
        <v>0</v>
      </c>
      <c r="G33" s="55">
        <v>100</v>
      </c>
      <c r="H33" s="55">
        <v>480</v>
      </c>
      <c r="I33" s="57">
        <v>3</v>
      </c>
      <c r="J33" s="48">
        <v>4</v>
      </c>
      <c r="K33" s="48">
        <v>5</v>
      </c>
    </row>
    <row r="34" spans="1:11" ht="15.75" customHeight="1" x14ac:dyDescent="0.35">
      <c r="A34" s="55" t="s">
        <v>164</v>
      </c>
      <c r="B34" s="61" t="s">
        <v>186</v>
      </c>
      <c r="C34" s="55">
        <v>83</v>
      </c>
      <c r="D34" s="58">
        <v>0.20499999999999999</v>
      </c>
      <c r="E34" s="55">
        <v>24.8</v>
      </c>
      <c r="F34" s="55">
        <v>0</v>
      </c>
      <c r="G34" s="55">
        <v>100</v>
      </c>
      <c r="H34" s="55">
        <v>480</v>
      </c>
      <c r="I34" s="57">
        <v>6</v>
      </c>
      <c r="J34" s="48">
        <v>0</v>
      </c>
      <c r="K34" s="48">
        <v>0</v>
      </c>
    </row>
    <row r="35" spans="1:11" ht="15.75" customHeight="1" x14ac:dyDescent="0.35">
      <c r="A35" s="55" t="s">
        <v>168</v>
      </c>
      <c r="B35" s="55" t="s">
        <v>176</v>
      </c>
      <c r="C35" s="55">
        <v>92</v>
      </c>
      <c r="D35" s="58">
        <v>0.14000000000000001</v>
      </c>
      <c r="E35" s="55">
        <v>22.5</v>
      </c>
      <c r="F35" s="55">
        <v>0</v>
      </c>
      <c r="G35" s="55">
        <v>100</v>
      </c>
      <c r="H35" s="55">
        <v>480</v>
      </c>
      <c r="I35" s="57">
        <v>4</v>
      </c>
      <c r="J35" s="48">
        <v>6</v>
      </c>
      <c r="K35" s="48">
        <v>11</v>
      </c>
    </row>
    <row r="36" spans="1:11" ht="15.75" customHeight="1" x14ac:dyDescent="0.35">
      <c r="A36" s="55" t="s">
        <v>168</v>
      </c>
      <c r="B36" s="55" t="s">
        <v>177</v>
      </c>
      <c r="C36" s="55">
        <v>97</v>
      </c>
      <c r="D36" s="58">
        <v>4.5999999999999996</v>
      </c>
      <c r="E36" s="55">
        <v>24.3</v>
      </c>
      <c r="F36" s="55">
        <v>0</v>
      </c>
      <c r="G36" s="55">
        <v>100</v>
      </c>
      <c r="H36" s="55">
        <v>480</v>
      </c>
      <c r="I36" s="57">
        <v>3</v>
      </c>
      <c r="J36" s="48">
        <v>17</v>
      </c>
      <c r="K36" s="48">
        <v>24</v>
      </c>
    </row>
    <row r="37" spans="1:11" ht="15.75" customHeight="1" x14ac:dyDescent="0.35">
      <c r="A37" s="55" t="s">
        <v>168</v>
      </c>
      <c r="B37" s="55" t="s">
        <v>200</v>
      </c>
      <c r="C37" s="55">
        <v>99</v>
      </c>
      <c r="D37" s="58">
        <v>24.2</v>
      </c>
      <c r="E37" s="55">
        <v>26.1</v>
      </c>
      <c r="F37" s="55">
        <v>0</v>
      </c>
      <c r="G37" s="55">
        <v>35</v>
      </c>
      <c r="H37" s="55">
        <v>480</v>
      </c>
      <c r="I37" s="57">
        <v>5</v>
      </c>
      <c r="J37" s="48">
        <v>11</v>
      </c>
      <c r="K37" s="48">
        <v>11</v>
      </c>
    </row>
    <row r="38" spans="1:11" ht="15.75" customHeight="1" x14ac:dyDescent="0.35">
      <c r="A38" s="55" t="s">
        <v>168</v>
      </c>
      <c r="B38" s="55" t="s">
        <v>180</v>
      </c>
      <c r="C38" s="55">
        <v>97</v>
      </c>
      <c r="D38" s="58">
        <v>1.08</v>
      </c>
      <c r="E38" s="55">
        <v>25.4</v>
      </c>
      <c r="F38" s="55">
        <v>0</v>
      </c>
      <c r="G38" s="55">
        <v>65</v>
      </c>
      <c r="H38" s="55">
        <v>480</v>
      </c>
      <c r="I38" s="57">
        <v>5</v>
      </c>
      <c r="J38" s="48">
        <v>9</v>
      </c>
      <c r="K38" s="48">
        <v>9</v>
      </c>
    </row>
    <row r="39" spans="1:11" ht="15.75" customHeight="1" x14ac:dyDescent="0.35">
      <c r="A39" s="55" t="s">
        <v>168</v>
      </c>
      <c r="B39" s="48" t="s">
        <v>181</v>
      </c>
      <c r="C39" s="48">
        <v>87</v>
      </c>
      <c r="D39" s="76">
        <v>9.8000000000000007</v>
      </c>
      <c r="E39" s="48">
        <v>34.5</v>
      </c>
      <c r="F39" s="48">
        <v>0</v>
      </c>
      <c r="G39" s="48">
        <v>0</v>
      </c>
      <c r="H39" s="48">
        <v>480</v>
      </c>
      <c r="I39" s="49">
        <v>3</v>
      </c>
      <c r="J39" s="48">
        <v>3</v>
      </c>
      <c r="K39" s="48">
        <v>3</v>
      </c>
    </row>
    <row r="40" spans="1:11" ht="15.75" customHeight="1" x14ac:dyDescent="0.35">
      <c r="A40" s="55" t="s">
        <v>168</v>
      </c>
      <c r="B40" s="48" t="s">
        <v>198</v>
      </c>
      <c r="C40" s="48">
        <v>81</v>
      </c>
      <c r="D40" s="76">
        <v>36.6</v>
      </c>
      <c r="E40" s="48">
        <v>31.4</v>
      </c>
      <c r="F40" s="48">
        <v>0.8</v>
      </c>
      <c r="G40" s="48">
        <v>96</v>
      </c>
      <c r="H40" s="48">
        <v>480</v>
      </c>
      <c r="I40" s="49">
        <v>3</v>
      </c>
      <c r="J40" s="48">
        <v>7</v>
      </c>
      <c r="K40" s="48">
        <v>7</v>
      </c>
    </row>
    <row r="41" spans="1:11" ht="15.75" customHeight="1" x14ac:dyDescent="0.35">
      <c r="A41" s="55" t="s">
        <v>168</v>
      </c>
      <c r="B41" s="48" t="s">
        <v>183</v>
      </c>
      <c r="C41" s="48">
        <v>89</v>
      </c>
      <c r="D41" s="76">
        <v>1</v>
      </c>
      <c r="E41" s="48">
        <v>22.2</v>
      </c>
      <c r="F41" s="48">
        <v>0</v>
      </c>
      <c r="G41" s="48">
        <v>100</v>
      </c>
      <c r="H41" s="48">
        <v>1420</v>
      </c>
      <c r="I41" s="49">
        <v>3</v>
      </c>
      <c r="J41" s="48">
        <v>4</v>
      </c>
      <c r="K41" s="48">
        <v>4</v>
      </c>
    </row>
    <row r="42" spans="1:11" ht="15.75" customHeight="1" x14ac:dyDescent="0.35">
      <c r="A42" s="55" t="s">
        <v>168</v>
      </c>
      <c r="B42" s="48" t="s">
        <v>186</v>
      </c>
      <c r="C42" s="48">
        <v>76</v>
      </c>
      <c r="D42" s="76">
        <v>1.53</v>
      </c>
      <c r="E42" s="48">
        <v>25.4</v>
      </c>
      <c r="F42" s="48">
        <v>0</v>
      </c>
      <c r="G42" s="48">
        <v>100</v>
      </c>
      <c r="H42" s="48">
        <v>1420</v>
      </c>
      <c r="I42" s="49">
        <v>6</v>
      </c>
      <c r="J42" s="48">
        <v>4</v>
      </c>
      <c r="K42" s="48">
        <v>5</v>
      </c>
    </row>
    <row r="43" spans="1:11" ht="15.75" customHeight="1" x14ac:dyDescent="0.35">
      <c r="A43" s="48" t="s">
        <v>172</v>
      </c>
      <c r="B43" s="48" t="s">
        <v>200</v>
      </c>
      <c r="C43" s="48">
        <v>99</v>
      </c>
      <c r="D43" s="76">
        <v>0.28000000000000003</v>
      </c>
      <c r="E43" s="48">
        <v>23.5</v>
      </c>
      <c r="F43" s="48">
        <v>0</v>
      </c>
      <c r="G43" s="48">
        <v>100</v>
      </c>
      <c r="H43" s="48">
        <v>650</v>
      </c>
      <c r="I43" s="49">
        <v>5</v>
      </c>
      <c r="J43" s="48">
        <v>7</v>
      </c>
      <c r="K43" s="48">
        <v>10</v>
      </c>
    </row>
    <row r="44" spans="1:11" ht="15.75" customHeight="1" x14ac:dyDescent="0.35">
      <c r="A44" s="48" t="s">
        <v>172</v>
      </c>
      <c r="B44" s="48" t="s">
        <v>180</v>
      </c>
      <c r="C44" s="48">
        <v>96</v>
      </c>
      <c r="D44" s="76">
        <v>0.64</v>
      </c>
      <c r="E44" s="48">
        <v>24.9</v>
      </c>
      <c r="F44" s="48">
        <v>0</v>
      </c>
      <c r="G44" s="48">
        <v>100</v>
      </c>
      <c r="H44" s="48">
        <v>650</v>
      </c>
      <c r="I44" s="49">
        <v>5</v>
      </c>
      <c r="J44" s="48">
        <v>9</v>
      </c>
      <c r="K44" s="48">
        <v>9</v>
      </c>
    </row>
    <row r="45" spans="1:11" ht="15.75" customHeight="1" x14ac:dyDescent="0.35">
      <c r="A45" s="48" t="s">
        <v>172</v>
      </c>
      <c r="B45" s="48" t="s">
        <v>181</v>
      </c>
      <c r="C45" s="48">
        <v>98</v>
      </c>
      <c r="D45" s="76">
        <v>2.2799999999999998</v>
      </c>
      <c r="E45" s="48">
        <v>23.7</v>
      </c>
      <c r="F45" s="48">
        <v>0</v>
      </c>
      <c r="G45" s="48">
        <v>100</v>
      </c>
      <c r="H45" s="48">
        <v>650</v>
      </c>
      <c r="I45" s="49">
        <v>3</v>
      </c>
      <c r="J45" s="48">
        <v>4</v>
      </c>
      <c r="K45" s="48">
        <v>4</v>
      </c>
    </row>
    <row r="46" spans="1:11" ht="15.75" customHeight="1" x14ac:dyDescent="0.35">
      <c r="A46" s="48" t="s">
        <v>172</v>
      </c>
      <c r="B46" s="48" t="s">
        <v>198</v>
      </c>
      <c r="C46" s="48">
        <v>99</v>
      </c>
      <c r="D46" s="76">
        <v>7.2350000000000003</v>
      </c>
      <c r="E46" s="48">
        <v>24.6</v>
      </c>
      <c r="F46" s="48">
        <v>1.4</v>
      </c>
      <c r="G46" s="48">
        <v>100</v>
      </c>
      <c r="H46" s="48">
        <v>650</v>
      </c>
      <c r="I46" s="49">
        <v>3</v>
      </c>
      <c r="J46" s="48">
        <v>10</v>
      </c>
      <c r="K46" s="48">
        <v>16</v>
      </c>
    </row>
    <row r="47" spans="1:11" ht="15.75" customHeight="1" x14ac:dyDescent="0.35">
      <c r="D47" s="76"/>
    </row>
    <row r="48" spans="1:11" ht="15.75" customHeight="1" x14ac:dyDescent="0.35">
      <c r="D48" s="76"/>
    </row>
    <row r="49" spans="4:4" ht="15.75" customHeight="1" x14ac:dyDescent="0.35">
      <c r="D49" s="76"/>
    </row>
    <row r="50" spans="4:4" ht="15.75" customHeight="1" x14ac:dyDescent="0.35">
      <c r="D50" s="76"/>
    </row>
    <row r="51" spans="4:4" ht="15.75" customHeight="1" x14ac:dyDescent="0.35">
      <c r="D51" s="76"/>
    </row>
    <row r="52" spans="4:4" ht="15.75" customHeight="1" x14ac:dyDescent="0.35">
      <c r="D52" s="76"/>
    </row>
    <row r="53" spans="4:4" ht="15.75" customHeight="1" x14ac:dyDescent="0.35">
      <c r="D53" s="76"/>
    </row>
    <row r="54" spans="4:4" ht="15.75" customHeight="1" x14ac:dyDescent="0.35">
      <c r="D54" s="76"/>
    </row>
    <row r="55" spans="4:4" ht="15.75" customHeight="1" x14ac:dyDescent="0.35">
      <c r="D55" s="76"/>
    </row>
    <row r="56" spans="4:4" ht="15.75" customHeight="1" x14ac:dyDescent="0.35">
      <c r="D56" s="76"/>
    </row>
    <row r="57" spans="4:4" ht="15.75" customHeight="1" x14ac:dyDescent="0.35">
      <c r="D57" s="76"/>
    </row>
    <row r="58" spans="4:4" ht="15.75" customHeight="1" x14ac:dyDescent="0.35">
      <c r="D58" s="76"/>
    </row>
    <row r="59" spans="4:4" ht="15.75" customHeight="1" x14ac:dyDescent="0.35">
      <c r="D59" s="76"/>
    </row>
    <row r="60" spans="4:4" ht="15.75" customHeight="1" x14ac:dyDescent="0.35">
      <c r="D60" s="76"/>
    </row>
    <row r="61" spans="4:4" ht="15.75" customHeight="1" x14ac:dyDescent="0.35">
      <c r="D61" s="76"/>
    </row>
    <row r="62" spans="4:4" ht="15.75" customHeight="1" x14ac:dyDescent="0.35">
      <c r="D62" s="76"/>
    </row>
    <row r="63" spans="4:4" ht="15.75" customHeight="1" x14ac:dyDescent="0.35">
      <c r="D63" s="76"/>
    </row>
    <row r="64" spans="4:4" ht="15.75" customHeight="1" x14ac:dyDescent="0.35">
      <c r="D64" s="76"/>
    </row>
    <row r="65" spans="4:4" ht="15.75" customHeight="1" x14ac:dyDescent="0.35">
      <c r="D65" s="76"/>
    </row>
    <row r="66" spans="4:4" ht="15.75" customHeight="1" x14ac:dyDescent="0.35">
      <c r="D66" s="76"/>
    </row>
    <row r="67" spans="4:4" ht="15.75" customHeight="1" x14ac:dyDescent="0.35">
      <c r="D67" s="76"/>
    </row>
    <row r="68" spans="4:4" ht="15.75" customHeight="1" x14ac:dyDescent="0.35">
      <c r="D68" s="76"/>
    </row>
    <row r="69" spans="4:4" ht="15.75" customHeight="1" x14ac:dyDescent="0.35">
      <c r="D69" s="76"/>
    </row>
    <row r="70" spans="4:4" ht="15.75" customHeight="1" x14ac:dyDescent="0.35">
      <c r="D70" s="76"/>
    </row>
    <row r="71" spans="4:4" ht="15.75" customHeight="1" x14ac:dyDescent="0.35">
      <c r="D71" s="76"/>
    </row>
    <row r="72" spans="4:4" ht="15.75" customHeight="1" x14ac:dyDescent="0.35">
      <c r="D72" s="76"/>
    </row>
    <row r="73" spans="4:4" ht="15.75" customHeight="1" x14ac:dyDescent="0.35">
      <c r="D73" s="76"/>
    </row>
    <row r="74" spans="4:4" ht="15.75" customHeight="1" x14ac:dyDescent="0.35">
      <c r="D74" s="76"/>
    </row>
    <row r="75" spans="4:4" ht="15.75" customHeight="1" x14ac:dyDescent="0.35">
      <c r="D75" s="76"/>
    </row>
    <row r="76" spans="4:4" ht="15.75" customHeight="1" x14ac:dyDescent="0.35">
      <c r="D76" s="76"/>
    </row>
    <row r="77" spans="4:4" ht="15.75" customHeight="1" x14ac:dyDescent="0.35">
      <c r="D77" s="76"/>
    </row>
    <row r="78" spans="4:4" ht="15.75" customHeight="1" x14ac:dyDescent="0.35">
      <c r="D78" s="76"/>
    </row>
    <row r="79" spans="4:4" ht="15.75" customHeight="1" x14ac:dyDescent="0.35">
      <c r="D79" s="76"/>
    </row>
    <row r="80" spans="4:4" ht="15.75" customHeight="1" x14ac:dyDescent="0.35">
      <c r="D80" s="76"/>
    </row>
    <row r="81" spans="4:4" ht="15.75" customHeight="1" x14ac:dyDescent="0.35">
      <c r="D81" s="76"/>
    </row>
    <row r="82" spans="4:4" ht="15.75" customHeight="1" x14ac:dyDescent="0.35">
      <c r="D82" s="76"/>
    </row>
    <row r="83" spans="4:4" ht="15.75" customHeight="1" x14ac:dyDescent="0.35">
      <c r="D83" s="76"/>
    </row>
    <row r="84" spans="4:4" ht="15.75" customHeight="1" x14ac:dyDescent="0.35">
      <c r="D84" s="76"/>
    </row>
    <row r="85" spans="4:4" ht="15.75" customHeight="1" x14ac:dyDescent="0.35">
      <c r="D85" s="76"/>
    </row>
    <row r="86" spans="4:4" ht="15.75" customHeight="1" x14ac:dyDescent="0.35">
      <c r="D86" s="76"/>
    </row>
    <row r="87" spans="4:4" ht="15.75" customHeight="1" x14ac:dyDescent="0.35">
      <c r="D87" s="76"/>
    </row>
    <row r="88" spans="4:4" ht="15.75" customHeight="1" x14ac:dyDescent="0.35">
      <c r="D88" s="76"/>
    </row>
    <row r="89" spans="4:4" ht="15.75" customHeight="1" x14ac:dyDescent="0.35">
      <c r="D89" s="76"/>
    </row>
    <row r="90" spans="4:4" ht="15.75" customHeight="1" x14ac:dyDescent="0.35">
      <c r="D90" s="76"/>
    </row>
    <row r="91" spans="4:4" ht="15.75" customHeight="1" x14ac:dyDescent="0.35">
      <c r="D91" s="76"/>
    </row>
    <row r="92" spans="4:4" ht="15.75" customHeight="1" x14ac:dyDescent="0.35">
      <c r="D92" s="76"/>
    </row>
    <row r="93" spans="4:4" ht="15.75" customHeight="1" x14ac:dyDescent="0.35">
      <c r="D93" s="76"/>
    </row>
    <row r="94" spans="4:4" ht="15.75" customHeight="1" x14ac:dyDescent="0.35">
      <c r="D94" s="76"/>
    </row>
    <row r="95" spans="4:4" ht="15.75" customHeight="1" x14ac:dyDescent="0.35">
      <c r="D95" s="76"/>
    </row>
    <row r="96" spans="4:4" ht="15.75" customHeight="1" x14ac:dyDescent="0.35">
      <c r="D96" s="76"/>
    </row>
    <row r="97" spans="4:4" ht="15.75" customHeight="1" x14ac:dyDescent="0.35">
      <c r="D97" s="76"/>
    </row>
    <row r="98" spans="4:4" ht="15.75" customHeight="1" x14ac:dyDescent="0.35">
      <c r="D98" s="76"/>
    </row>
    <row r="99" spans="4:4" ht="15.75" customHeight="1" x14ac:dyDescent="0.35">
      <c r="D99" s="76"/>
    </row>
    <row r="100" spans="4:4" ht="15.75" customHeight="1" x14ac:dyDescent="0.35">
      <c r="D100" s="76"/>
    </row>
    <row r="101" spans="4:4" ht="15.75" customHeight="1" x14ac:dyDescent="0.35">
      <c r="D101" s="76"/>
    </row>
    <row r="102" spans="4:4" ht="15.75" customHeight="1" x14ac:dyDescent="0.35">
      <c r="D102" s="76"/>
    </row>
    <row r="103" spans="4:4" ht="15.75" customHeight="1" x14ac:dyDescent="0.35">
      <c r="D103" s="76"/>
    </row>
    <row r="104" spans="4:4" ht="15.75" customHeight="1" x14ac:dyDescent="0.35">
      <c r="D104" s="76"/>
    </row>
    <row r="105" spans="4:4" ht="15.75" customHeight="1" x14ac:dyDescent="0.35">
      <c r="D105" s="76"/>
    </row>
    <row r="106" spans="4:4" ht="15.75" customHeight="1" x14ac:dyDescent="0.35">
      <c r="D106" s="76"/>
    </row>
    <row r="107" spans="4:4" ht="15.75" customHeight="1" x14ac:dyDescent="0.35">
      <c r="D107" s="76"/>
    </row>
    <row r="108" spans="4:4" ht="15.75" customHeight="1" x14ac:dyDescent="0.35">
      <c r="D108" s="76"/>
    </row>
    <row r="109" spans="4:4" ht="15.75" customHeight="1" x14ac:dyDescent="0.35">
      <c r="D109" s="76"/>
    </row>
    <row r="110" spans="4:4" ht="15.75" customHeight="1" x14ac:dyDescent="0.35">
      <c r="D110" s="76"/>
    </row>
    <row r="111" spans="4:4" ht="15.75" customHeight="1" x14ac:dyDescent="0.35">
      <c r="D111" s="76"/>
    </row>
    <row r="112" spans="4:4" ht="15.75" customHeight="1" x14ac:dyDescent="0.35">
      <c r="D112" s="76"/>
    </row>
    <row r="113" spans="4:4" ht="15.75" customHeight="1" x14ac:dyDescent="0.35">
      <c r="D113" s="76"/>
    </row>
    <row r="114" spans="4:4" ht="15.75" customHeight="1" x14ac:dyDescent="0.35">
      <c r="D114" s="76"/>
    </row>
    <row r="115" spans="4:4" ht="15.75" customHeight="1" x14ac:dyDescent="0.35">
      <c r="D115" s="76"/>
    </row>
    <row r="116" spans="4:4" ht="15.75" customHeight="1" x14ac:dyDescent="0.35">
      <c r="D116" s="76"/>
    </row>
    <row r="117" spans="4:4" ht="15.75" customHeight="1" x14ac:dyDescent="0.35">
      <c r="D117" s="76"/>
    </row>
    <row r="118" spans="4:4" ht="15.75" customHeight="1" x14ac:dyDescent="0.35">
      <c r="D118" s="76"/>
    </row>
    <row r="119" spans="4:4" ht="15.75" customHeight="1" x14ac:dyDescent="0.35"/>
    <row r="120" spans="4:4" ht="15.75" customHeight="1" x14ac:dyDescent="0.35"/>
    <row r="121" spans="4:4" ht="15.75" customHeight="1" x14ac:dyDescent="0.35"/>
    <row r="122" spans="4:4" ht="15.75" customHeight="1" x14ac:dyDescent="0.35"/>
    <row r="123" spans="4:4" ht="15.75" customHeight="1" x14ac:dyDescent="0.35"/>
    <row r="124" spans="4:4" ht="15.75" customHeight="1" x14ac:dyDescent="0.35"/>
    <row r="125" spans="4:4" ht="15.75" customHeight="1" x14ac:dyDescent="0.35"/>
    <row r="126" spans="4:4" ht="15.75" customHeight="1" x14ac:dyDescent="0.35"/>
    <row r="127" spans="4:4" ht="15.75" customHeight="1" x14ac:dyDescent="0.35"/>
    <row r="128" spans="4:4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</sheetData>
  <autoFilter ref="A2:K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3"/>
  <sheetViews>
    <sheetView topLeftCell="A51" zoomScale="80" workbookViewId="0">
      <selection activeCell="G2" sqref="G1:G1048576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7.54296875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237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19</v>
      </c>
      <c r="H2" s="53" t="s">
        <v>21</v>
      </c>
      <c r="I2" s="48" t="s">
        <v>174</v>
      </c>
      <c r="J2" s="48" t="s">
        <v>175</v>
      </c>
    </row>
    <row r="3" spans="1:10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8"/>
      <c r="H3" s="57">
        <v>3</v>
      </c>
      <c r="I3" s="48">
        <v>7</v>
      </c>
      <c r="J3" s="48">
        <v>14</v>
      </c>
    </row>
    <row r="4" spans="1:10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8"/>
      <c r="H4" s="57">
        <v>5</v>
      </c>
      <c r="I4" s="48">
        <v>3</v>
      </c>
      <c r="J4" s="48">
        <v>3</v>
      </c>
    </row>
    <row r="5" spans="1:10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8"/>
      <c r="H5" s="57">
        <v>5</v>
      </c>
      <c r="I5" s="48">
        <v>1</v>
      </c>
      <c r="J5" s="48">
        <v>1</v>
      </c>
    </row>
    <row r="6" spans="1:10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8"/>
      <c r="H6" s="57">
        <v>5</v>
      </c>
      <c r="I6" s="48">
        <v>1</v>
      </c>
      <c r="J6" s="48">
        <v>1</v>
      </c>
    </row>
    <row r="7" spans="1:10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8"/>
      <c r="H7" s="57">
        <v>5</v>
      </c>
      <c r="I7" s="48">
        <v>2</v>
      </c>
      <c r="J7" s="48">
        <v>2</v>
      </c>
    </row>
    <row r="8" spans="1:10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8"/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8"/>
      <c r="H9" s="57">
        <v>5</v>
      </c>
      <c r="I9" s="48">
        <v>3</v>
      </c>
      <c r="J9" s="48">
        <v>3</v>
      </c>
    </row>
    <row r="10" spans="1:10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8"/>
      <c r="H10" s="57">
        <v>5</v>
      </c>
      <c r="I10" s="48">
        <v>1</v>
      </c>
      <c r="J10" s="48">
        <v>1</v>
      </c>
    </row>
    <row r="11" spans="1:10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8"/>
      <c r="H11" s="57">
        <v>5</v>
      </c>
      <c r="I11" s="48">
        <v>3</v>
      </c>
      <c r="J11" s="48">
        <v>3</v>
      </c>
    </row>
    <row r="12" spans="1:10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8"/>
      <c r="H12" s="57">
        <v>5</v>
      </c>
      <c r="I12" s="48">
        <v>3</v>
      </c>
      <c r="J12" s="48">
        <v>3</v>
      </c>
    </row>
    <row r="13" spans="1:10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8"/>
      <c r="H13" s="57">
        <v>5</v>
      </c>
      <c r="I13" s="48">
        <v>1</v>
      </c>
      <c r="J13" s="48">
        <v>1</v>
      </c>
    </row>
    <row r="14" spans="1:10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8"/>
      <c r="H14" s="57">
        <v>3</v>
      </c>
      <c r="I14" s="48">
        <v>3</v>
      </c>
      <c r="J14" s="48">
        <v>3</v>
      </c>
    </row>
    <row r="15" spans="1:10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8"/>
      <c r="H15" s="57">
        <v>3</v>
      </c>
      <c r="I15" s="48">
        <v>3</v>
      </c>
      <c r="J15" s="48">
        <v>3</v>
      </c>
    </row>
    <row r="16" spans="1:10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8"/>
      <c r="H16" s="57">
        <v>3</v>
      </c>
      <c r="I16" s="48">
        <v>2</v>
      </c>
      <c r="J16" s="48">
        <v>2</v>
      </c>
    </row>
    <row r="17" spans="1:10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8"/>
      <c r="H17" s="57">
        <v>3</v>
      </c>
      <c r="I17" s="48">
        <v>4</v>
      </c>
      <c r="J17" s="48">
        <v>4</v>
      </c>
    </row>
    <row r="18" spans="1:10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8"/>
      <c r="H18" s="57">
        <v>3</v>
      </c>
      <c r="I18" s="48">
        <v>1</v>
      </c>
      <c r="J18" s="48">
        <v>1</v>
      </c>
    </row>
    <row r="19" spans="1:10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8"/>
      <c r="H19" s="57">
        <v>3</v>
      </c>
      <c r="I19" s="48">
        <v>1</v>
      </c>
      <c r="J19" s="48">
        <v>1</v>
      </c>
    </row>
    <row r="20" spans="1:10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8"/>
      <c r="H20" s="57">
        <v>3</v>
      </c>
      <c r="I20" s="48">
        <v>5</v>
      </c>
      <c r="J20" s="48">
        <v>5</v>
      </c>
    </row>
    <row r="21" spans="1:10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8"/>
      <c r="H21" s="57">
        <v>3</v>
      </c>
      <c r="I21" s="48">
        <v>2</v>
      </c>
      <c r="J21" s="48">
        <v>2</v>
      </c>
    </row>
    <row r="22" spans="1:10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8"/>
      <c r="H22" s="57">
        <v>3</v>
      </c>
      <c r="I22" s="48">
        <v>1</v>
      </c>
      <c r="J22" s="48">
        <v>1</v>
      </c>
    </row>
    <row r="23" spans="1:10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8"/>
      <c r="H23" s="57">
        <v>3</v>
      </c>
      <c r="I23" s="48">
        <v>1</v>
      </c>
      <c r="J23" s="48">
        <v>1</v>
      </c>
    </row>
    <row r="24" spans="1:10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8"/>
      <c r="H24" s="57">
        <v>3</v>
      </c>
      <c r="I24" s="48">
        <v>1</v>
      </c>
      <c r="J24" s="48">
        <v>1</v>
      </c>
    </row>
    <row r="25" spans="1:10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8"/>
      <c r="H25" s="57">
        <v>3</v>
      </c>
      <c r="I25" s="48">
        <v>1</v>
      </c>
      <c r="J25" s="48">
        <v>1</v>
      </c>
    </row>
    <row r="26" spans="1:10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8"/>
      <c r="H26" s="57">
        <v>3</v>
      </c>
      <c r="I26" s="48">
        <v>1</v>
      </c>
      <c r="J26" s="48">
        <v>1</v>
      </c>
    </row>
    <row r="27" spans="1:10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8"/>
      <c r="H27" s="57">
        <v>3</v>
      </c>
      <c r="I27" s="48">
        <v>1</v>
      </c>
      <c r="J27" s="48">
        <v>1</v>
      </c>
    </row>
    <row r="28" spans="1:10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8"/>
      <c r="H28" s="60">
        <v>3</v>
      </c>
      <c r="I28" s="48">
        <v>3</v>
      </c>
      <c r="J28" s="48">
        <v>3</v>
      </c>
    </row>
    <row r="29" spans="1:10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8"/>
      <c r="H29" s="60">
        <v>3</v>
      </c>
      <c r="I29" s="48">
        <v>1</v>
      </c>
      <c r="J29" s="48">
        <v>1</v>
      </c>
    </row>
    <row r="30" spans="1:10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47">
        <v>480</v>
      </c>
      <c r="H30" s="57">
        <v>4</v>
      </c>
      <c r="I30" s="48">
        <v>10</v>
      </c>
      <c r="J30" s="48">
        <v>10</v>
      </c>
    </row>
    <row r="31" spans="1:10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47"/>
      <c r="H31" s="57">
        <v>4</v>
      </c>
      <c r="I31" s="48">
        <v>7</v>
      </c>
      <c r="J31" s="48">
        <v>7</v>
      </c>
    </row>
    <row r="32" spans="1:10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47">
        <v>480</v>
      </c>
      <c r="H32" s="57">
        <v>3</v>
      </c>
      <c r="I32" s="48">
        <v>14</v>
      </c>
      <c r="J32" s="48">
        <v>17</v>
      </c>
    </row>
    <row r="33" spans="1:10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47"/>
      <c r="H33" s="57">
        <v>3</v>
      </c>
      <c r="I33" s="48">
        <v>5</v>
      </c>
      <c r="J33" s="48">
        <v>5</v>
      </c>
    </row>
    <row r="34" spans="1:10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8"/>
      <c r="H34" s="57">
        <v>5</v>
      </c>
      <c r="I34" s="48">
        <v>2</v>
      </c>
      <c r="J34" s="48">
        <v>2</v>
      </c>
    </row>
    <row r="35" spans="1:10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47">
        <v>480</v>
      </c>
      <c r="H35" s="57">
        <v>5</v>
      </c>
      <c r="I35" s="48">
        <v>12</v>
      </c>
      <c r="J35" s="48">
        <v>12</v>
      </c>
    </row>
    <row r="36" spans="1:10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47"/>
      <c r="H36" s="57">
        <v>5</v>
      </c>
      <c r="I36" s="48">
        <v>3</v>
      </c>
      <c r="J36" s="48">
        <v>3</v>
      </c>
    </row>
    <row r="37" spans="1:10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47">
        <v>480</v>
      </c>
      <c r="H37" s="57">
        <v>5</v>
      </c>
      <c r="I37" s="48">
        <v>0</v>
      </c>
      <c r="J37" s="48">
        <v>0</v>
      </c>
    </row>
    <row r="38" spans="1:10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47"/>
      <c r="H38" s="57">
        <v>5</v>
      </c>
      <c r="I38" s="48">
        <v>2</v>
      </c>
      <c r="J38" s="48">
        <v>3</v>
      </c>
    </row>
    <row r="39" spans="1:10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8"/>
      <c r="H39" s="57">
        <v>3</v>
      </c>
      <c r="I39" s="48">
        <v>1</v>
      </c>
      <c r="J39" s="48">
        <v>1</v>
      </c>
    </row>
    <row r="40" spans="1:10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47">
        <v>480</v>
      </c>
      <c r="H40" s="57">
        <v>3</v>
      </c>
      <c r="I40" s="48">
        <v>4</v>
      </c>
      <c r="J40" s="48">
        <v>4</v>
      </c>
    </row>
    <row r="41" spans="1:10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47"/>
      <c r="H41" s="57">
        <v>3</v>
      </c>
      <c r="I41" s="48">
        <v>4</v>
      </c>
      <c r="J41" s="48">
        <v>4</v>
      </c>
    </row>
    <row r="42" spans="1:10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47">
        <v>480</v>
      </c>
      <c r="H42" s="57">
        <v>3</v>
      </c>
      <c r="I42" s="48">
        <v>1</v>
      </c>
      <c r="J42" s="48">
        <v>1</v>
      </c>
    </row>
    <row r="43" spans="1:10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47"/>
      <c r="H43" s="57">
        <v>3</v>
      </c>
      <c r="I43" s="48">
        <v>2</v>
      </c>
      <c r="J43" s="48">
        <v>2</v>
      </c>
    </row>
    <row r="44" spans="1:10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66">
        <v>480</v>
      </c>
      <c r="H44" s="60">
        <v>4</v>
      </c>
      <c r="I44" s="48">
        <v>9</v>
      </c>
      <c r="J44" s="48">
        <v>18</v>
      </c>
    </row>
    <row r="45" spans="1:10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64"/>
      <c r="H45" s="60">
        <v>3</v>
      </c>
      <c r="I45" s="48">
        <v>11</v>
      </c>
      <c r="J45" s="48">
        <v>11</v>
      </c>
    </row>
    <row r="46" spans="1:10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64"/>
      <c r="H46" s="60">
        <v>5</v>
      </c>
      <c r="I46" s="48">
        <v>7</v>
      </c>
      <c r="J46" s="48">
        <v>10</v>
      </c>
    </row>
    <row r="47" spans="1:10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65">
        <v>480</v>
      </c>
      <c r="H47" s="60">
        <v>5</v>
      </c>
      <c r="I47" s="48">
        <v>8</v>
      </c>
      <c r="J47" s="48">
        <v>9</v>
      </c>
    </row>
    <row r="48" spans="1:10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62"/>
      <c r="H48" s="60">
        <v>5</v>
      </c>
      <c r="I48" s="48">
        <v>3</v>
      </c>
      <c r="J48" s="48">
        <v>3</v>
      </c>
    </row>
    <row r="49" spans="1:10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65">
        <v>480</v>
      </c>
      <c r="H49" s="60">
        <v>5</v>
      </c>
      <c r="I49" s="48">
        <v>5</v>
      </c>
      <c r="J49" s="48">
        <v>9</v>
      </c>
    </row>
    <row r="50" spans="1:10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65"/>
      <c r="H50" s="60">
        <v>5</v>
      </c>
      <c r="I50" s="48">
        <v>1</v>
      </c>
      <c r="J50" s="48">
        <v>1</v>
      </c>
    </row>
    <row r="51" spans="1:10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65">
        <v>480</v>
      </c>
      <c r="H51" s="60">
        <v>3</v>
      </c>
      <c r="I51" s="48">
        <v>4</v>
      </c>
      <c r="J51" s="48">
        <v>7</v>
      </c>
    </row>
    <row r="52" spans="1:10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65"/>
      <c r="H52" s="60">
        <v>3</v>
      </c>
      <c r="I52" s="48">
        <v>2</v>
      </c>
      <c r="J52" s="48">
        <v>4</v>
      </c>
    </row>
    <row r="53" spans="1:10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65">
        <v>480</v>
      </c>
      <c r="H53" s="60">
        <v>3</v>
      </c>
      <c r="I53" s="48">
        <v>6</v>
      </c>
      <c r="J53" s="48">
        <v>12</v>
      </c>
    </row>
    <row r="54" spans="1:10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65"/>
      <c r="H54" s="60">
        <v>3</v>
      </c>
      <c r="I54" s="48">
        <v>4</v>
      </c>
      <c r="J54" s="48">
        <v>15</v>
      </c>
    </row>
    <row r="55" spans="1:10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62"/>
      <c r="H55" s="60">
        <v>3</v>
      </c>
      <c r="I55" s="48">
        <v>0</v>
      </c>
      <c r="J55" s="48">
        <v>0</v>
      </c>
    </row>
    <row r="56" spans="1:10" ht="15.75" customHeight="1" x14ac:dyDescent="0.35">
      <c r="A56" s="55" t="s">
        <v>141</v>
      </c>
      <c r="B56" s="63" t="s">
        <v>185</v>
      </c>
      <c r="C56" s="67">
        <v>73</v>
      </c>
      <c r="D56" s="64">
        <v>50.3</v>
      </c>
      <c r="E56" s="65">
        <v>17</v>
      </c>
      <c r="F56" s="65">
        <v>0</v>
      </c>
      <c r="G56" s="62"/>
      <c r="H56" s="60"/>
      <c r="I56" s="48">
        <v>2</v>
      </c>
      <c r="J56" s="48">
        <v>2</v>
      </c>
    </row>
    <row r="57" spans="1:10" ht="15.75" customHeight="1" x14ac:dyDescent="0.35">
      <c r="A57" s="55" t="s">
        <v>141</v>
      </c>
      <c r="B57" s="63" t="s">
        <v>185</v>
      </c>
      <c r="C57" s="65">
        <v>72</v>
      </c>
      <c r="D57" s="64">
        <v>50.4</v>
      </c>
      <c r="E57" s="65">
        <v>30.4</v>
      </c>
      <c r="F57" s="65">
        <v>0</v>
      </c>
      <c r="G57" s="62"/>
      <c r="H57" s="60">
        <v>1</v>
      </c>
      <c r="I57" s="48">
        <v>3</v>
      </c>
      <c r="J57" s="48">
        <v>7</v>
      </c>
    </row>
    <row r="58" spans="1:10" ht="15.75" customHeight="1" x14ac:dyDescent="0.35">
      <c r="A58" s="55" t="s">
        <v>141</v>
      </c>
      <c r="B58" s="63" t="s">
        <v>186</v>
      </c>
      <c r="C58" s="65">
        <v>75</v>
      </c>
      <c r="D58" s="69">
        <v>0.71899999999999997</v>
      </c>
      <c r="E58" s="65">
        <v>25.8</v>
      </c>
      <c r="F58" s="65">
        <v>0</v>
      </c>
      <c r="G58" s="62"/>
      <c r="H58" s="60">
        <v>6</v>
      </c>
      <c r="I58" s="48">
        <v>0</v>
      </c>
      <c r="J58" s="48">
        <v>0</v>
      </c>
    </row>
    <row r="59" spans="1:10" ht="15.75" customHeight="1" x14ac:dyDescent="0.35">
      <c r="A59" s="55" t="s">
        <v>146</v>
      </c>
      <c r="B59" s="61" t="s">
        <v>176</v>
      </c>
      <c r="C59" s="55">
        <v>99</v>
      </c>
      <c r="D59" s="70">
        <v>0.27700000000000002</v>
      </c>
      <c r="E59" s="55">
        <v>26.4</v>
      </c>
      <c r="F59" s="55">
        <v>0</v>
      </c>
      <c r="G59" s="55"/>
      <c r="H59" s="57">
        <v>4</v>
      </c>
      <c r="I59" s="48">
        <v>6</v>
      </c>
      <c r="J59" s="48">
        <v>22</v>
      </c>
    </row>
    <row r="60" spans="1:10" ht="15.75" customHeight="1" x14ac:dyDescent="0.35">
      <c r="A60" s="55" t="s">
        <v>146</v>
      </c>
      <c r="B60" s="61" t="s">
        <v>177</v>
      </c>
      <c r="C60" s="55">
        <v>92</v>
      </c>
      <c r="D60" s="58">
        <v>0.78</v>
      </c>
      <c r="E60" s="55">
        <v>24.6</v>
      </c>
      <c r="F60" s="55">
        <v>0</v>
      </c>
      <c r="G60" s="55"/>
      <c r="H60" s="57">
        <v>3</v>
      </c>
      <c r="I60" s="48">
        <v>9</v>
      </c>
      <c r="J60" s="48">
        <v>14</v>
      </c>
    </row>
    <row r="61" spans="1:10" ht="15.75" customHeight="1" x14ac:dyDescent="0.35">
      <c r="A61" s="55" t="s">
        <v>146</v>
      </c>
      <c r="B61" s="61" t="s">
        <v>200</v>
      </c>
      <c r="C61" s="55">
        <v>94</v>
      </c>
      <c r="D61" s="70">
        <v>0.50800000000000001</v>
      </c>
      <c r="E61" s="55">
        <v>24.8</v>
      </c>
      <c r="F61" s="55">
        <v>0</v>
      </c>
      <c r="G61" s="55"/>
      <c r="H61" s="57">
        <v>5</v>
      </c>
      <c r="I61" s="48">
        <v>8</v>
      </c>
      <c r="J61" s="48">
        <v>8</v>
      </c>
    </row>
    <row r="62" spans="1:10" ht="15.75" customHeight="1" x14ac:dyDescent="0.35">
      <c r="A62" s="55" t="s">
        <v>146</v>
      </c>
      <c r="B62" s="61" t="s">
        <v>200</v>
      </c>
      <c r="C62" s="55">
        <v>94</v>
      </c>
      <c r="D62" s="70">
        <v>0.5</v>
      </c>
      <c r="E62" s="55">
        <v>24.8</v>
      </c>
      <c r="F62" s="55">
        <v>0</v>
      </c>
      <c r="G62" s="55">
        <v>870</v>
      </c>
      <c r="H62" s="57">
        <v>5</v>
      </c>
      <c r="I62" s="48">
        <v>2</v>
      </c>
      <c r="J62" s="48">
        <v>6</v>
      </c>
    </row>
    <row r="63" spans="1:10" ht="15.75" customHeight="1" x14ac:dyDescent="0.35">
      <c r="A63" s="55" t="s">
        <v>146</v>
      </c>
      <c r="B63" s="61" t="s">
        <v>200</v>
      </c>
      <c r="C63" s="59">
        <v>94</v>
      </c>
      <c r="D63" s="70">
        <v>0.5</v>
      </c>
      <c r="E63" s="55">
        <v>23</v>
      </c>
      <c r="F63" s="55">
        <v>0</v>
      </c>
      <c r="G63" s="55"/>
      <c r="H63" s="57">
        <v>5</v>
      </c>
      <c r="I63" s="48">
        <v>5</v>
      </c>
      <c r="J63" s="48">
        <v>5</v>
      </c>
    </row>
    <row r="64" spans="1:10" ht="15.75" customHeight="1" x14ac:dyDescent="0.35">
      <c r="A64" s="55" t="s">
        <v>146</v>
      </c>
      <c r="B64" s="61" t="s">
        <v>200</v>
      </c>
      <c r="C64" s="59">
        <v>94</v>
      </c>
      <c r="D64" s="70">
        <v>0.5</v>
      </c>
      <c r="E64" s="55">
        <v>22</v>
      </c>
      <c r="F64" s="55">
        <v>0</v>
      </c>
      <c r="G64" s="55"/>
      <c r="H64" s="57">
        <v>5</v>
      </c>
      <c r="I64" s="48">
        <v>1</v>
      </c>
      <c r="J64" s="48">
        <v>1</v>
      </c>
    </row>
    <row r="65" spans="1:10" ht="15.75" customHeight="1" x14ac:dyDescent="0.35">
      <c r="A65" s="55" t="s">
        <v>146</v>
      </c>
      <c r="B65" s="61" t="s">
        <v>181</v>
      </c>
      <c r="C65" s="55">
        <v>99</v>
      </c>
      <c r="D65" s="58">
        <v>7.59</v>
      </c>
      <c r="E65" s="55">
        <v>23.9</v>
      </c>
      <c r="F65" s="55">
        <v>0</v>
      </c>
      <c r="G65" s="55">
        <v>870</v>
      </c>
      <c r="H65" s="57">
        <v>3</v>
      </c>
      <c r="I65" s="48">
        <v>5</v>
      </c>
      <c r="J65" s="48">
        <v>6</v>
      </c>
    </row>
    <row r="66" spans="1:10" ht="15.75" customHeight="1" x14ac:dyDescent="0.35">
      <c r="A66" s="55" t="s">
        <v>146</v>
      </c>
      <c r="B66" s="61" t="s">
        <v>198</v>
      </c>
      <c r="C66" s="55">
        <v>99</v>
      </c>
      <c r="D66" s="58">
        <v>13.05</v>
      </c>
      <c r="E66" s="55">
        <v>25.9</v>
      </c>
      <c r="F66" s="55">
        <v>0.45</v>
      </c>
      <c r="G66" s="55">
        <v>870</v>
      </c>
      <c r="H66" s="57">
        <v>3</v>
      </c>
      <c r="I66" s="48">
        <v>4</v>
      </c>
      <c r="J66" s="48">
        <v>4</v>
      </c>
    </row>
    <row r="67" spans="1:10" ht="15.75" customHeight="1" x14ac:dyDescent="0.35">
      <c r="A67" s="55" t="s">
        <v>146</v>
      </c>
      <c r="B67" s="61" t="s">
        <v>199</v>
      </c>
      <c r="C67" s="55">
        <v>93</v>
      </c>
      <c r="D67" s="58">
        <v>6.64</v>
      </c>
      <c r="E67" s="55">
        <v>26</v>
      </c>
      <c r="F67" s="55">
        <v>0</v>
      </c>
      <c r="G67" s="55">
        <v>870</v>
      </c>
      <c r="H67" s="57">
        <v>2</v>
      </c>
      <c r="I67" s="48">
        <v>7</v>
      </c>
      <c r="J67" s="48">
        <v>13</v>
      </c>
    </row>
    <row r="68" spans="1:10" ht="15.75" customHeight="1" x14ac:dyDescent="0.35">
      <c r="A68" s="55" t="s">
        <v>146</v>
      </c>
      <c r="B68" s="61" t="s">
        <v>199</v>
      </c>
      <c r="C68" s="55">
        <v>59</v>
      </c>
      <c r="D68" s="58">
        <v>39.5</v>
      </c>
      <c r="E68" s="55">
        <v>31.13</v>
      </c>
      <c r="F68" s="55">
        <v>2.1</v>
      </c>
      <c r="G68" s="55"/>
      <c r="H68" s="57">
        <v>2</v>
      </c>
      <c r="I68" s="48">
        <v>4</v>
      </c>
      <c r="J68" s="48">
        <v>9</v>
      </c>
    </row>
    <row r="69" spans="1:10" ht="15.75" customHeight="1" x14ac:dyDescent="0.35">
      <c r="A69" s="55" t="s">
        <v>146</v>
      </c>
      <c r="B69" s="61" t="s">
        <v>199</v>
      </c>
      <c r="C69" s="55">
        <v>80</v>
      </c>
      <c r="D69" s="58">
        <v>6.56</v>
      </c>
      <c r="E69" s="55">
        <v>23.9</v>
      </c>
      <c r="F69" s="55">
        <v>0</v>
      </c>
      <c r="G69" s="55"/>
      <c r="H69" s="57">
        <v>2</v>
      </c>
      <c r="I69" s="48">
        <v>0</v>
      </c>
      <c r="J69" s="48">
        <v>0</v>
      </c>
    </row>
    <row r="70" spans="1:10" ht="15.75" customHeight="1" x14ac:dyDescent="0.35">
      <c r="A70" s="55" t="s">
        <v>146</v>
      </c>
      <c r="B70" s="61" t="s">
        <v>183</v>
      </c>
      <c r="C70" s="55">
        <v>79</v>
      </c>
      <c r="D70" s="58">
        <v>15.5</v>
      </c>
      <c r="E70" s="55">
        <v>28.3</v>
      </c>
      <c r="F70" s="55">
        <v>0</v>
      </c>
      <c r="G70" s="55">
        <v>1360</v>
      </c>
      <c r="H70" s="57">
        <v>3</v>
      </c>
      <c r="I70" s="48">
        <v>3</v>
      </c>
      <c r="J70" s="48">
        <v>3</v>
      </c>
    </row>
    <row r="71" spans="1:10" ht="15.75" customHeight="1" x14ac:dyDescent="0.35">
      <c r="A71" s="55" t="s">
        <v>146</v>
      </c>
      <c r="B71" s="61" t="s">
        <v>183</v>
      </c>
      <c r="C71" s="55">
        <v>79</v>
      </c>
      <c r="D71" s="58">
        <v>4.87</v>
      </c>
      <c r="E71" s="55">
        <v>25.2</v>
      </c>
      <c r="F71" s="55">
        <v>0</v>
      </c>
      <c r="G71" s="55"/>
      <c r="H71" s="57">
        <v>3</v>
      </c>
      <c r="I71" s="48">
        <v>0</v>
      </c>
      <c r="J71" s="48">
        <v>0</v>
      </c>
    </row>
    <row r="72" spans="1:10" ht="15.75" customHeight="1" x14ac:dyDescent="0.35">
      <c r="A72" s="55" t="s">
        <v>146</v>
      </c>
      <c r="B72" s="61" t="s">
        <v>185</v>
      </c>
      <c r="C72" s="55">
        <v>86</v>
      </c>
      <c r="D72" s="58">
        <v>19.5</v>
      </c>
      <c r="E72" s="55">
        <v>27.4</v>
      </c>
      <c r="F72" s="55">
        <v>2.9</v>
      </c>
      <c r="G72" s="55">
        <v>1360</v>
      </c>
      <c r="H72" s="57">
        <v>1</v>
      </c>
      <c r="I72" s="48">
        <v>3</v>
      </c>
      <c r="J72" s="48">
        <v>5</v>
      </c>
    </row>
    <row r="73" spans="1:10" ht="15.75" customHeight="1" x14ac:dyDescent="0.35">
      <c r="A73" s="55" t="s">
        <v>146</v>
      </c>
      <c r="B73" s="61" t="s">
        <v>186</v>
      </c>
      <c r="C73" s="55">
        <v>79</v>
      </c>
      <c r="D73" s="58">
        <v>0.56999999999999995</v>
      </c>
      <c r="E73" s="55">
        <v>24.8</v>
      </c>
      <c r="F73" s="55">
        <v>0</v>
      </c>
      <c r="G73" s="55">
        <v>1360</v>
      </c>
      <c r="H73" s="57">
        <v>6</v>
      </c>
      <c r="I73" s="48">
        <v>3</v>
      </c>
      <c r="J73" s="48">
        <v>4</v>
      </c>
    </row>
    <row r="74" spans="1:10" ht="15.75" customHeight="1" x14ac:dyDescent="0.35">
      <c r="A74" s="55" t="s">
        <v>146</v>
      </c>
      <c r="B74" s="61" t="s">
        <v>186</v>
      </c>
      <c r="C74" s="55">
        <v>96</v>
      </c>
      <c r="D74" s="58">
        <v>15.05</v>
      </c>
      <c r="E74" s="55">
        <v>30.2</v>
      </c>
      <c r="F74" s="55">
        <v>0</v>
      </c>
      <c r="G74" s="55"/>
      <c r="H74" s="57">
        <v>6</v>
      </c>
      <c r="I74" s="48">
        <v>2</v>
      </c>
      <c r="J74" s="48">
        <v>6</v>
      </c>
    </row>
    <row r="75" spans="1:10" ht="15.75" customHeight="1" x14ac:dyDescent="0.35">
      <c r="A75" s="55" t="s">
        <v>146</v>
      </c>
      <c r="B75" s="55" t="s">
        <v>186</v>
      </c>
      <c r="C75" s="55">
        <v>57</v>
      </c>
      <c r="D75" s="58">
        <v>153.19999999999999</v>
      </c>
      <c r="E75" s="55">
        <v>30.2</v>
      </c>
      <c r="F75" s="55">
        <v>0.4</v>
      </c>
      <c r="G75" s="55"/>
      <c r="H75" s="57">
        <v>6</v>
      </c>
      <c r="I75" s="48">
        <v>2</v>
      </c>
      <c r="J75" s="48">
        <v>3</v>
      </c>
    </row>
    <row r="76" spans="1:10" ht="15.75" customHeight="1" x14ac:dyDescent="0.35">
      <c r="A76" s="55" t="s">
        <v>153</v>
      </c>
      <c r="B76" s="61" t="s">
        <v>176</v>
      </c>
      <c r="C76" s="55">
        <v>98</v>
      </c>
      <c r="D76" s="58">
        <v>7.54</v>
      </c>
      <c r="E76" s="55">
        <v>25.8</v>
      </c>
      <c r="F76" s="55">
        <v>0</v>
      </c>
      <c r="G76" s="55"/>
      <c r="H76" s="57">
        <v>4</v>
      </c>
      <c r="I76" s="48">
        <v>5</v>
      </c>
      <c r="J76" s="48">
        <v>7</v>
      </c>
    </row>
    <row r="77" spans="1:10" ht="15.75" customHeight="1" x14ac:dyDescent="0.35">
      <c r="A77" s="55" t="s">
        <v>153</v>
      </c>
      <c r="B77" s="61" t="s">
        <v>176</v>
      </c>
      <c r="C77" s="55">
        <v>99</v>
      </c>
      <c r="D77" s="58">
        <v>6.06</v>
      </c>
      <c r="E77" s="55">
        <v>25.35</v>
      </c>
      <c r="F77" s="55">
        <v>0</v>
      </c>
      <c r="G77" s="55">
        <v>580</v>
      </c>
      <c r="H77" s="57">
        <v>4</v>
      </c>
      <c r="I77" s="48">
        <v>9</v>
      </c>
      <c r="J77" s="48">
        <v>9</v>
      </c>
    </row>
    <row r="78" spans="1:10" ht="15.75" customHeight="1" x14ac:dyDescent="0.35">
      <c r="A78" s="55" t="s">
        <v>153</v>
      </c>
      <c r="B78" s="61" t="s">
        <v>177</v>
      </c>
      <c r="C78" s="55">
        <v>98</v>
      </c>
      <c r="D78" s="58">
        <v>0.77</v>
      </c>
      <c r="E78" s="55">
        <v>22.6</v>
      </c>
      <c r="F78" s="55">
        <v>0</v>
      </c>
      <c r="G78" s="55">
        <v>580</v>
      </c>
      <c r="H78" s="57">
        <v>3</v>
      </c>
      <c r="I78" s="48">
        <v>8</v>
      </c>
      <c r="J78" s="48">
        <v>14</v>
      </c>
    </row>
    <row r="79" spans="1:10" ht="15.75" customHeight="1" x14ac:dyDescent="0.35">
      <c r="A79" s="55" t="s">
        <v>153</v>
      </c>
      <c r="B79" s="61" t="s">
        <v>177</v>
      </c>
      <c r="C79" s="55">
        <v>82</v>
      </c>
      <c r="D79" s="70">
        <v>0.19800000000000001</v>
      </c>
      <c r="E79" s="55">
        <v>24.3</v>
      </c>
      <c r="F79" s="55">
        <v>0</v>
      </c>
      <c r="G79" s="55"/>
      <c r="H79" s="57">
        <v>3</v>
      </c>
      <c r="I79" s="48">
        <v>9</v>
      </c>
      <c r="J79" s="48">
        <v>12</v>
      </c>
    </row>
    <row r="80" spans="1:10" ht="15.75" customHeight="1" x14ac:dyDescent="0.35">
      <c r="A80" s="55" t="s">
        <v>153</v>
      </c>
      <c r="B80" s="61" t="s">
        <v>200</v>
      </c>
      <c r="C80" s="55">
        <v>98</v>
      </c>
      <c r="D80" s="58">
        <v>3.69</v>
      </c>
      <c r="E80" s="55">
        <v>22.35</v>
      </c>
      <c r="F80" s="55">
        <v>0</v>
      </c>
      <c r="G80" s="55">
        <v>870</v>
      </c>
      <c r="H80" s="57">
        <v>5</v>
      </c>
      <c r="I80" s="48">
        <v>3</v>
      </c>
      <c r="J80" s="48">
        <v>7</v>
      </c>
    </row>
    <row r="81" spans="1:10" ht="15.75" customHeight="1" x14ac:dyDescent="0.35">
      <c r="A81" s="55" t="s">
        <v>153</v>
      </c>
      <c r="B81" s="61" t="s">
        <v>200</v>
      </c>
      <c r="C81" s="55">
        <v>98</v>
      </c>
      <c r="D81" s="58">
        <v>3.69</v>
      </c>
      <c r="E81" s="55">
        <v>22.35</v>
      </c>
      <c r="F81" s="55">
        <v>0</v>
      </c>
      <c r="G81" s="55">
        <v>870</v>
      </c>
      <c r="H81" s="57">
        <v>5</v>
      </c>
      <c r="I81" s="48">
        <v>13</v>
      </c>
      <c r="J81" s="48">
        <v>14</v>
      </c>
    </row>
    <row r="82" spans="1:10" ht="15.75" customHeight="1" x14ac:dyDescent="0.35">
      <c r="A82" s="55" t="s">
        <v>153</v>
      </c>
      <c r="B82" s="61" t="s">
        <v>200</v>
      </c>
      <c r="C82" s="55">
        <v>90</v>
      </c>
      <c r="D82" s="70">
        <v>3.5000000000000003E-2</v>
      </c>
      <c r="E82" s="55">
        <v>24.2</v>
      </c>
      <c r="F82" s="55">
        <v>0</v>
      </c>
      <c r="G82" s="55"/>
      <c r="H82" s="57">
        <v>5</v>
      </c>
      <c r="I82" s="48">
        <v>1</v>
      </c>
      <c r="J82" s="48">
        <v>1</v>
      </c>
    </row>
    <row r="83" spans="1:10" ht="15.75" customHeight="1" x14ac:dyDescent="0.35">
      <c r="A83" s="55" t="s">
        <v>153</v>
      </c>
      <c r="B83" s="61" t="s">
        <v>200</v>
      </c>
      <c r="C83" s="55">
        <v>61</v>
      </c>
      <c r="D83" s="70">
        <v>9.4E-2</v>
      </c>
      <c r="E83" s="55">
        <v>25.5</v>
      </c>
      <c r="F83" s="55">
        <v>0</v>
      </c>
      <c r="G83" s="55"/>
      <c r="H83" s="57">
        <v>5</v>
      </c>
      <c r="I83" s="48">
        <v>6</v>
      </c>
      <c r="J83" s="48">
        <v>8</v>
      </c>
    </row>
    <row r="84" spans="1:10" ht="15.75" customHeight="1" x14ac:dyDescent="0.35">
      <c r="A84" s="55" t="s">
        <v>153</v>
      </c>
      <c r="B84" s="61" t="s">
        <v>200</v>
      </c>
      <c r="C84" s="55">
        <v>65</v>
      </c>
      <c r="D84" s="70">
        <v>3.5000000000000003E-2</v>
      </c>
      <c r="E84" s="55">
        <v>25.7</v>
      </c>
      <c r="F84" s="55">
        <v>0</v>
      </c>
      <c r="G84" s="55"/>
      <c r="H84" s="57">
        <v>5</v>
      </c>
      <c r="I84" s="48">
        <v>3</v>
      </c>
      <c r="J84" s="48">
        <v>3</v>
      </c>
    </row>
    <row r="85" spans="1:10" ht="15.75" customHeight="1" x14ac:dyDescent="0.35">
      <c r="A85" s="55" t="s">
        <v>153</v>
      </c>
      <c r="B85" s="61" t="s">
        <v>180</v>
      </c>
      <c r="C85" s="55">
        <v>85</v>
      </c>
      <c r="D85" s="58">
        <v>3.81</v>
      </c>
      <c r="E85" s="55">
        <v>25</v>
      </c>
      <c r="F85" s="55">
        <v>0</v>
      </c>
      <c r="G85" s="55">
        <v>870</v>
      </c>
      <c r="H85" s="57">
        <v>5</v>
      </c>
      <c r="I85" s="48">
        <v>3</v>
      </c>
      <c r="J85" s="48">
        <v>3</v>
      </c>
    </row>
    <row r="86" spans="1:10" ht="15.75" customHeight="1" x14ac:dyDescent="0.35">
      <c r="A86" s="55" t="s">
        <v>153</v>
      </c>
      <c r="B86" s="61" t="s">
        <v>180</v>
      </c>
      <c r="C86" s="55">
        <v>61</v>
      </c>
      <c r="D86" s="58">
        <v>4.78</v>
      </c>
      <c r="E86" s="55">
        <v>28.7</v>
      </c>
      <c r="F86" s="55">
        <v>0</v>
      </c>
      <c r="G86" s="55"/>
      <c r="H86" s="57">
        <v>5</v>
      </c>
      <c r="I86" s="48">
        <v>0</v>
      </c>
      <c r="J86" s="48">
        <v>0</v>
      </c>
    </row>
    <row r="87" spans="1:10" ht="15.75" customHeight="1" x14ac:dyDescent="0.35">
      <c r="A87" s="55" t="s">
        <v>153</v>
      </c>
      <c r="B87" s="61" t="s">
        <v>180</v>
      </c>
      <c r="C87" s="55">
        <v>47</v>
      </c>
      <c r="D87" s="70">
        <v>0.74399999999999999</v>
      </c>
      <c r="E87" s="55">
        <v>29.9</v>
      </c>
      <c r="F87" s="55">
        <v>0</v>
      </c>
      <c r="G87" s="55"/>
      <c r="H87" s="57">
        <v>5</v>
      </c>
      <c r="I87" s="48">
        <v>2</v>
      </c>
      <c r="J87" s="48">
        <v>2</v>
      </c>
    </row>
    <row r="88" spans="1:10" ht="15.75" customHeight="1" x14ac:dyDescent="0.35">
      <c r="A88" s="55" t="s">
        <v>153</v>
      </c>
      <c r="B88" s="61" t="s">
        <v>180</v>
      </c>
      <c r="C88" s="55">
        <v>50</v>
      </c>
      <c r="D88" s="70">
        <v>0.7</v>
      </c>
      <c r="E88" s="55">
        <v>26.3</v>
      </c>
      <c r="F88" s="55">
        <v>0</v>
      </c>
      <c r="G88" s="55"/>
      <c r="H88" s="57">
        <v>5</v>
      </c>
      <c r="I88" s="48">
        <v>2</v>
      </c>
      <c r="J88" s="48">
        <v>5</v>
      </c>
    </row>
    <row r="89" spans="1:10" ht="15.75" customHeight="1" x14ac:dyDescent="0.35">
      <c r="A89" s="55" t="s">
        <v>153</v>
      </c>
      <c r="B89" s="61" t="s">
        <v>181</v>
      </c>
      <c r="C89" s="55">
        <v>85</v>
      </c>
      <c r="D89" s="58">
        <v>13.84</v>
      </c>
      <c r="E89" s="55">
        <v>26.7</v>
      </c>
      <c r="F89" s="55">
        <v>0</v>
      </c>
      <c r="G89" s="55">
        <v>870</v>
      </c>
      <c r="H89" s="57">
        <v>3</v>
      </c>
      <c r="I89" s="48">
        <v>4</v>
      </c>
      <c r="J89" s="48">
        <v>6</v>
      </c>
    </row>
    <row r="90" spans="1:10" ht="15.75" customHeight="1" x14ac:dyDescent="0.35">
      <c r="A90" s="55" t="s">
        <v>153</v>
      </c>
      <c r="B90" s="61" t="s">
        <v>181</v>
      </c>
      <c r="C90" s="55">
        <v>55</v>
      </c>
      <c r="D90" s="58">
        <v>55.3</v>
      </c>
      <c r="E90" s="55">
        <v>30.2</v>
      </c>
      <c r="F90" s="55">
        <v>0</v>
      </c>
      <c r="G90" s="55"/>
      <c r="H90" s="57">
        <v>3</v>
      </c>
      <c r="I90" s="48">
        <v>0</v>
      </c>
      <c r="J90" s="48">
        <v>0</v>
      </c>
    </row>
    <row r="91" spans="1:10" ht="15.75" customHeight="1" x14ac:dyDescent="0.35">
      <c r="A91" s="55" t="s">
        <v>153</v>
      </c>
      <c r="B91" s="61" t="s">
        <v>181</v>
      </c>
      <c r="C91" s="55">
        <v>51</v>
      </c>
      <c r="D91" s="58">
        <v>26.78</v>
      </c>
      <c r="E91" s="55">
        <v>30.7</v>
      </c>
      <c r="F91" s="55">
        <v>0</v>
      </c>
      <c r="G91" s="55"/>
      <c r="H91" s="57">
        <v>3</v>
      </c>
      <c r="I91" s="48">
        <v>2</v>
      </c>
      <c r="J91" s="48">
        <v>2</v>
      </c>
    </row>
    <row r="92" spans="1:10" ht="15.75" customHeight="1" x14ac:dyDescent="0.35">
      <c r="A92" s="55" t="s">
        <v>153</v>
      </c>
      <c r="B92" s="61" t="s">
        <v>198</v>
      </c>
      <c r="C92" s="55">
        <v>90</v>
      </c>
      <c r="D92" s="58">
        <v>8.44</v>
      </c>
      <c r="E92" s="55">
        <v>27.4</v>
      </c>
      <c r="F92" s="55">
        <v>0.8</v>
      </c>
      <c r="G92" s="55">
        <v>870</v>
      </c>
      <c r="H92" s="57">
        <v>3</v>
      </c>
      <c r="I92" s="48">
        <v>12</v>
      </c>
      <c r="J92" s="48">
        <v>17</v>
      </c>
    </row>
    <row r="93" spans="1:10" ht="15.75" customHeight="1" x14ac:dyDescent="0.35">
      <c r="A93" s="55" t="s">
        <v>153</v>
      </c>
      <c r="B93" s="56" t="s">
        <v>198</v>
      </c>
      <c r="C93" s="55">
        <v>58</v>
      </c>
      <c r="D93" s="58">
        <v>30.1</v>
      </c>
      <c r="E93" s="55">
        <v>29.1</v>
      </c>
      <c r="F93" s="55">
        <v>0</v>
      </c>
      <c r="G93" s="55"/>
      <c r="H93" s="57">
        <v>3</v>
      </c>
      <c r="I93" s="48">
        <v>2</v>
      </c>
      <c r="J93" s="48">
        <v>2</v>
      </c>
    </row>
    <row r="94" spans="1:10" ht="15.75" customHeight="1" x14ac:dyDescent="0.35">
      <c r="A94" s="55" t="s">
        <v>153</v>
      </c>
      <c r="B94" s="61" t="s">
        <v>199</v>
      </c>
      <c r="C94" s="55">
        <v>77</v>
      </c>
      <c r="D94" s="70">
        <v>1.79</v>
      </c>
      <c r="E94" s="55">
        <v>23.98</v>
      </c>
      <c r="F94" s="55">
        <v>0.83</v>
      </c>
      <c r="G94" s="55">
        <v>1100</v>
      </c>
      <c r="H94" s="57">
        <v>2</v>
      </c>
      <c r="I94" s="48">
        <v>3</v>
      </c>
      <c r="J94" s="48">
        <v>3</v>
      </c>
    </row>
    <row r="95" spans="1:10" ht="15.75" customHeight="1" x14ac:dyDescent="0.35">
      <c r="A95" s="55" t="s">
        <v>153</v>
      </c>
      <c r="B95" s="61" t="s">
        <v>199</v>
      </c>
      <c r="C95" s="55">
        <v>78</v>
      </c>
      <c r="D95" s="70">
        <v>20.350000000000001</v>
      </c>
      <c r="E95" s="55">
        <v>22.55</v>
      </c>
      <c r="F95" s="55">
        <v>0</v>
      </c>
      <c r="G95" s="48">
        <v>1420</v>
      </c>
      <c r="H95" s="57">
        <v>2</v>
      </c>
      <c r="I95" s="48">
        <v>6</v>
      </c>
      <c r="J95" s="48">
        <v>14</v>
      </c>
    </row>
    <row r="96" spans="1:10" ht="15.75" customHeight="1" x14ac:dyDescent="0.35">
      <c r="A96" s="55" t="s">
        <v>153</v>
      </c>
      <c r="B96" s="61" t="s">
        <v>199</v>
      </c>
      <c r="C96" s="55">
        <v>98</v>
      </c>
      <c r="D96" s="70">
        <v>3.05</v>
      </c>
      <c r="E96" s="55">
        <v>21.7</v>
      </c>
      <c r="F96" s="55">
        <v>0.9</v>
      </c>
      <c r="G96" s="55"/>
      <c r="H96" s="57">
        <v>2</v>
      </c>
      <c r="I96" s="48">
        <v>1</v>
      </c>
      <c r="J96" s="48">
        <v>1</v>
      </c>
    </row>
    <row r="97" spans="1:10" ht="15.75" customHeight="1" x14ac:dyDescent="0.35">
      <c r="A97" s="55" t="s">
        <v>153</v>
      </c>
      <c r="B97" s="61" t="s">
        <v>199</v>
      </c>
      <c r="C97" s="55">
        <v>77</v>
      </c>
      <c r="D97" s="70">
        <v>12.54</v>
      </c>
      <c r="E97" s="55">
        <v>25.3</v>
      </c>
      <c r="F97" s="55">
        <v>1</v>
      </c>
      <c r="G97" s="55"/>
      <c r="H97" s="57">
        <v>2</v>
      </c>
      <c r="I97" s="48">
        <v>1</v>
      </c>
      <c r="J97" s="48">
        <v>5</v>
      </c>
    </row>
    <row r="98" spans="1:10" ht="15.75" customHeight="1" x14ac:dyDescent="0.35">
      <c r="A98" s="55" t="s">
        <v>153</v>
      </c>
      <c r="B98" s="61" t="s">
        <v>183</v>
      </c>
      <c r="C98" s="55">
        <v>95</v>
      </c>
      <c r="D98" s="58">
        <v>10.69</v>
      </c>
      <c r="E98" s="55">
        <v>22.8</v>
      </c>
      <c r="F98" s="55">
        <v>1.2</v>
      </c>
      <c r="G98" s="55">
        <v>1100</v>
      </c>
      <c r="H98" s="57">
        <v>3</v>
      </c>
      <c r="I98" s="48">
        <v>4</v>
      </c>
      <c r="J98" s="48">
        <v>7</v>
      </c>
    </row>
    <row r="99" spans="1:10" ht="15.75" customHeight="1" x14ac:dyDescent="0.35">
      <c r="A99" s="55" t="s">
        <v>153</v>
      </c>
      <c r="B99" s="61" t="s">
        <v>183</v>
      </c>
      <c r="C99" s="55">
        <v>95</v>
      </c>
      <c r="D99" s="58">
        <v>5.99</v>
      </c>
      <c r="E99" s="55">
        <v>25.7</v>
      </c>
      <c r="F99" s="55">
        <v>0</v>
      </c>
      <c r="G99" s="55">
        <v>1420</v>
      </c>
      <c r="H99" s="57">
        <v>3</v>
      </c>
      <c r="I99" s="48">
        <v>5</v>
      </c>
      <c r="J99" s="48">
        <v>7</v>
      </c>
    </row>
    <row r="100" spans="1:10" ht="15.75" customHeight="1" x14ac:dyDescent="0.35">
      <c r="A100" s="55" t="s">
        <v>153</v>
      </c>
      <c r="B100" s="56" t="s">
        <v>183</v>
      </c>
      <c r="C100" s="55">
        <v>98</v>
      </c>
      <c r="D100" s="58">
        <v>3.61</v>
      </c>
      <c r="E100" s="55">
        <v>23</v>
      </c>
      <c r="F100" s="55">
        <v>0</v>
      </c>
      <c r="G100" s="55"/>
      <c r="H100" s="57">
        <v>3</v>
      </c>
      <c r="I100" s="48">
        <v>0</v>
      </c>
      <c r="J100" s="48">
        <v>0</v>
      </c>
    </row>
    <row r="101" spans="1:10" ht="15.75" customHeight="1" x14ac:dyDescent="0.35">
      <c r="A101" s="55" t="s">
        <v>153</v>
      </c>
      <c r="B101" s="61" t="s">
        <v>183</v>
      </c>
      <c r="C101" s="55">
        <v>80</v>
      </c>
      <c r="D101" s="58">
        <v>6.89</v>
      </c>
      <c r="E101" s="55">
        <v>24.3</v>
      </c>
      <c r="F101" s="55">
        <v>0.87</v>
      </c>
      <c r="G101" s="55"/>
      <c r="H101" s="57">
        <v>3</v>
      </c>
      <c r="I101" s="48">
        <v>2</v>
      </c>
      <c r="J101" s="48">
        <v>2</v>
      </c>
    </row>
    <row r="102" spans="1:10" ht="15.75" customHeight="1" x14ac:dyDescent="0.35">
      <c r="A102" s="55" t="s">
        <v>153</v>
      </c>
      <c r="B102" s="61" t="s">
        <v>185</v>
      </c>
      <c r="C102" s="55">
        <v>80</v>
      </c>
      <c r="D102" s="70">
        <v>14.7</v>
      </c>
      <c r="E102" s="55">
        <v>24.13</v>
      </c>
      <c r="F102" s="55">
        <v>2.1</v>
      </c>
      <c r="G102" s="55">
        <v>1420</v>
      </c>
      <c r="H102" s="57">
        <v>1</v>
      </c>
      <c r="I102" s="48">
        <v>3</v>
      </c>
      <c r="J102" s="48">
        <v>11</v>
      </c>
    </row>
    <row r="103" spans="1:10" ht="15.75" customHeight="1" x14ac:dyDescent="0.35">
      <c r="A103" s="55" t="s">
        <v>153</v>
      </c>
      <c r="B103" s="61" t="s">
        <v>185</v>
      </c>
      <c r="C103" s="55">
        <v>99</v>
      </c>
      <c r="D103" s="70">
        <v>12.46</v>
      </c>
      <c r="E103" s="55">
        <v>22.9</v>
      </c>
      <c r="F103" s="55">
        <v>0</v>
      </c>
      <c r="G103" s="55">
        <v>1420</v>
      </c>
      <c r="H103" s="57">
        <v>1</v>
      </c>
      <c r="I103" s="48">
        <v>4</v>
      </c>
      <c r="J103" s="48">
        <v>5</v>
      </c>
    </row>
    <row r="104" spans="1:10" ht="15.75" customHeight="1" x14ac:dyDescent="0.35">
      <c r="A104" s="55" t="s">
        <v>153</v>
      </c>
      <c r="B104" s="56" t="s">
        <v>185</v>
      </c>
      <c r="C104" s="55">
        <v>99</v>
      </c>
      <c r="D104" s="58">
        <v>8.2799999999999994</v>
      </c>
      <c r="E104" s="55">
        <v>24.2</v>
      </c>
      <c r="F104" s="55">
        <v>0</v>
      </c>
      <c r="G104" s="55"/>
      <c r="H104" s="57">
        <v>1</v>
      </c>
      <c r="I104" s="48">
        <v>0</v>
      </c>
      <c r="J104" s="48">
        <v>0</v>
      </c>
    </row>
    <row r="105" spans="1:10" ht="15.75" customHeight="1" x14ac:dyDescent="0.35">
      <c r="A105" s="55" t="s">
        <v>153</v>
      </c>
      <c r="B105" s="56" t="s">
        <v>185</v>
      </c>
      <c r="C105" s="55">
        <v>99</v>
      </c>
      <c r="D105" s="58">
        <v>7.19</v>
      </c>
      <c r="E105" s="55">
        <v>23.4</v>
      </c>
      <c r="F105" s="55">
        <v>1.5</v>
      </c>
      <c r="G105" s="55"/>
      <c r="H105" s="57">
        <v>1</v>
      </c>
      <c r="I105" s="48">
        <v>0</v>
      </c>
      <c r="J105" s="48">
        <v>0</v>
      </c>
    </row>
    <row r="106" spans="1:10" ht="15.75" customHeight="1" x14ac:dyDescent="0.35">
      <c r="A106" s="55" t="s">
        <v>153</v>
      </c>
      <c r="B106" s="61" t="s">
        <v>186</v>
      </c>
      <c r="C106" s="55">
        <v>95</v>
      </c>
      <c r="D106" s="58">
        <v>1.44</v>
      </c>
      <c r="E106" s="55">
        <v>25.1</v>
      </c>
      <c r="F106" s="55">
        <v>0</v>
      </c>
      <c r="G106" s="55">
        <v>1420</v>
      </c>
      <c r="H106" s="57">
        <v>6</v>
      </c>
      <c r="I106" s="48">
        <v>2</v>
      </c>
      <c r="J106" s="48">
        <v>7</v>
      </c>
    </row>
    <row r="107" spans="1:10" ht="15.75" customHeight="1" x14ac:dyDescent="0.35">
      <c r="A107" s="55" t="s">
        <v>153</v>
      </c>
      <c r="B107" s="61" t="s">
        <v>186</v>
      </c>
      <c r="C107" s="55">
        <v>99</v>
      </c>
      <c r="D107" s="58">
        <v>0.54</v>
      </c>
      <c r="E107" s="55">
        <v>21.9</v>
      </c>
      <c r="F107" s="55">
        <v>0</v>
      </c>
      <c r="G107" s="55">
        <v>1420</v>
      </c>
      <c r="H107" s="57">
        <v>6</v>
      </c>
      <c r="I107" s="48">
        <v>3</v>
      </c>
      <c r="J107" s="48">
        <v>3</v>
      </c>
    </row>
    <row r="108" spans="1:10" ht="15.75" customHeight="1" x14ac:dyDescent="0.35">
      <c r="A108" s="55" t="s">
        <v>153</v>
      </c>
      <c r="B108" s="61" t="s">
        <v>186</v>
      </c>
      <c r="C108" s="55">
        <v>99</v>
      </c>
      <c r="D108" s="58">
        <v>0.63</v>
      </c>
      <c r="E108" s="55">
        <v>25.1</v>
      </c>
      <c r="F108" s="55">
        <v>0</v>
      </c>
      <c r="G108" s="55"/>
      <c r="H108" s="57">
        <v>6</v>
      </c>
      <c r="I108" s="48">
        <v>3</v>
      </c>
      <c r="J108" s="48">
        <v>8</v>
      </c>
    </row>
    <row r="109" spans="1:10" ht="15.75" customHeight="1" x14ac:dyDescent="0.35">
      <c r="A109" s="55" t="s">
        <v>153</v>
      </c>
      <c r="B109" s="61" t="s">
        <v>186</v>
      </c>
      <c r="C109" s="55">
        <v>99</v>
      </c>
      <c r="D109" s="58">
        <v>1.67</v>
      </c>
      <c r="E109" s="55">
        <v>25.2</v>
      </c>
      <c r="F109" s="55">
        <v>0</v>
      </c>
      <c r="G109" s="55"/>
      <c r="H109" s="57">
        <v>6</v>
      </c>
      <c r="I109" s="48">
        <v>3</v>
      </c>
      <c r="J109" s="48">
        <v>4</v>
      </c>
    </row>
    <row r="110" spans="1:10" ht="15.75" customHeight="1" x14ac:dyDescent="0.35">
      <c r="A110" s="55" t="s">
        <v>158</v>
      </c>
      <c r="B110" s="61" t="s">
        <v>176</v>
      </c>
      <c r="C110" s="55">
        <v>96</v>
      </c>
      <c r="D110" s="58">
        <v>1.1399999999999999</v>
      </c>
      <c r="E110" s="55">
        <v>26.4</v>
      </c>
      <c r="F110" s="55">
        <v>0</v>
      </c>
      <c r="G110" s="55">
        <v>550</v>
      </c>
      <c r="H110" s="57">
        <v>4</v>
      </c>
      <c r="I110" s="48">
        <v>4</v>
      </c>
      <c r="J110" s="48">
        <v>7</v>
      </c>
    </row>
    <row r="111" spans="1:10" ht="15.75" customHeight="1" x14ac:dyDescent="0.35">
      <c r="A111" s="55" t="s">
        <v>158</v>
      </c>
      <c r="B111" s="61" t="s">
        <v>176</v>
      </c>
      <c r="C111" s="55">
        <v>99</v>
      </c>
      <c r="D111" s="58">
        <v>8.51</v>
      </c>
      <c r="E111" s="55">
        <v>26.5</v>
      </c>
      <c r="F111" s="55">
        <v>0</v>
      </c>
      <c r="G111" s="55"/>
      <c r="H111" s="57">
        <v>4</v>
      </c>
      <c r="I111" s="48">
        <v>9</v>
      </c>
      <c r="J111" s="48">
        <v>9</v>
      </c>
    </row>
    <row r="112" spans="1:10" ht="15.75" customHeight="1" x14ac:dyDescent="0.35">
      <c r="A112" s="55" t="s">
        <v>158</v>
      </c>
      <c r="B112" s="61" t="s">
        <v>176</v>
      </c>
      <c r="C112" s="55">
        <v>99</v>
      </c>
      <c r="D112" s="58">
        <v>8.52</v>
      </c>
      <c r="E112" s="55">
        <v>26.5</v>
      </c>
      <c r="F112" s="55">
        <v>0</v>
      </c>
      <c r="G112" s="55"/>
      <c r="H112" s="57">
        <v>4</v>
      </c>
      <c r="I112" s="48">
        <v>5</v>
      </c>
      <c r="J112" s="48">
        <v>6</v>
      </c>
    </row>
    <row r="113" spans="1:10" ht="15.75" customHeight="1" x14ac:dyDescent="0.35">
      <c r="A113" s="55" t="s">
        <v>158</v>
      </c>
      <c r="B113" s="61" t="s">
        <v>178</v>
      </c>
      <c r="C113" s="55">
        <v>99</v>
      </c>
      <c r="D113" s="58">
        <v>6.93</v>
      </c>
      <c r="E113" s="55">
        <v>23.5</v>
      </c>
      <c r="F113" s="55">
        <v>0</v>
      </c>
      <c r="G113" s="55"/>
      <c r="H113" s="57">
        <v>3</v>
      </c>
      <c r="I113" s="48">
        <v>7</v>
      </c>
      <c r="J113" s="48">
        <v>7</v>
      </c>
    </row>
    <row r="114" spans="1:10" ht="15.75" customHeight="1" x14ac:dyDescent="0.35">
      <c r="A114" s="55" t="s">
        <v>158</v>
      </c>
      <c r="B114" s="61" t="s">
        <v>178</v>
      </c>
      <c r="C114" s="55">
        <v>99</v>
      </c>
      <c r="D114" s="58">
        <v>6.8</v>
      </c>
      <c r="E114" s="55">
        <v>23.5</v>
      </c>
      <c r="F114" s="55">
        <v>0</v>
      </c>
      <c r="G114" s="55"/>
      <c r="H114" s="57">
        <v>3</v>
      </c>
      <c r="I114" s="48">
        <v>1</v>
      </c>
      <c r="J114" s="48">
        <v>1</v>
      </c>
    </row>
    <row r="115" spans="1:10" ht="15.75" customHeight="1" x14ac:dyDescent="0.35">
      <c r="A115" s="55" t="s">
        <v>158</v>
      </c>
      <c r="B115" s="61" t="s">
        <v>200</v>
      </c>
      <c r="C115" s="55">
        <v>89</v>
      </c>
      <c r="D115" s="58">
        <v>2.74</v>
      </c>
      <c r="E115" s="55">
        <v>23.5</v>
      </c>
      <c r="F115" s="55">
        <v>0</v>
      </c>
      <c r="G115" s="55">
        <v>700</v>
      </c>
      <c r="H115" s="57">
        <v>5</v>
      </c>
      <c r="I115" s="48">
        <v>13</v>
      </c>
      <c r="J115" s="48">
        <v>16</v>
      </c>
    </row>
    <row r="116" spans="1:10" ht="15.75" customHeight="1" x14ac:dyDescent="0.35">
      <c r="A116" s="55" t="s">
        <v>158</v>
      </c>
      <c r="B116" s="61" t="s">
        <v>200</v>
      </c>
      <c r="C116" s="55">
        <v>99</v>
      </c>
      <c r="D116" s="58">
        <v>0.32</v>
      </c>
      <c r="E116" s="55">
        <v>21.5</v>
      </c>
      <c r="F116" s="55">
        <v>0</v>
      </c>
      <c r="G116" s="55"/>
      <c r="H116" s="57">
        <v>5</v>
      </c>
      <c r="I116" s="48">
        <v>3</v>
      </c>
      <c r="J116" s="48">
        <v>3</v>
      </c>
    </row>
    <row r="117" spans="1:10" ht="15.75" customHeight="1" x14ac:dyDescent="0.35">
      <c r="A117" s="55" t="s">
        <v>158</v>
      </c>
      <c r="B117" s="61" t="s">
        <v>200</v>
      </c>
      <c r="C117" s="55">
        <v>87</v>
      </c>
      <c r="D117" s="58">
        <v>0.03</v>
      </c>
      <c r="E117" s="55">
        <v>23.2</v>
      </c>
      <c r="F117" s="55">
        <v>0</v>
      </c>
      <c r="G117" s="55"/>
      <c r="H117" s="57">
        <v>5</v>
      </c>
      <c r="I117" s="48">
        <v>3</v>
      </c>
      <c r="J117" s="48">
        <v>3</v>
      </c>
    </row>
    <row r="118" spans="1:10" ht="15.75" customHeight="1" x14ac:dyDescent="0.35">
      <c r="A118" s="55" t="s">
        <v>158</v>
      </c>
      <c r="B118" s="61" t="s">
        <v>200</v>
      </c>
      <c r="C118" s="55">
        <v>85</v>
      </c>
      <c r="D118" s="58">
        <v>0.04</v>
      </c>
      <c r="E118" s="55">
        <v>23.2</v>
      </c>
      <c r="F118" s="55">
        <v>0</v>
      </c>
      <c r="G118" s="55"/>
      <c r="H118" s="57">
        <v>5</v>
      </c>
      <c r="I118" s="48">
        <v>1</v>
      </c>
      <c r="J118" s="48">
        <v>1</v>
      </c>
    </row>
    <row r="119" spans="1:10" ht="15.75" customHeight="1" x14ac:dyDescent="0.35">
      <c r="A119" s="55" t="s">
        <v>158</v>
      </c>
      <c r="B119" s="61" t="s">
        <v>180</v>
      </c>
      <c r="C119" s="55">
        <v>88</v>
      </c>
      <c r="D119" s="58">
        <v>0.69</v>
      </c>
      <c r="E119" s="55">
        <v>23.4</v>
      </c>
      <c r="F119" s="55">
        <v>6</v>
      </c>
      <c r="G119" s="55">
        <v>700</v>
      </c>
      <c r="H119" s="57">
        <v>5</v>
      </c>
      <c r="I119" s="48">
        <v>8</v>
      </c>
      <c r="J119" s="48">
        <v>9</v>
      </c>
    </row>
    <row r="120" spans="1:10" ht="15.75" customHeight="1" x14ac:dyDescent="0.35">
      <c r="A120" s="55" t="s">
        <v>158</v>
      </c>
      <c r="B120" s="61" t="s">
        <v>180</v>
      </c>
      <c r="C120" s="55">
        <v>88</v>
      </c>
      <c r="D120" s="58">
        <v>1.86</v>
      </c>
      <c r="E120" s="55">
        <v>27.2</v>
      </c>
      <c r="F120" s="55">
        <v>0.6</v>
      </c>
      <c r="G120" s="55"/>
      <c r="H120" s="57">
        <v>5</v>
      </c>
      <c r="I120" s="48">
        <v>4</v>
      </c>
      <c r="J120" s="48">
        <v>4</v>
      </c>
    </row>
    <row r="121" spans="1:10" ht="15.75" customHeight="1" x14ac:dyDescent="0.35">
      <c r="A121" s="55" t="s">
        <v>158</v>
      </c>
      <c r="B121" s="61" t="s">
        <v>181</v>
      </c>
      <c r="C121" s="55">
        <v>80</v>
      </c>
      <c r="D121" s="58">
        <v>51.6</v>
      </c>
      <c r="E121" s="55">
        <v>28.7</v>
      </c>
      <c r="F121" s="55">
        <v>2.5</v>
      </c>
      <c r="G121" s="55">
        <v>700</v>
      </c>
      <c r="H121" s="57">
        <v>3</v>
      </c>
      <c r="I121" s="48">
        <v>5</v>
      </c>
      <c r="J121" s="48">
        <v>5</v>
      </c>
    </row>
    <row r="122" spans="1:10" ht="15.75" customHeight="1" x14ac:dyDescent="0.35">
      <c r="A122" s="55" t="s">
        <v>158</v>
      </c>
      <c r="B122" s="61" t="s">
        <v>198</v>
      </c>
      <c r="C122" s="55">
        <v>71</v>
      </c>
      <c r="D122" s="58">
        <v>7.17</v>
      </c>
      <c r="E122" s="55">
        <v>26.1</v>
      </c>
      <c r="F122" s="55">
        <v>1.9</v>
      </c>
      <c r="G122" s="55">
        <v>700</v>
      </c>
      <c r="H122" s="57">
        <v>3</v>
      </c>
      <c r="I122" s="48">
        <v>9</v>
      </c>
      <c r="J122" s="48">
        <v>11</v>
      </c>
    </row>
    <row r="123" spans="1:10" ht="15.75" customHeight="1" x14ac:dyDescent="0.35">
      <c r="A123" s="55" t="s">
        <v>158</v>
      </c>
      <c r="B123" s="61" t="s">
        <v>198</v>
      </c>
      <c r="C123" s="55">
        <v>74</v>
      </c>
      <c r="D123" s="58">
        <v>7.5</v>
      </c>
      <c r="E123" s="55">
        <v>26</v>
      </c>
      <c r="F123" s="55">
        <v>0</v>
      </c>
      <c r="G123" s="55"/>
      <c r="H123" s="57">
        <v>3</v>
      </c>
      <c r="I123" s="48">
        <v>1</v>
      </c>
      <c r="J123" s="48">
        <v>1</v>
      </c>
    </row>
    <row r="124" spans="1:10" ht="15.75" customHeight="1" x14ac:dyDescent="0.35">
      <c r="A124" s="55" t="s">
        <v>158</v>
      </c>
      <c r="B124" s="61" t="s">
        <v>198</v>
      </c>
      <c r="C124" s="55">
        <v>54</v>
      </c>
      <c r="D124" s="58">
        <v>10.85</v>
      </c>
      <c r="E124" s="55">
        <v>28.3</v>
      </c>
      <c r="F124" s="55">
        <v>1.45</v>
      </c>
      <c r="G124" s="55"/>
      <c r="H124" s="57">
        <v>3</v>
      </c>
      <c r="I124" s="48">
        <v>4</v>
      </c>
      <c r="J124" s="48">
        <v>4</v>
      </c>
    </row>
    <row r="125" spans="1:10" ht="15.75" customHeight="1" x14ac:dyDescent="0.35">
      <c r="A125" s="55" t="s">
        <v>158</v>
      </c>
      <c r="B125" s="61" t="s">
        <v>199</v>
      </c>
      <c r="C125" s="48">
        <v>72</v>
      </c>
      <c r="D125" s="48">
        <v>17.850000000000001</v>
      </c>
      <c r="E125" s="48">
        <v>26.9</v>
      </c>
      <c r="F125" s="48">
        <v>1.6</v>
      </c>
      <c r="G125" s="55">
        <v>700</v>
      </c>
      <c r="H125" s="57">
        <v>2</v>
      </c>
      <c r="I125" s="48">
        <v>2</v>
      </c>
      <c r="J125" s="48">
        <v>3</v>
      </c>
    </row>
    <row r="126" spans="1:10" ht="15.75" customHeight="1" x14ac:dyDescent="0.35">
      <c r="A126" s="55" t="s">
        <v>158</v>
      </c>
      <c r="B126" s="61" t="s">
        <v>199</v>
      </c>
      <c r="C126" s="55">
        <v>66</v>
      </c>
      <c r="D126" s="58">
        <v>6.27</v>
      </c>
      <c r="E126" s="55">
        <v>26.2</v>
      </c>
      <c r="F126" s="55">
        <v>0.8</v>
      </c>
      <c r="G126" s="55"/>
      <c r="H126" s="57">
        <v>2</v>
      </c>
      <c r="I126" s="48">
        <v>1</v>
      </c>
      <c r="J126" s="48">
        <v>1</v>
      </c>
    </row>
    <row r="127" spans="1:10" ht="15.75" customHeight="1" x14ac:dyDescent="0.35">
      <c r="A127" s="55" t="s">
        <v>158</v>
      </c>
      <c r="B127" s="61" t="s">
        <v>183</v>
      </c>
      <c r="C127" s="55">
        <v>77</v>
      </c>
      <c r="D127" s="58">
        <v>19</v>
      </c>
      <c r="E127" s="55">
        <v>23.9</v>
      </c>
      <c r="F127" s="55">
        <v>0</v>
      </c>
      <c r="G127" s="55"/>
      <c r="H127" s="57">
        <v>3</v>
      </c>
      <c r="I127" s="48">
        <v>4</v>
      </c>
      <c r="J127" s="48">
        <v>13</v>
      </c>
    </row>
    <row r="128" spans="1:10" ht="15.75" customHeight="1" x14ac:dyDescent="0.35">
      <c r="A128" s="55" t="s">
        <v>158</v>
      </c>
      <c r="B128" s="61" t="s">
        <v>183</v>
      </c>
      <c r="C128" s="55">
        <v>99</v>
      </c>
      <c r="D128" s="58">
        <v>29.59</v>
      </c>
      <c r="E128" s="55">
        <v>24.9</v>
      </c>
      <c r="F128" s="55">
        <v>0.65</v>
      </c>
      <c r="G128" s="55">
        <v>700</v>
      </c>
      <c r="H128" s="57">
        <v>3</v>
      </c>
      <c r="I128" s="48">
        <v>4</v>
      </c>
      <c r="J128" s="48">
        <v>7</v>
      </c>
    </row>
    <row r="129" spans="1:10" ht="15.75" customHeight="1" x14ac:dyDescent="0.35">
      <c r="A129" s="55" t="s">
        <v>158</v>
      </c>
      <c r="B129" s="61" t="s">
        <v>183</v>
      </c>
      <c r="C129" s="55">
        <v>74</v>
      </c>
      <c r="D129" s="58">
        <v>1.52</v>
      </c>
      <c r="E129" s="55">
        <v>19.829999999999998</v>
      </c>
      <c r="F129" s="55">
        <v>0.85</v>
      </c>
      <c r="G129" s="55"/>
      <c r="H129" s="57">
        <v>3</v>
      </c>
      <c r="I129" s="48">
        <v>2</v>
      </c>
      <c r="J129" s="48">
        <v>2</v>
      </c>
    </row>
    <row r="130" spans="1:10" ht="15.75" customHeight="1" x14ac:dyDescent="0.35">
      <c r="A130" s="55" t="s">
        <v>158</v>
      </c>
      <c r="B130" s="61" t="s">
        <v>185</v>
      </c>
      <c r="C130" s="55">
        <v>99</v>
      </c>
      <c r="D130" s="58">
        <v>27.94</v>
      </c>
      <c r="E130" s="55">
        <v>22.3</v>
      </c>
      <c r="F130" s="55">
        <v>1.2</v>
      </c>
      <c r="G130" s="55">
        <v>700</v>
      </c>
      <c r="H130" s="57">
        <v>1</v>
      </c>
      <c r="I130" s="48">
        <v>5</v>
      </c>
      <c r="J130" s="48">
        <v>15</v>
      </c>
    </row>
    <row r="131" spans="1:10" ht="15.75" customHeight="1" x14ac:dyDescent="0.35">
      <c r="A131" s="55" t="s">
        <v>158</v>
      </c>
      <c r="B131" s="61" t="s">
        <v>185</v>
      </c>
      <c r="C131" s="55">
        <v>80</v>
      </c>
      <c r="D131" s="58">
        <v>6.81</v>
      </c>
      <c r="E131" s="55">
        <v>19.03</v>
      </c>
      <c r="F131" s="55">
        <v>1.8</v>
      </c>
      <c r="G131" s="55"/>
      <c r="H131" s="57">
        <v>1</v>
      </c>
      <c r="I131" s="48">
        <v>2</v>
      </c>
      <c r="J131" s="48">
        <v>4</v>
      </c>
    </row>
    <row r="132" spans="1:10" ht="15.75" customHeight="1" x14ac:dyDescent="0.35">
      <c r="A132" s="55" t="s">
        <v>158</v>
      </c>
      <c r="B132" s="61" t="s">
        <v>186</v>
      </c>
      <c r="C132" s="55">
        <v>95</v>
      </c>
      <c r="D132" s="58">
        <v>0.4</v>
      </c>
      <c r="E132" s="55">
        <v>17.100000000000001</v>
      </c>
      <c r="F132" s="55">
        <v>0</v>
      </c>
      <c r="G132" s="55">
        <v>700</v>
      </c>
      <c r="H132" s="57">
        <v>6</v>
      </c>
      <c r="I132" s="48">
        <v>10</v>
      </c>
      <c r="J132" s="48">
        <v>33</v>
      </c>
    </row>
    <row r="133" spans="1:10" ht="15.75" customHeight="1" x14ac:dyDescent="0.35">
      <c r="A133" s="55" t="s">
        <v>158</v>
      </c>
      <c r="B133" s="61" t="s">
        <v>186</v>
      </c>
      <c r="C133" s="55">
        <v>95</v>
      </c>
      <c r="D133" s="58">
        <v>0.42</v>
      </c>
      <c r="E133" s="55">
        <v>17.2</v>
      </c>
      <c r="F133" s="55">
        <v>0</v>
      </c>
      <c r="G133" s="55"/>
      <c r="H133" s="57">
        <v>6</v>
      </c>
      <c r="I133" s="48">
        <v>1</v>
      </c>
      <c r="J133" s="48">
        <v>1</v>
      </c>
    </row>
    <row r="134" spans="1:10" ht="15.75" customHeight="1" x14ac:dyDescent="0.35">
      <c r="A134" s="55" t="s">
        <v>158</v>
      </c>
      <c r="B134" s="61" t="s">
        <v>186</v>
      </c>
      <c r="C134" s="55">
        <v>95</v>
      </c>
      <c r="D134" s="58">
        <v>0.41</v>
      </c>
      <c r="E134" s="55">
        <v>17.100000000000001</v>
      </c>
      <c r="F134" s="55">
        <v>0</v>
      </c>
      <c r="G134" s="55">
        <v>700</v>
      </c>
      <c r="H134" s="57">
        <v>6</v>
      </c>
      <c r="I134" s="48">
        <v>8</v>
      </c>
      <c r="J134" s="48">
        <v>11</v>
      </c>
    </row>
    <row r="135" spans="1:10" ht="15.75" customHeight="1" x14ac:dyDescent="0.35">
      <c r="A135" s="55" t="s">
        <v>158</v>
      </c>
      <c r="B135" s="61" t="s">
        <v>186</v>
      </c>
      <c r="C135" s="55">
        <v>87</v>
      </c>
      <c r="D135" s="58">
        <v>0.16</v>
      </c>
      <c r="E135" s="55">
        <v>20.2</v>
      </c>
      <c r="F135" s="55">
        <v>0</v>
      </c>
      <c r="G135" s="55"/>
      <c r="H135" s="57">
        <v>6</v>
      </c>
      <c r="I135" s="48">
        <v>6</v>
      </c>
      <c r="J135" s="48">
        <v>6</v>
      </c>
    </row>
    <row r="136" spans="1:10" ht="15.75" customHeight="1" x14ac:dyDescent="0.35">
      <c r="A136" s="55" t="s">
        <v>164</v>
      </c>
      <c r="B136" s="61" t="s">
        <v>176</v>
      </c>
      <c r="C136" s="55">
        <v>89</v>
      </c>
      <c r="D136" s="58">
        <v>1.36</v>
      </c>
      <c r="E136" s="55">
        <v>23.18</v>
      </c>
      <c r="F136" s="55">
        <v>0</v>
      </c>
      <c r="G136" s="55"/>
      <c r="H136" s="57">
        <v>4</v>
      </c>
      <c r="I136" s="48">
        <v>8</v>
      </c>
      <c r="J136" s="48">
        <v>11</v>
      </c>
    </row>
    <row r="137" spans="1:10" ht="15.75" customHeight="1" x14ac:dyDescent="0.35">
      <c r="A137" s="55" t="s">
        <v>164</v>
      </c>
      <c r="B137" s="61" t="s">
        <v>177</v>
      </c>
      <c r="C137" s="55">
        <v>94</v>
      </c>
      <c r="D137" s="58">
        <v>7.68</v>
      </c>
      <c r="E137" s="55">
        <v>26.7</v>
      </c>
      <c r="F137" s="55">
        <v>0.75</v>
      </c>
      <c r="G137" s="55"/>
      <c r="H137" s="57">
        <v>3</v>
      </c>
      <c r="I137" s="48">
        <v>6</v>
      </c>
      <c r="J137" s="48">
        <v>8</v>
      </c>
    </row>
    <row r="138" spans="1:10" ht="15.75" customHeight="1" x14ac:dyDescent="0.35">
      <c r="A138" s="55" t="s">
        <v>164</v>
      </c>
      <c r="B138" s="61" t="s">
        <v>177</v>
      </c>
      <c r="C138" s="55">
        <v>90</v>
      </c>
      <c r="D138" s="58">
        <v>1.5</v>
      </c>
      <c r="E138" s="55">
        <v>23.4</v>
      </c>
      <c r="F138" s="55">
        <v>0</v>
      </c>
      <c r="G138" s="55"/>
      <c r="H138" s="57">
        <v>3</v>
      </c>
      <c r="I138" s="48">
        <v>1</v>
      </c>
      <c r="J138" s="48">
        <v>1</v>
      </c>
    </row>
    <row r="139" spans="1:10" ht="15.75" customHeight="1" x14ac:dyDescent="0.35">
      <c r="A139" s="55" t="s">
        <v>164</v>
      </c>
      <c r="B139" s="61" t="s">
        <v>200</v>
      </c>
      <c r="C139" s="55">
        <v>91</v>
      </c>
      <c r="D139" s="58">
        <v>1.1499999999999999</v>
      </c>
      <c r="E139" s="55">
        <v>24.4</v>
      </c>
      <c r="F139" s="55">
        <v>0</v>
      </c>
      <c r="G139" s="55">
        <v>480</v>
      </c>
      <c r="H139" s="57">
        <v>5</v>
      </c>
      <c r="I139" s="48">
        <v>8</v>
      </c>
      <c r="J139" s="48">
        <v>8</v>
      </c>
    </row>
    <row r="140" spans="1:10" ht="15.75" customHeight="1" x14ac:dyDescent="0.35">
      <c r="A140" s="55" t="s">
        <v>164</v>
      </c>
      <c r="B140" s="61" t="s">
        <v>200</v>
      </c>
      <c r="C140" s="55">
        <v>94</v>
      </c>
      <c r="D140" s="58">
        <v>1.2</v>
      </c>
      <c r="E140" s="55">
        <v>24.4</v>
      </c>
      <c r="F140" s="55">
        <v>0</v>
      </c>
      <c r="G140" s="55"/>
      <c r="H140" s="57">
        <v>5</v>
      </c>
      <c r="I140" s="48">
        <v>1</v>
      </c>
      <c r="J140" s="48">
        <v>1</v>
      </c>
    </row>
    <row r="141" spans="1:10" ht="15.75" customHeight="1" x14ac:dyDescent="0.35">
      <c r="A141" s="55" t="s">
        <v>164</v>
      </c>
      <c r="B141" s="61" t="s">
        <v>200</v>
      </c>
      <c r="C141" s="55">
        <v>85</v>
      </c>
      <c r="D141" s="58">
        <v>1.3</v>
      </c>
      <c r="E141" s="55">
        <v>24.4</v>
      </c>
      <c r="F141" s="55">
        <v>0</v>
      </c>
      <c r="G141" s="55"/>
      <c r="H141" s="57">
        <v>5</v>
      </c>
      <c r="I141" s="48">
        <v>8</v>
      </c>
      <c r="J141" s="48">
        <v>8</v>
      </c>
    </row>
    <row r="142" spans="1:10" ht="15.75" customHeight="1" x14ac:dyDescent="0.35">
      <c r="A142" s="55" t="s">
        <v>164</v>
      </c>
      <c r="B142" s="61" t="s">
        <v>180</v>
      </c>
      <c r="C142" s="55">
        <v>91</v>
      </c>
      <c r="D142" s="58">
        <v>0.57999999999999996</v>
      </c>
      <c r="E142" s="55">
        <v>26.4</v>
      </c>
      <c r="F142" s="55">
        <v>0</v>
      </c>
      <c r="G142" s="55">
        <v>780</v>
      </c>
      <c r="H142" s="57">
        <v>5</v>
      </c>
      <c r="I142" s="48">
        <v>10</v>
      </c>
      <c r="J142" s="48">
        <v>10</v>
      </c>
    </row>
    <row r="143" spans="1:10" ht="15.75" customHeight="1" x14ac:dyDescent="0.35">
      <c r="A143" s="55" t="s">
        <v>164</v>
      </c>
      <c r="B143" s="61" t="s">
        <v>180</v>
      </c>
      <c r="C143" s="55">
        <v>91</v>
      </c>
      <c r="D143" s="58">
        <v>0.81</v>
      </c>
      <c r="E143" s="55">
        <v>23.28</v>
      </c>
      <c r="F143" s="55">
        <v>0</v>
      </c>
      <c r="G143" s="55">
        <v>480</v>
      </c>
      <c r="H143" s="57">
        <v>5</v>
      </c>
      <c r="I143" s="48">
        <v>5</v>
      </c>
      <c r="J143" s="48">
        <v>5</v>
      </c>
    </row>
    <row r="144" spans="1:10" ht="15.75" customHeight="1" x14ac:dyDescent="0.35">
      <c r="A144" s="55" t="s">
        <v>164</v>
      </c>
      <c r="B144" s="61" t="s">
        <v>181</v>
      </c>
      <c r="C144" s="55">
        <v>91</v>
      </c>
      <c r="D144" s="58">
        <v>0.81</v>
      </c>
      <c r="E144" s="55">
        <v>23.3</v>
      </c>
      <c r="F144" s="55">
        <v>0</v>
      </c>
      <c r="G144" s="55"/>
      <c r="H144" s="57">
        <v>3</v>
      </c>
      <c r="I144" s="48">
        <v>1</v>
      </c>
      <c r="J144" s="48">
        <v>2</v>
      </c>
    </row>
    <row r="145" spans="1:10" ht="15.75" customHeight="1" x14ac:dyDescent="0.35">
      <c r="A145" s="55" t="s">
        <v>164</v>
      </c>
      <c r="B145" s="61" t="s">
        <v>181</v>
      </c>
      <c r="C145" s="55">
        <v>99</v>
      </c>
      <c r="D145" s="58">
        <v>85.6</v>
      </c>
      <c r="E145" s="55">
        <v>28.5</v>
      </c>
      <c r="F145" s="55">
        <v>1.2</v>
      </c>
      <c r="G145" s="55">
        <v>780</v>
      </c>
      <c r="H145" s="57">
        <v>3</v>
      </c>
      <c r="I145" s="48">
        <v>1</v>
      </c>
      <c r="J145" s="48">
        <v>1</v>
      </c>
    </row>
    <row r="146" spans="1:10" ht="15.75" customHeight="1" x14ac:dyDescent="0.35">
      <c r="A146" s="55" t="s">
        <v>164</v>
      </c>
      <c r="B146" s="61" t="s">
        <v>181</v>
      </c>
      <c r="C146" s="55">
        <v>91</v>
      </c>
      <c r="D146" s="58">
        <v>13.15</v>
      </c>
      <c r="E146" s="55">
        <v>26.13</v>
      </c>
      <c r="F146" s="55">
        <v>0</v>
      </c>
      <c r="G146" s="55">
        <v>480</v>
      </c>
      <c r="H146" s="57">
        <v>3</v>
      </c>
      <c r="I146" s="48">
        <v>3</v>
      </c>
      <c r="J146" s="48">
        <v>3</v>
      </c>
    </row>
    <row r="147" spans="1:10" ht="15.75" customHeight="1" x14ac:dyDescent="0.35">
      <c r="A147" s="55" t="s">
        <v>164</v>
      </c>
      <c r="B147" s="61" t="s">
        <v>198</v>
      </c>
      <c r="C147" s="55">
        <v>75</v>
      </c>
      <c r="D147" s="58">
        <v>17.2</v>
      </c>
      <c r="E147" s="55">
        <v>28</v>
      </c>
      <c r="F147" s="55">
        <v>0</v>
      </c>
      <c r="G147" s="55"/>
      <c r="H147" s="57">
        <v>3</v>
      </c>
      <c r="I147" s="48">
        <v>2</v>
      </c>
      <c r="J147" s="48">
        <v>2</v>
      </c>
    </row>
    <row r="148" spans="1:10" s="75" customFormat="1" ht="15.75" customHeight="1" x14ac:dyDescent="0.35">
      <c r="A148" s="71" t="s">
        <v>164</v>
      </c>
      <c r="B148" s="72" t="s">
        <v>198</v>
      </c>
      <c r="C148" s="71">
        <v>93</v>
      </c>
      <c r="D148" s="73">
        <v>14.5</v>
      </c>
      <c r="E148" s="71">
        <v>28.73</v>
      </c>
      <c r="F148" s="71">
        <v>0</v>
      </c>
      <c r="G148" s="71">
        <v>480</v>
      </c>
      <c r="H148" s="74">
        <v>3</v>
      </c>
      <c r="I148" s="75">
        <v>6</v>
      </c>
      <c r="J148" s="75">
        <v>9</v>
      </c>
    </row>
    <row r="149" spans="1:10" ht="15.75" customHeight="1" x14ac:dyDescent="0.35">
      <c r="A149" s="55" t="s">
        <v>164</v>
      </c>
      <c r="B149" s="61" t="s">
        <v>198</v>
      </c>
      <c r="C149" s="55">
        <v>74</v>
      </c>
      <c r="D149" s="58">
        <v>18</v>
      </c>
      <c r="E149" s="55">
        <v>28</v>
      </c>
      <c r="F149" s="55">
        <v>0</v>
      </c>
      <c r="G149" s="55"/>
      <c r="H149" s="57">
        <v>3</v>
      </c>
      <c r="I149" s="48">
        <v>2</v>
      </c>
      <c r="J149" s="48">
        <v>2</v>
      </c>
    </row>
    <row r="150" spans="1:10" ht="15.75" customHeight="1" x14ac:dyDescent="0.35">
      <c r="A150" s="55" t="s">
        <v>164</v>
      </c>
      <c r="B150" s="61" t="s">
        <v>199</v>
      </c>
      <c r="C150" s="55">
        <v>92</v>
      </c>
      <c r="D150" s="58">
        <v>97.97</v>
      </c>
      <c r="E150" s="55">
        <v>28.73</v>
      </c>
      <c r="F150" s="55">
        <v>0.97</v>
      </c>
      <c r="G150" s="55">
        <v>480</v>
      </c>
      <c r="H150" s="57">
        <v>2</v>
      </c>
      <c r="I150" s="48">
        <v>0</v>
      </c>
      <c r="J150" s="48">
        <v>0</v>
      </c>
    </row>
    <row r="151" spans="1:10" ht="15.75" customHeight="1" x14ac:dyDescent="0.35">
      <c r="A151" s="55" t="s">
        <v>164</v>
      </c>
      <c r="B151" s="61" t="s">
        <v>199</v>
      </c>
      <c r="C151" s="55">
        <v>86.5</v>
      </c>
      <c r="D151" s="58">
        <v>33.18</v>
      </c>
      <c r="E151" s="55">
        <v>25.7</v>
      </c>
      <c r="F151" s="55">
        <v>1.2</v>
      </c>
      <c r="G151" s="55"/>
      <c r="H151" s="57">
        <v>2</v>
      </c>
      <c r="I151" s="48">
        <v>3</v>
      </c>
      <c r="J151" s="48">
        <v>6</v>
      </c>
    </row>
    <row r="152" spans="1:10" ht="15.75" customHeight="1" x14ac:dyDescent="0.35">
      <c r="A152" s="55" t="s">
        <v>164</v>
      </c>
      <c r="B152" s="61" t="s">
        <v>199</v>
      </c>
      <c r="C152" s="55">
        <v>70</v>
      </c>
      <c r="D152" s="58">
        <v>5.91</v>
      </c>
      <c r="E152" s="55">
        <v>20.5</v>
      </c>
      <c r="F152" s="55">
        <v>1.5</v>
      </c>
      <c r="G152" s="55"/>
      <c r="H152" s="57">
        <v>2</v>
      </c>
      <c r="I152" s="48">
        <v>3</v>
      </c>
      <c r="J152" s="48">
        <v>3</v>
      </c>
    </row>
    <row r="153" spans="1:10" ht="15.75" customHeight="1" x14ac:dyDescent="0.35">
      <c r="A153" s="55" t="s">
        <v>164</v>
      </c>
      <c r="B153" s="61" t="s">
        <v>183</v>
      </c>
      <c r="C153" s="55">
        <v>89</v>
      </c>
      <c r="D153" s="58">
        <v>7.61</v>
      </c>
      <c r="E153" s="55">
        <v>23.8</v>
      </c>
      <c r="F153" s="55">
        <v>0.75</v>
      </c>
      <c r="G153" s="55"/>
      <c r="H153" s="57">
        <v>3</v>
      </c>
      <c r="I153" s="48">
        <v>5</v>
      </c>
      <c r="J153" s="48">
        <v>10</v>
      </c>
    </row>
    <row r="154" spans="1:10" ht="15.75" customHeight="1" x14ac:dyDescent="0.35">
      <c r="A154" s="55" t="s">
        <v>164</v>
      </c>
      <c r="B154" s="61" t="s">
        <v>183</v>
      </c>
      <c r="C154" s="55">
        <v>81</v>
      </c>
      <c r="D154" s="58">
        <v>5.23</v>
      </c>
      <c r="E154" s="55">
        <v>27.03</v>
      </c>
      <c r="F154" s="55">
        <v>0</v>
      </c>
      <c r="G154" s="55">
        <v>480</v>
      </c>
      <c r="H154" s="57">
        <v>3</v>
      </c>
      <c r="I154" s="48">
        <v>4</v>
      </c>
      <c r="J154" s="48">
        <v>5</v>
      </c>
    </row>
    <row r="155" spans="1:10" ht="15.75" customHeight="1" x14ac:dyDescent="0.35">
      <c r="A155" s="55" t="s">
        <v>164</v>
      </c>
      <c r="B155" s="61" t="s">
        <v>185</v>
      </c>
      <c r="C155" s="55">
        <v>88</v>
      </c>
      <c r="D155" s="58">
        <v>24.87</v>
      </c>
      <c r="E155" s="55">
        <v>23.25</v>
      </c>
      <c r="F155" s="55">
        <v>0.45</v>
      </c>
      <c r="G155" s="55"/>
      <c r="H155" s="57">
        <v>1</v>
      </c>
      <c r="I155" s="48">
        <v>1</v>
      </c>
      <c r="J155" s="48">
        <v>1</v>
      </c>
    </row>
    <row r="156" spans="1:10" ht="15.75" customHeight="1" x14ac:dyDescent="0.35">
      <c r="A156" s="55" t="s">
        <v>164</v>
      </c>
      <c r="B156" s="61" t="s">
        <v>185</v>
      </c>
      <c r="C156" s="55">
        <v>72</v>
      </c>
      <c r="D156" s="58">
        <v>4.6399999999999997</v>
      </c>
      <c r="E156" s="55">
        <v>24.9</v>
      </c>
      <c r="F156" s="55">
        <v>3.17</v>
      </c>
      <c r="G156" s="55">
        <v>480</v>
      </c>
      <c r="H156" s="57">
        <v>1</v>
      </c>
      <c r="I156" s="48">
        <v>2</v>
      </c>
      <c r="J156" s="48">
        <v>4</v>
      </c>
    </row>
    <row r="157" spans="1:10" ht="15.75" customHeight="1" x14ac:dyDescent="0.35">
      <c r="A157" s="55" t="s">
        <v>164</v>
      </c>
      <c r="B157" s="61" t="s">
        <v>186</v>
      </c>
      <c r="C157" s="55">
        <v>86</v>
      </c>
      <c r="D157" s="58">
        <v>0.14000000000000001</v>
      </c>
      <c r="E157" s="55">
        <v>18.55</v>
      </c>
      <c r="F157" s="55">
        <v>0</v>
      </c>
      <c r="G157" s="55"/>
      <c r="H157" s="57">
        <v>6</v>
      </c>
      <c r="I157" s="48">
        <v>5</v>
      </c>
      <c r="J157" s="48">
        <v>5</v>
      </c>
    </row>
    <row r="158" spans="1:10" ht="15.75" customHeight="1" x14ac:dyDescent="0.35">
      <c r="A158" s="55" t="s">
        <v>164</v>
      </c>
      <c r="B158" s="61" t="s">
        <v>186</v>
      </c>
      <c r="C158" s="55">
        <v>87</v>
      </c>
      <c r="D158" s="58">
        <v>0.15</v>
      </c>
      <c r="E158" s="55">
        <v>15.2</v>
      </c>
      <c r="F158" s="55">
        <v>0</v>
      </c>
      <c r="G158" s="55"/>
      <c r="H158" s="57">
        <v>6</v>
      </c>
      <c r="I158" s="48">
        <v>3</v>
      </c>
      <c r="J158" s="48">
        <v>3</v>
      </c>
    </row>
    <row r="159" spans="1:10" ht="15.75" customHeight="1" x14ac:dyDescent="0.35">
      <c r="A159" s="55" t="s">
        <v>164</v>
      </c>
      <c r="B159" s="61" t="s">
        <v>186</v>
      </c>
      <c r="C159" s="55">
        <v>83</v>
      </c>
      <c r="D159" s="58">
        <v>0.20499999999999999</v>
      </c>
      <c r="E159" s="55">
        <v>24.8</v>
      </c>
      <c r="F159" s="55">
        <v>0</v>
      </c>
      <c r="G159" s="55">
        <v>480</v>
      </c>
      <c r="H159" s="57">
        <v>6</v>
      </c>
      <c r="I159" s="48">
        <v>0</v>
      </c>
      <c r="J159" s="48">
        <v>0</v>
      </c>
    </row>
    <row r="160" spans="1:10" ht="15.75" customHeight="1" x14ac:dyDescent="0.35">
      <c r="A160" s="55" t="s">
        <v>168</v>
      </c>
      <c r="B160" s="55" t="s">
        <v>176</v>
      </c>
      <c r="C160" s="55">
        <v>92</v>
      </c>
      <c r="D160" s="58">
        <v>0.14000000000000001</v>
      </c>
      <c r="E160" s="55">
        <v>22.5</v>
      </c>
      <c r="F160" s="55">
        <v>0</v>
      </c>
      <c r="G160" s="55">
        <v>480</v>
      </c>
      <c r="H160" s="57">
        <v>4</v>
      </c>
      <c r="I160" s="48">
        <v>6</v>
      </c>
      <c r="J160" s="48">
        <v>11</v>
      </c>
    </row>
    <row r="161" spans="1:10" ht="15.75" customHeight="1" x14ac:dyDescent="0.35">
      <c r="A161" s="55" t="s">
        <v>168</v>
      </c>
      <c r="B161" s="55" t="s">
        <v>176</v>
      </c>
      <c r="C161" s="55">
        <v>92</v>
      </c>
      <c r="D161" s="58">
        <v>0.14000000000000001</v>
      </c>
      <c r="E161" s="55">
        <v>22.5</v>
      </c>
      <c r="F161" s="55">
        <v>0</v>
      </c>
      <c r="G161" s="55"/>
      <c r="H161" s="57">
        <v>4</v>
      </c>
      <c r="I161" s="48">
        <v>1</v>
      </c>
      <c r="J161" s="48">
        <v>2</v>
      </c>
    </row>
    <row r="162" spans="1:10" ht="15.75" customHeight="1" x14ac:dyDescent="0.35">
      <c r="A162" s="55" t="s">
        <v>168</v>
      </c>
      <c r="B162" s="55" t="s">
        <v>177</v>
      </c>
      <c r="C162" s="55">
        <v>97</v>
      </c>
      <c r="D162" s="58">
        <v>4.5999999999999996</v>
      </c>
      <c r="E162" s="55">
        <v>24.3</v>
      </c>
      <c r="F162" s="55">
        <v>0</v>
      </c>
      <c r="G162" s="55">
        <v>480</v>
      </c>
      <c r="H162" s="57">
        <v>3</v>
      </c>
      <c r="I162" s="48">
        <v>17</v>
      </c>
      <c r="J162" s="48">
        <v>24</v>
      </c>
    </row>
    <row r="163" spans="1:10" ht="15.75" customHeight="1" x14ac:dyDescent="0.35">
      <c r="A163" s="55" t="s">
        <v>168</v>
      </c>
      <c r="B163" s="55" t="s">
        <v>200</v>
      </c>
      <c r="C163" s="55">
        <v>99</v>
      </c>
      <c r="D163" s="58">
        <v>24.2</v>
      </c>
      <c r="E163" s="55">
        <v>26.1</v>
      </c>
      <c r="F163" s="55">
        <v>0</v>
      </c>
      <c r="G163" s="55"/>
      <c r="H163" s="57">
        <v>5</v>
      </c>
      <c r="I163" s="48">
        <v>1</v>
      </c>
      <c r="J163" s="48">
        <v>1</v>
      </c>
    </row>
    <row r="164" spans="1:10" ht="15.75" customHeight="1" x14ac:dyDescent="0.35">
      <c r="A164" s="55" t="s">
        <v>168</v>
      </c>
      <c r="B164" s="55" t="s">
        <v>200</v>
      </c>
      <c r="C164" s="55">
        <v>99</v>
      </c>
      <c r="D164" s="58">
        <v>24.2</v>
      </c>
      <c r="E164" s="55">
        <v>26.1</v>
      </c>
      <c r="F164" s="55">
        <v>0</v>
      </c>
      <c r="G164" s="55">
        <v>480</v>
      </c>
      <c r="H164" s="57">
        <v>5</v>
      </c>
      <c r="I164" s="48">
        <v>11</v>
      </c>
      <c r="J164" s="48">
        <v>11</v>
      </c>
    </row>
    <row r="165" spans="1:10" ht="15.75" customHeight="1" x14ac:dyDescent="0.35">
      <c r="A165" s="55" t="s">
        <v>168</v>
      </c>
      <c r="B165" s="55" t="s">
        <v>200</v>
      </c>
      <c r="C165" s="55">
        <v>84</v>
      </c>
      <c r="D165" s="58">
        <v>0.17</v>
      </c>
      <c r="E165" s="55">
        <v>24</v>
      </c>
      <c r="F165" s="55">
        <v>0</v>
      </c>
      <c r="G165" s="55"/>
      <c r="H165" s="57">
        <v>5</v>
      </c>
      <c r="I165" s="48">
        <v>2</v>
      </c>
      <c r="J165" s="48">
        <v>2</v>
      </c>
    </row>
    <row r="166" spans="1:10" ht="15.75" customHeight="1" x14ac:dyDescent="0.35">
      <c r="A166" s="55" t="s">
        <v>168</v>
      </c>
      <c r="B166" s="55" t="s">
        <v>180</v>
      </c>
      <c r="C166" s="55">
        <v>97</v>
      </c>
      <c r="D166" s="58">
        <v>1.08</v>
      </c>
      <c r="E166" s="55">
        <v>25.4</v>
      </c>
      <c r="F166" s="55">
        <v>0</v>
      </c>
      <c r="G166" s="55"/>
      <c r="H166" s="57">
        <v>5</v>
      </c>
      <c r="I166" s="48">
        <v>6</v>
      </c>
      <c r="J166" s="48">
        <v>8</v>
      </c>
    </row>
    <row r="167" spans="1:10" ht="15.75" customHeight="1" x14ac:dyDescent="0.35">
      <c r="A167" s="55" t="s">
        <v>168</v>
      </c>
      <c r="B167" s="55" t="s">
        <v>180</v>
      </c>
      <c r="C167" s="55">
        <v>97</v>
      </c>
      <c r="D167" s="58">
        <v>1.08</v>
      </c>
      <c r="E167" s="55">
        <v>25.4</v>
      </c>
      <c r="F167" s="55">
        <v>0</v>
      </c>
      <c r="G167" s="55">
        <v>480</v>
      </c>
      <c r="H167" s="57">
        <v>5</v>
      </c>
      <c r="I167" s="48">
        <v>9</v>
      </c>
      <c r="J167" s="48">
        <v>9</v>
      </c>
    </row>
    <row r="168" spans="1:10" ht="15.75" customHeight="1" x14ac:dyDescent="0.35">
      <c r="A168" s="55" t="s">
        <v>168</v>
      </c>
      <c r="B168" s="48" t="s">
        <v>180</v>
      </c>
      <c r="C168" s="48">
        <v>80</v>
      </c>
      <c r="D168" s="76">
        <v>0.04</v>
      </c>
      <c r="E168" s="48">
        <v>25.3</v>
      </c>
      <c r="F168" s="48">
        <v>0</v>
      </c>
      <c r="G168" s="55"/>
      <c r="H168" s="49">
        <v>5</v>
      </c>
      <c r="I168" s="48">
        <v>0</v>
      </c>
      <c r="J168" s="48">
        <v>0</v>
      </c>
    </row>
    <row r="169" spans="1:10" ht="15.75" customHeight="1" x14ac:dyDescent="0.35">
      <c r="A169" s="55" t="s">
        <v>168</v>
      </c>
      <c r="B169" s="48" t="s">
        <v>181</v>
      </c>
      <c r="C169" s="48">
        <v>87</v>
      </c>
      <c r="D169" s="76">
        <v>9.8000000000000007</v>
      </c>
      <c r="E169" s="48">
        <v>34.5</v>
      </c>
      <c r="F169" s="48">
        <v>0</v>
      </c>
      <c r="H169" s="49">
        <v>3</v>
      </c>
      <c r="I169" s="48">
        <v>4</v>
      </c>
      <c r="J169" s="48">
        <v>4</v>
      </c>
    </row>
    <row r="170" spans="1:10" ht="15.75" customHeight="1" x14ac:dyDescent="0.35">
      <c r="A170" s="55" t="s">
        <v>168</v>
      </c>
      <c r="B170" s="48" t="s">
        <v>181</v>
      </c>
      <c r="C170" s="48">
        <v>87</v>
      </c>
      <c r="D170" s="76">
        <v>9.8000000000000007</v>
      </c>
      <c r="E170" s="48">
        <v>34.5</v>
      </c>
      <c r="F170" s="48">
        <v>0</v>
      </c>
      <c r="G170" s="48">
        <v>480</v>
      </c>
      <c r="H170" s="49">
        <v>3</v>
      </c>
      <c r="I170" s="48">
        <v>3</v>
      </c>
      <c r="J170" s="48">
        <v>3</v>
      </c>
    </row>
    <row r="171" spans="1:10" ht="15.75" customHeight="1" x14ac:dyDescent="0.35">
      <c r="A171" s="55" t="s">
        <v>168</v>
      </c>
      <c r="B171" s="48" t="s">
        <v>181</v>
      </c>
      <c r="C171" s="48">
        <v>80</v>
      </c>
      <c r="D171" s="76">
        <v>1.5</v>
      </c>
      <c r="E171" s="48">
        <v>26.9</v>
      </c>
      <c r="F171" s="48">
        <v>0</v>
      </c>
      <c r="H171" s="49">
        <v>3</v>
      </c>
      <c r="I171" s="48">
        <v>3</v>
      </c>
      <c r="J171" s="48">
        <v>4</v>
      </c>
    </row>
    <row r="172" spans="1:10" ht="15.75" customHeight="1" x14ac:dyDescent="0.35">
      <c r="A172" s="55" t="s">
        <v>168</v>
      </c>
      <c r="B172" s="48" t="s">
        <v>198</v>
      </c>
      <c r="C172" s="48">
        <v>81</v>
      </c>
      <c r="D172" s="76">
        <v>36.6</v>
      </c>
      <c r="E172" s="48">
        <v>31.4</v>
      </c>
      <c r="F172" s="48">
        <v>0.8</v>
      </c>
      <c r="G172" s="48">
        <v>480</v>
      </c>
      <c r="H172" s="49">
        <v>3</v>
      </c>
      <c r="I172" s="48">
        <v>7</v>
      </c>
      <c r="J172" s="48">
        <v>7</v>
      </c>
    </row>
    <row r="173" spans="1:10" ht="15.75" customHeight="1" x14ac:dyDescent="0.35">
      <c r="A173" s="55" t="s">
        <v>168</v>
      </c>
      <c r="B173" s="48" t="s">
        <v>198</v>
      </c>
      <c r="C173" s="48">
        <v>79</v>
      </c>
      <c r="D173" s="76">
        <v>13.35</v>
      </c>
      <c r="E173" s="48">
        <v>29.2</v>
      </c>
      <c r="F173" s="48">
        <v>0</v>
      </c>
      <c r="H173" s="49">
        <v>3</v>
      </c>
      <c r="I173" s="48">
        <v>2</v>
      </c>
      <c r="J173" s="48">
        <v>2</v>
      </c>
    </row>
    <row r="174" spans="1:10" ht="15.75" customHeight="1" x14ac:dyDescent="0.35">
      <c r="A174" s="55" t="s">
        <v>168</v>
      </c>
      <c r="B174" s="48" t="s">
        <v>199</v>
      </c>
      <c r="C174" s="48">
        <v>92</v>
      </c>
      <c r="D174" s="76">
        <v>15.6</v>
      </c>
      <c r="E174" s="48">
        <v>23.5</v>
      </c>
      <c r="F174" s="48">
        <v>0.7</v>
      </c>
      <c r="G174" s="48">
        <v>480</v>
      </c>
      <c r="H174" s="49">
        <v>2</v>
      </c>
      <c r="I174" s="48">
        <v>1</v>
      </c>
      <c r="J174" s="48">
        <v>1</v>
      </c>
    </row>
    <row r="175" spans="1:10" ht="15.75" customHeight="1" x14ac:dyDescent="0.35">
      <c r="A175" s="55" t="s">
        <v>168</v>
      </c>
      <c r="B175" s="48" t="s">
        <v>199</v>
      </c>
      <c r="C175" s="48">
        <v>79</v>
      </c>
      <c r="D175" s="76">
        <v>7.6</v>
      </c>
      <c r="E175" s="48">
        <v>25.4</v>
      </c>
      <c r="F175" s="48">
        <v>0</v>
      </c>
      <c r="H175" s="49">
        <v>2</v>
      </c>
      <c r="I175" s="48">
        <v>2</v>
      </c>
      <c r="J175" s="48">
        <v>5</v>
      </c>
    </row>
    <row r="176" spans="1:10" ht="15.75" customHeight="1" x14ac:dyDescent="0.35">
      <c r="A176" s="55" t="s">
        <v>168</v>
      </c>
      <c r="B176" s="48" t="s">
        <v>183</v>
      </c>
      <c r="C176" s="48">
        <v>89</v>
      </c>
      <c r="D176" s="76">
        <v>1.1000000000000001</v>
      </c>
      <c r="E176" s="48">
        <v>22.3</v>
      </c>
      <c r="F176" s="48">
        <v>0</v>
      </c>
      <c r="H176" s="49">
        <v>3</v>
      </c>
      <c r="I176" s="48">
        <v>7</v>
      </c>
      <c r="J176" s="48">
        <v>10</v>
      </c>
    </row>
    <row r="177" spans="1:10" ht="15.75" customHeight="1" x14ac:dyDescent="0.35">
      <c r="A177" s="55" t="s">
        <v>168</v>
      </c>
      <c r="B177" s="48" t="s">
        <v>183</v>
      </c>
      <c r="C177" s="48">
        <v>89</v>
      </c>
      <c r="D177" s="76">
        <v>1</v>
      </c>
      <c r="E177" s="48">
        <v>22.2</v>
      </c>
      <c r="F177" s="48">
        <v>0</v>
      </c>
      <c r="G177" s="48">
        <v>1420</v>
      </c>
      <c r="H177" s="49">
        <v>3</v>
      </c>
      <c r="I177" s="48">
        <v>4</v>
      </c>
      <c r="J177" s="48">
        <v>4</v>
      </c>
    </row>
    <row r="178" spans="1:10" ht="15.75" customHeight="1" x14ac:dyDescent="0.35">
      <c r="A178" s="55" t="s">
        <v>168</v>
      </c>
      <c r="B178" s="48" t="s">
        <v>183</v>
      </c>
      <c r="C178" s="48">
        <v>72</v>
      </c>
      <c r="D178" s="48">
        <v>0.75</v>
      </c>
      <c r="E178" s="48">
        <v>25</v>
      </c>
      <c r="F178" s="48">
        <v>0.9</v>
      </c>
      <c r="H178" s="49">
        <v>3</v>
      </c>
      <c r="I178" s="48">
        <v>2</v>
      </c>
      <c r="J178" s="48">
        <v>3</v>
      </c>
    </row>
    <row r="179" spans="1:10" ht="15.75" customHeight="1" x14ac:dyDescent="0.35">
      <c r="A179" s="55" t="s">
        <v>168</v>
      </c>
      <c r="B179" s="48" t="s">
        <v>185</v>
      </c>
      <c r="C179" s="48">
        <v>60</v>
      </c>
      <c r="D179" s="76">
        <v>44</v>
      </c>
      <c r="E179" s="48">
        <v>32.6</v>
      </c>
      <c r="F179" s="48">
        <v>0</v>
      </c>
      <c r="G179" s="48">
        <v>1420</v>
      </c>
      <c r="H179" s="49">
        <v>1</v>
      </c>
      <c r="I179" s="48">
        <v>2</v>
      </c>
      <c r="J179" s="48">
        <v>4</v>
      </c>
    </row>
    <row r="180" spans="1:10" ht="15.75" customHeight="1" x14ac:dyDescent="0.35">
      <c r="A180" s="55" t="s">
        <v>168</v>
      </c>
      <c r="B180" s="48" t="s">
        <v>185</v>
      </c>
      <c r="C180" s="48">
        <v>79</v>
      </c>
      <c r="D180" s="76">
        <v>39.200000000000003</v>
      </c>
      <c r="E180" s="48">
        <v>31.4</v>
      </c>
      <c r="F180" s="48">
        <v>0</v>
      </c>
      <c r="H180" s="49">
        <v>1</v>
      </c>
      <c r="I180" s="48">
        <v>0</v>
      </c>
      <c r="J180" s="48">
        <v>0</v>
      </c>
    </row>
    <row r="181" spans="1:10" ht="15.75" customHeight="1" x14ac:dyDescent="0.35">
      <c r="A181" s="55" t="s">
        <v>168</v>
      </c>
      <c r="B181" s="48" t="s">
        <v>186</v>
      </c>
      <c r="C181" s="48">
        <v>76</v>
      </c>
      <c r="D181" s="76">
        <v>1.53</v>
      </c>
      <c r="E181" s="48">
        <v>25.4</v>
      </c>
      <c r="F181" s="48">
        <v>0</v>
      </c>
      <c r="G181" s="48">
        <v>1420</v>
      </c>
      <c r="H181" s="49">
        <v>6</v>
      </c>
      <c r="I181" s="48">
        <v>4</v>
      </c>
      <c r="J181" s="48">
        <v>5</v>
      </c>
    </row>
    <row r="182" spans="1:10" ht="15.75" customHeight="1" x14ac:dyDescent="0.35">
      <c r="A182" s="48" t="s">
        <v>172</v>
      </c>
      <c r="B182" s="48" t="s">
        <v>176</v>
      </c>
      <c r="C182" s="48">
        <v>81</v>
      </c>
      <c r="D182" s="76">
        <v>1.6</v>
      </c>
      <c r="E182" s="48">
        <v>26.5</v>
      </c>
      <c r="F182" s="48">
        <v>0</v>
      </c>
      <c r="H182" s="49">
        <v>4</v>
      </c>
      <c r="I182" s="48">
        <v>12</v>
      </c>
      <c r="J182" s="48">
        <v>18</v>
      </c>
    </row>
    <row r="183" spans="1:10" ht="15.75" customHeight="1" x14ac:dyDescent="0.35">
      <c r="A183" s="48" t="s">
        <v>172</v>
      </c>
      <c r="B183" s="48" t="s">
        <v>177</v>
      </c>
      <c r="C183" s="48">
        <v>96</v>
      </c>
      <c r="D183" s="76">
        <v>1.1299999999999999</v>
      </c>
      <c r="E183" s="48">
        <v>26.4</v>
      </c>
      <c r="F183" s="48">
        <v>0</v>
      </c>
      <c r="H183" s="49">
        <v>3</v>
      </c>
      <c r="I183" s="48">
        <v>5</v>
      </c>
      <c r="J183" s="48">
        <v>5</v>
      </c>
    </row>
    <row r="184" spans="1:10" ht="15.75" customHeight="1" x14ac:dyDescent="0.35">
      <c r="A184" s="48" t="s">
        <v>172</v>
      </c>
      <c r="B184" s="48" t="s">
        <v>200</v>
      </c>
      <c r="C184" s="48">
        <v>99</v>
      </c>
      <c r="D184" s="76">
        <v>0.28000000000000003</v>
      </c>
      <c r="E184" s="48">
        <v>23.5</v>
      </c>
      <c r="F184" s="48">
        <v>0</v>
      </c>
      <c r="G184" s="48">
        <v>650</v>
      </c>
      <c r="H184" s="49">
        <v>5</v>
      </c>
      <c r="I184" s="48">
        <v>7</v>
      </c>
      <c r="J184" s="48">
        <v>10</v>
      </c>
    </row>
    <row r="185" spans="1:10" ht="15.75" customHeight="1" x14ac:dyDescent="0.35">
      <c r="A185" s="48" t="s">
        <v>172</v>
      </c>
      <c r="B185" s="48" t="s">
        <v>180</v>
      </c>
      <c r="C185" s="48">
        <v>96</v>
      </c>
      <c r="D185" s="76">
        <v>0.64</v>
      </c>
      <c r="E185" s="48">
        <v>24.9</v>
      </c>
      <c r="F185" s="48">
        <v>0</v>
      </c>
      <c r="G185" s="48">
        <v>650</v>
      </c>
      <c r="H185" s="49">
        <v>5</v>
      </c>
      <c r="I185" s="48">
        <v>9</v>
      </c>
      <c r="J185" s="48">
        <v>9</v>
      </c>
    </row>
    <row r="186" spans="1:10" ht="15.75" customHeight="1" x14ac:dyDescent="0.35">
      <c r="A186" s="48" t="s">
        <v>172</v>
      </c>
      <c r="B186" s="48" t="s">
        <v>181</v>
      </c>
      <c r="C186" s="48">
        <v>98</v>
      </c>
      <c r="D186" s="76">
        <v>2.2799999999999998</v>
      </c>
      <c r="E186" s="48">
        <v>23.7</v>
      </c>
      <c r="F186" s="48">
        <v>0</v>
      </c>
      <c r="G186" s="48">
        <v>650</v>
      </c>
      <c r="H186" s="49">
        <v>3</v>
      </c>
      <c r="I186" s="48">
        <v>4</v>
      </c>
      <c r="J186" s="48">
        <v>4</v>
      </c>
    </row>
    <row r="187" spans="1:10" ht="15.75" customHeight="1" x14ac:dyDescent="0.35">
      <c r="A187" s="48" t="s">
        <v>172</v>
      </c>
      <c r="B187" s="48" t="s">
        <v>198</v>
      </c>
      <c r="C187" s="48">
        <v>99</v>
      </c>
      <c r="D187" s="76">
        <v>7.2350000000000003</v>
      </c>
      <c r="E187" s="48">
        <v>24.6</v>
      </c>
      <c r="F187" s="48">
        <v>1.4</v>
      </c>
      <c r="G187" s="48">
        <v>650</v>
      </c>
      <c r="H187" s="49">
        <v>3</v>
      </c>
      <c r="I187" s="48">
        <v>10</v>
      </c>
      <c r="J187" s="48">
        <v>16</v>
      </c>
    </row>
    <row r="188" spans="1:10" ht="15.75" customHeight="1" x14ac:dyDescent="0.35">
      <c r="A188" s="48" t="s">
        <v>172</v>
      </c>
      <c r="B188" s="48" t="s">
        <v>199</v>
      </c>
      <c r="C188" s="48">
        <v>78</v>
      </c>
      <c r="D188" s="76">
        <v>17.850000000000001</v>
      </c>
      <c r="E188" s="48">
        <v>26.8</v>
      </c>
      <c r="F188" s="48">
        <v>0.7</v>
      </c>
      <c r="G188" s="48">
        <v>650</v>
      </c>
      <c r="H188" s="49">
        <v>2</v>
      </c>
      <c r="I188" s="48">
        <v>3</v>
      </c>
      <c r="J188" s="48">
        <v>3</v>
      </c>
    </row>
    <row r="189" spans="1:10" ht="15.75" customHeight="1" x14ac:dyDescent="0.35">
      <c r="A189" s="48" t="s">
        <v>172</v>
      </c>
      <c r="B189" s="48" t="s">
        <v>183</v>
      </c>
      <c r="C189" s="48">
        <v>92</v>
      </c>
      <c r="D189" s="76">
        <v>44.68</v>
      </c>
      <c r="E189" s="48">
        <v>23.2</v>
      </c>
      <c r="F189" s="48">
        <v>0.6</v>
      </c>
      <c r="H189" s="49">
        <v>3</v>
      </c>
      <c r="I189" s="48">
        <v>8</v>
      </c>
      <c r="J189" s="48">
        <v>9</v>
      </c>
    </row>
    <row r="190" spans="1:10" ht="15.75" customHeight="1" x14ac:dyDescent="0.35">
      <c r="A190" s="48" t="s">
        <v>172</v>
      </c>
      <c r="B190" s="48" t="s">
        <v>183</v>
      </c>
      <c r="C190" s="48">
        <v>84</v>
      </c>
      <c r="D190" s="76">
        <v>0.5</v>
      </c>
      <c r="E190" s="48">
        <v>25.9</v>
      </c>
      <c r="F190" s="48">
        <v>0</v>
      </c>
      <c r="H190" s="49">
        <v>3</v>
      </c>
      <c r="I190" s="48">
        <v>4</v>
      </c>
      <c r="J190" s="48">
        <v>4</v>
      </c>
    </row>
    <row r="191" spans="1:10" ht="15.75" customHeight="1" x14ac:dyDescent="0.35">
      <c r="A191" s="48" t="s">
        <v>172</v>
      </c>
      <c r="B191" s="48" t="s">
        <v>186</v>
      </c>
      <c r="C191" s="48">
        <v>83</v>
      </c>
      <c r="D191" s="76">
        <v>1.1299999999999999</v>
      </c>
      <c r="E191" s="48">
        <v>25.5</v>
      </c>
      <c r="F191" s="48">
        <v>0</v>
      </c>
      <c r="H191" s="49">
        <v>6</v>
      </c>
      <c r="I191" s="48">
        <v>9</v>
      </c>
      <c r="J191" s="48">
        <v>19</v>
      </c>
    </row>
    <row r="192" spans="1:10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>
      <c r="D236" s="76"/>
    </row>
    <row r="237" spans="4:4" ht="15.75" customHeight="1" x14ac:dyDescent="0.35">
      <c r="D237" s="76"/>
    </row>
    <row r="238" spans="4:4" ht="15.75" customHeight="1" x14ac:dyDescent="0.35">
      <c r="D238" s="76"/>
    </row>
    <row r="239" spans="4:4" ht="15.75" customHeight="1" x14ac:dyDescent="0.35">
      <c r="D239" s="76"/>
    </row>
    <row r="240" spans="4:4" ht="15.75" customHeight="1" x14ac:dyDescent="0.35">
      <c r="D240" s="76"/>
    </row>
    <row r="241" spans="4:4" ht="15.75" customHeight="1" x14ac:dyDescent="0.35">
      <c r="D241" s="76"/>
    </row>
    <row r="242" spans="4:4" ht="15.75" customHeight="1" x14ac:dyDescent="0.35">
      <c r="D242" s="76"/>
    </row>
    <row r="243" spans="4:4" ht="15.75" customHeight="1" x14ac:dyDescent="0.35">
      <c r="D243" s="76"/>
    </row>
    <row r="244" spans="4:4" ht="15.75" customHeight="1" x14ac:dyDescent="0.35">
      <c r="D244" s="76"/>
    </row>
    <row r="245" spans="4:4" ht="15.75" customHeight="1" x14ac:dyDescent="0.35">
      <c r="D245" s="76"/>
    </row>
    <row r="246" spans="4:4" ht="15.75" customHeight="1" x14ac:dyDescent="0.35">
      <c r="D246" s="76"/>
    </row>
    <row r="247" spans="4:4" ht="15.75" customHeight="1" x14ac:dyDescent="0.35">
      <c r="D247" s="76"/>
    </row>
    <row r="248" spans="4:4" ht="15.75" customHeight="1" x14ac:dyDescent="0.35">
      <c r="D248" s="76"/>
    </row>
    <row r="249" spans="4:4" ht="15.75" customHeight="1" x14ac:dyDescent="0.35">
      <c r="D249" s="76"/>
    </row>
    <row r="250" spans="4:4" ht="15.75" customHeight="1" x14ac:dyDescent="0.35">
      <c r="D250" s="76"/>
    </row>
    <row r="251" spans="4:4" ht="15.75" customHeight="1" x14ac:dyDescent="0.35">
      <c r="D251" s="76"/>
    </row>
    <row r="252" spans="4:4" ht="15.75" customHeight="1" x14ac:dyDescent="0.35">
      <c r="D252" s="76"/>
    </row>
    <row r="253" spans="4:4" ht="15.75" customHeight="1" x14ac:dyDescent="0.35">
      <c r="D253" s="76"/>
    </row>
    <row r="254" spans="4:4" ht="15.75" customHeight="1" x14ac:dyDescent="0.35">
      <c r="D254" s="76"/>
    </row>
    <row r="255" spans="4:4" ht="15.75" customHeight="1" x14ac:dyDescent="0.35">
      <c r="D255" s="76"/>
    </row>
    <row r="256" spans="4:4" ht="15.75" customHeight="1" x14ac:dyDescent="0.35">
      <c r="D256" s="76"/>
    </row>
    <row r="257" spans="4:4" ht="15.75" customHeight="1" x14ac:dyDescent="0.35">
      <c r="D257" s="76"/>
    </row>
    <row r="258" spans="4:4" ht="15.75" customHeight="1" x14ac:dyDescent="0.35">
      <c r="D258" s="76"/>
    </row>
    <row r="259" spans="4:4" ht="15.75" customHeight="1" x14ac:dyDescent="0.35">
      <c r="D259" s="76"/>
    </row>
    <row r="260" spans="4:4" ht="15.75" customHeight="1" x14ac:dyDescent="0.35">
      <c r="D260" s="76"/>
    </row>
    <row r="261" spans="4:4" ht="15.75" customHeight="1" x14ac:dyDescent="0.35">
      <c r="D261" s="76"/>
    </row>
    <row r="262" spans="4:4" ht="15.75" customHeight="1" x14ac:dyDescent="0.35">
      <c r="D262" s="76"/>
    </row>
    <row r="263" spans="4:4" ht="15.75" customHeight="1" x14ac:dyDescent="0.35">
      <c r="D263" s="76"/>
    </row>
    <row r="264" spans="4:4" ht="15.75" customHeight="1" x14ac:dyDescent="0.35"/>
    <row r="265" spans="4:4" ht="15.75" customHeight="1" x14ac:dyDescent="0.35"/>
    <row r="266" spans="4:4" ht="15.75" customHeight="1" x14ac:dyDescent="0.35"/>
    <row r="267" spans="4:4" ht="15.75" customHeight="1" x14ac:dyDescent="0.35"/>
    <row r="268" spans="4:4" ht="15.75" customHeight="1" x14ac:dyDescent="0.35"/>
    <row r="269" spans="4:4" ht="15.75" customHeight="1" x14ac:dyDescent="0.35"/>
    <row r="270" spans="4:4" ht="15.75" customHeight="1" x14ac:dyDescent="0.35"/>
    <row r="271" spans="4:4" ht="15.75" customHeight="1" x14ac:dyDescent="0.35"/>
    <row r="272" spans="4: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5"/>
  <sheetViews>
    <sheetView topLeftCell="A31" zoomScale="80" workbookViewId="0">
      <selection activeCell="J2" sqref="J2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7.54296875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237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19</v>
      </c>
      <c r="H2" s="53" t="s">
        <v>21</v>
      </c>
      <c r="I2" s="48" t="s">
        <v>174</v>
      </c>
      <c r="J2" s="48" t="s">
        <v>175</v>
      </c>
    </row>
    <row r="3" spans="1:10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8"/>
      <c r="H3" s="57">
        <v>3</v>
      </c>
      <c r="I3" s="48">
        <v>7</v>
      </c>
      <c r="J3" s="48">
        <v>14</v>
      </c>
    </row>
    <row r="4" spans="1:10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8"/>
      <c r="H4" s="57">
        <v>5</v>
      </c>
      <c r="I4" s="48">
        <v>3</v>
      </c>
      <c r="J4" s="48">
        <v>3</v>
      </c>
    </row>
    <row r="5" spans="1:10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8"/>
      <c r="H5" s="57">
        <v>5</v>
      </c>
      <c r="I5" s="48">
        <v>1</v>
      </c>
      <c r="J5" s="48">
        <v>1</v>
      </c>
    </row>
    <row r="6" spans="1:10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8"/>
      <c r="H6" s="57">
        <v>5</v>
      </c>
      <c r="I6" s="48">
        <v>1</v>
      </c>
      <c r="J6" s="48">
        <v>1</v>
      </c>
    </row>
    <row r="7" spans="1:10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8"/>
      <c r="H7" s="57">
        <v>5</v>
      </c>
      <c r="I7" s="48">
        <v>2</v>
      </c>
      <c r="J7" s="48">
        <v>2</v>
      </c>
    </row>
    <row r="8" spans="1:10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8"/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8"/>
      <c r="H9" s="57">
        <v>5</v>
      </c>
      <c r="I9" s="48">
        <v>3</v>
      </c>
      <c r="J9" s="48">
        <v>3</v>
      </c>
    </row>
    <row r="10" spans="1:10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8"/>
      <c r="H10" s="57">
        <v>5</v>
      </c>
      <c r="I10" s="48">
        <v>1</v>
      </c>
      <c r="J10" s="48">
        <v>1</v>
      </c>
    </row>
    <row r="11" spans="1:10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8"/>
      <c r="H11" s="57">
        <v>5</v>
      </c>
      <c r="I11" s="48">
        <v>3</v>
      </c>
      <c r="J11" s="48">
        <v>3</v>
      </c>
    </row>
    <row r="12" spans="1:10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8"/>
      <c r="H12" s="57">
        <v>5</v>
      </c>
      <c r="I12" s="48">
        <v>3</v>
      </c>
      <c r="J12" s="48">
        <v>3</v>
      </c>
    </row>
    <row r="13" spans="1:10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8"/>
      <c r="H13" s="57">
        <v>5</v>
      </c>
      <c r="I13" s="48">
        <v>1</v>
      </c>
      <c r="J13" s="48">
        <v>1</v>
      </c>
    </row>
    <row r="14" spans="1:10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8"/>
      <c r="H14" s="57">
        <v>3</v>
      </c>
      <c r="I14" s="48">
        <v>3</v>
      </c>
      <c r="J14" s="48">
        <v>3</v>
      </c>
    </row>
    <row r="15" spans="1:10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8"/>
      <c r="H15" s="57">
        <v>3</v>
      </c>
      <c r="I15" s="48">
        <v>3</v>
      </c>
      <c r="J15" s="48">
        <v>3</v>
      </c>
    </row>
    <row r="16" spans="1:10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8"/>
      <c r="H16" s="57">
        <v>3</v>
      </c>
      <c r="I16" s="48">
        <v>2</v>
      </c>
      <c r="J16" s="48">
        <v>2</v>
      </c>
    </row>
    <row r="17" spans="1:10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8"/>
      <c r="H17" s="57">
        <v>3</v>
      </c>
      <c r="I17" s="48">
        <v>4</v>
      </c>
      <c r="J17" s="48">
        <v>4</v>
      </c>
    </row>
    <row r="18" spans="1:10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8"/>
      <c r="H18" s="57">
        <v>3</v>
      </c>
      <c r="I18" s="48">
        <v>1</v>
      </c>
      <c r="J18" s="48">
        <v>1</v>
      </c>
    </row>
    <row r="19" spans="1:10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8"/>
      <c r="H19" s="57">
        <v>3</v>
      </c>
      <c r="I19" s="48">
        <v>1</v>
      </c>
      <c r="J19" s="48">
        <v>1</v>
      </c>
    </row>
    <row r="20" spans="1:10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8"/>
      <c r="H20" s="57">
        <v>3</v>
      </c>
      <c r="I20" s="48">
        <v>5</v>
      </c>
      <c r="J20" s="48">
        <v>5</v>
      </c>
    </row>
    <row r="21" spans="1:10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8"/>
      <c r="H21" s="57">
        <v>3</v>
      </c>
      <c r="I21" s="48">
        <v>2</v>
      </c>
      <c r="J21" s="48">
        <v>2</v>
      </c>
    </row>
    <row r="22" spans="1:10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8"/>
      <c r="H22" s="57">
        <v>3</v>
      </c>
      <c r="I22" s="48">
        <v>1</v>
      </c>
      <c r="J22" s="48">
        <v>1</v>
      </c>
    </row>
    <row r="23" spans="1:10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8"/>
      <c r="H23" s="57">
        <v>3</v>
      </c>
      <c r="I23" s="48">
        <v>1</v>
      </c>
      <c r="J23" s="48">
        <v>1</v>
      </c>
    </row>
    <row r="24" spans="1:10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8"/>
      <c r="H24" s="57">
        <v>3</v>
      </c>
      <c r="I24" s="48">
        <v>1</v>
      </c>
      <c r="J24" s="48">
        <v>1</v>
      </c>
    </row>
    <row r="25" spans="1:10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8"/>
      <c r="H25" s="57">
        <v>3</v>
      </c>
      <c r="I25" s="48">
        <v>1</v>
      </c>
      <c r="J25" s="48">
        <v>1</v>
      </c>
    </row>
    <row r="26" spans="1:10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8"/>
      <c r="H26" s="57">
        <v>3</v>
      </c>
      <c r="I26" s="48">
        <v>1</v>
      </c>
      <c r="J26" s="48">
        <v>1</v>
      </c>
    </row>
    <row r="27" spans="1:10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8"/>
      <c r="H27" s="57">
        <v>3</v>
      </c>
      <c r="I27" s="48">
        <v>1</v>
      </c>
      <c r="J27" s="48">
        <v>1</v>
      </c>
    </row>
    <row r="28" spans="1:10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8"/>
      <c r="H28" s="60">
        <v>3</v>
      </c>
      <c r="I28" s="48">
        <v>3</v>
      </c>
      <c r="J28" s="48">
        <v>3</v>
      </c>
    </row>
    <row r="29" spans="1:10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8"/>
      <c r="H29" s="60">
        <v>3</v>
      </c>
      <c r="I29" s="48">
        <v>1</v>
      </c>
      <c r="J29" s="48">
        <v>1</v>
      </c>
    </row>
    <row r="30" spans="1:10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47">
        <v>480</v>
      </c>
      <c r="H30" s="57">
        <v>4</v>
      </c>
      <c r="I30" s="48">
        <v>10</v>
      </c>
      <c r="J30" s="48">
        <v>10</v>
      </c>
    </row>
    <row r="31" spans="1:10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47"/>
      <c r="H31" s="57">
        <v>4</v>
      </c>
      <c r="I31" s="48">
        <v>7</v>
      </c>
      <c r="J31" s="48">
        <v>7</v>
      </c>
    </row>
    <row r="32" spans="1:10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47">
        <v>480</v>
      </c>
      <c r="H32" s="57">
        <v>3</v>
      </c>
      <c r="I32" s="48">
        <v>14</v>
      </c>
      <c r="J32" s="48">
        <v>17</v>
      </c>
    </row>
    <row r="33" spans="1:10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47"/>
      <c r="H33" s="57">
        <v>3</v>
      </c>
      <c r="I33" s="48">
        <v>5</v>
      </c>
      <c r="J33" s="48">
        <v>5</v>
      </c>
    </row>
    <row r="34" spans="1:10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8"/>
      <c r="H34" s="57">
        <v>5</v>
      </c>
      <c r="I34" s="48">
        <v>2</v>
      </c>
      <c r="J34" s="48">
        <v>2</v>
      </c>
    </row>
    <row r="35" spans="1:10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47">
        <v>480</v>
      </c>
      <c r="H35" s="57">
        <v>5</v>
      </c>
      <c r="I35" s="48">
        <v>12</v>
      </c>
      <c r="J35" s="48">
        <v>12</v>
      </c>
    </row>
    <row r="36" spans="1:10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47"/>
      <c r="H36" s="57">
        <v>5</v>
      </c>
      <c r="I36" s="48">
        <v>3</v>
      </c>
      <c r="J36" s="48">
        <v>3</v>
      </c>
    </row>
    <row r="37" spans="1:10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47">
        <v>480</v>
      </c>
      <c r="H37" s="57">
        <v>5</v>
      </c>
      <c r="I37" s="48">
        <v>0</v>
      </c>
      <c r="J37" s="48">
        <v>0</v>
      </c>
    </row>
    <row r="38" spans="1:10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47"/>
      <c r="H38" s="57">
        <v>5</v>
      </c>
      <c r="I38" s="48">
        <v>2</v>
      </c>
      <c r="J38" s="48">
        <v>3</v>
      </c>
    </row>
    <row r="39" spans="1:10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8"/>
      <c r="H39" s="57">
        <v>3</v>
      </c>
      <c r="I39" s="48">
        <v>1</v>
      </c>
      <c r="J39" s="48">
        <v>1</v>
      </c>
    </row>
    <row r="40" spans="1:10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47">
        <v>480</v>
      </c>
      <c r="H40" s="57">
        <v>3</v>
      </c>
      <c r="I40" s="48">
        <v>4</v>
      </c>
      <c r="J40" s="48">
        <v>4</v>
      </c>
    </row>
    <row r="41" spans="1:10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47"/>
      <c r="H41" s="57">
        <v>3</v>
      </c>
      <c r="I41" s="48">
        <v>4</v>
      </c>
      <c r="J41" s="48">
        <v>4</v>
      </c>
    </row>
    <row r="42" spans="1:10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47">
        <v>480</v>
      </c>
      <c r="H42" s="57">
        <v>3</v>
      </c>
      <c r="I42" s="48">
        <v>1</v>
      </c>
      <c r="J42" s="48">
        <v>1</v>
      </c>
    </row>
    <row r="43" spans="1:10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47"/>
      <c r="H43" s="57">
        <v>3</v>
      </c>
      <c r="I43" s="48">
        <v>2</v>
      </c>
      <c r="J43" s="48">
        <v>2</v>
      </c>
    </row>
    <row r="44" spans="1:10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66">
        <v>480</v>
      </c>
      <c r="H44" s="60">
        <v>4</v>
      </c>
      <c r="I44" s="48">
        <v>9</v>
      </c>
      <c r="J44" s="48">
        <v>18</v>
      </c>
    </row>
    <row r="45" spans="1:10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64"/>
      <c r="H45" s="60">
        <v>3</v>
      </c>
      <c r="I45" s="48">
        <v>11</v>
      </c>
      <c r="J45" s="48">
        <v>11</v>
      </c>
    </row>
    <row r="46" spans="1:10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64"/>
      <c r="H46" s="60">
        <v>5</v>
      </c>
      <c r="I46" s="48">
        <v>7</v>
      </c>
      <c r="J46" s="48">
        <v>10</v>
      </c>
    </row>
    <row r="47" spans="1:10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65">
        <v>480</v>
      </c>
      <c r="H47" s="60">
        <v>5</v>
      </c>
      <c r="I47" s="48">
        <v>8</v>
      </c>
      <c r="J47" s="48">
        <v>9</v>
      </c>
    </row>
    <row r="48" spans="1:10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62"/>
      <c r="H48" s="60">
        <v>5</v>
      </c>
      <c r="I48" s="48">
        <v>3</v>
      </c>
      <c r="J48" s="48">
        <v>3</v>
      </c>
    </row>
    <row r="49" spans="1:10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65">
        <v>480</v>
      </c>
      <c r="H49" s="60">
        <v>5</v>
      </c>
      <c r="I49" s="48">
        <v>5</v>
      </c>
      <c r="J49" s="48">
        <v>9</v>
      </c>
    </row>
    <row r="50" spans="1:10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65"/>
      <c r="H50" s="60">
        <v>5</v>
      </c>
      <c r="I50" s="48">
        <v>1</v>
      </c>
      <c r="J50" s="48">
        <v>1</v>
      </c>
    </row>
    <row r="51" spans="1:10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65">
        <v>480</v>
      </c>
      <c r="H51" s="60">
        <v>3</v>
      </c>
      <c r="I51" s="48">
        <v>4</v>
      </c>
      <c r="J51" s="48">
        <v>7</v>
      </c>
    </row>
    <row r="52" spans="1:10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65"/>
      <c r="H52" s="60">
        <v>3</v>
      </c>
      <c r="I52" s="48">
        <v>2</v>
      </c>
      <c r="J52" s="48">
        <v>4</v>
      </c>
    </row>
    <row r="53" spans="1:10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65">
        <v>480</v>
      </c>
      <c r="H53" s="60">
        <v>3</v>
      </c>
      <c r="I53" s="48">
        <v>6</v>
      </c>
      <c r="J53" s="48">
        <v>12</v>
      </c>
    </row>
    <row r="54" spans="1:10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65"/>
      <c r="H54" s="60">
        <v>3</v>
      </c>
      <c r="I54" s="48">
        <v>4</v>
      </c>
      <c r="J54" s="48">
        <v>15</v>
      </c>
    </row>
    <row r="55" spans="1:10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62"/>
      <c r="H55" s="60">
        <v>3</v>
      </c>
      <c r="I55" s="48">
        <v>0</v>
      </c>
      <c r="J55" s="48">
        <v>0</v>
      </c>
    </row>
    <row r="56" spans="1:10" ht="15.75" customHeight="1" x14ac:dyDescent="0.35">
      <c r="A56" s="55" t="s">
        <v>141</v>
      </c>
      <c r="B56" s="63" t="s">
        <v>186</v>
      </c>
      <c r="C56" s="65">
        <v>75</v>
      </c>
      <c r="D56" s="69">
        <v>0.71899999999999997</v>
      </c>
      <c r="E56" s="65">
        <v>25.8</v>
      </c>
      <c r="F56" s="65">
        <v>0</v>
      </c>
      <c r="G56" s="62"/>
      <c r="H56" s="60">
        <v>6</v>
      </c>
      <c r="I56" s="48">
        <v>0</v>
      </c>
      <c r="J56" s="48">
        <v>0</v>
      </c>
    </row>
    <row r="57" spans="1:10" ht="15.75" customHeight="1" x14ac:dyDescent="0.35">
      <c r="A57" s="55" t="s">
        <v>146</v>
      </c>
      <c r="B57" s="61" t="s">
        <v>176</v>
      </c>
      <c r="C57" s="55">
        <v>99</v>
      </c>
      <c r="D57" s="70">
        <v>0.27700000000000002</v>
      </c>
      <c r="E57" s="55">
        <v>26.4</v>
      </c>
      <c r="F57" s="55">
        <v>0</v>
      </c>
      <c r="G57" s="55"/>
      <c r="H57" s="57">
        <v>4</v>
      </c>
      <c r="I57" s="48">
        <v>6</v>
      </c>
      <c r="J57" s="48">
        <v>22</v>
      </c>
    </row>
    <row r="58" spans="1:10" ht="15.75" customHeight="1" x14ac:dyDescent="0.35">
      <c r="A58" s="55" t="s">
        <v>146</v>
      </c>
      <c r="B58" s="61" t="s">
        <v>177</v>
      </c>
      <c r="C58" s="55">
        <v>92</v>
      </c>
      <c r="D58" s="58">
        <v>0.78</v>
      </c>
      <c r="E58" s="55">
        <v>24.6</v>
      </c>
      <c r="F58" s="55">
        <v>0</v>
      </c>
      <c r="G58" s="55"/>
      <c r="H58" s="57">
        <v>3</v>
      </c>
      <c r="I58" s="48">
        <v>9</v>
      </c>
      <c r="J58" s="48">
        <v>14</v>
      </c>
    </row>
    <row r="59" spans="1:10" ht="15.75" customHeight="1" x14ac:dyDescent="0.35">
      <c r="A59" s="55" t="s">
        <v>146</v>
      </c>
      <c r="B59" s="61" t="s">
        <v>200</v>
      </c>
      <c r="C59" s="55">
        <v>94</v>
      </c>
      <c r="D59" s="70">
        <v>0.50800000000000001</v>
      </c>
      <c r="E59" s="55">
        <v>24.8</v>
      </c>
      <c r="F59" s="55">
        <v>0</v>
      </c>
      <c r="G59" s="55"/>
      <c r="H59" s="57">
        <v>5</v>
      </c>
      <c r="I59" s="48">
        <v>8</v>
      </c>
      <c r="J59" s="48">
        <v>8</v>
      </c>
    </row>
    <row r="60" spans="1:10" ht="15.75" customHeight="1" x14ac:dyDescent="0.35">
      <c r="A60" s="55" t="s">
        <v>146</v>
      </c>
      <c r="B60" s="61" t="s">
        <v>200</v>
      </c>
      <c r="C60" s="55">
        <v>94</v>
      </c>
      <c r="D60" s="70">
        <v>0.5</v>
      </c>
      <c r="E60" s="55">
        <v>24.8</v>
      </c>
      <c r="F60" s="55">
        <v>0</v>
      </c>
      <c r="G60" s="55">
        <v>870</v>
      </c>
      <c r="H60" s="57">
        <v>5</v>
      </c>
      <c r="I60" s="48">
        <v>2</v>
      </c>
      <c r="J60" s="48">
        <v>6</v>
      </c>
    </row>
    <row r="61" spans="1:10" ht="15.75" customHeight="1" x14ac:dyDescent="0.35">
      <c r="A61" s="55" t="s">
        <v>146</v>
      </c>
      <c r="B61" s="61" t="s">
        <v>200</v>
      </c>
      <c r="C61" s="59">
        <v>94</v>
      </c>
      <c r="D61" s="70">
        <v>0.5</v>
      </c>
      <c r="E61" s="55">
        <v>23</v>
      </c>
      <c r="F61" s="55">
        <v>0</v>
      </c>
      <c r="G61" s="55"/>
      <c r="H61" s="57">
        <v>5</v>
      </c>
      <c r="I61" s="48">
        <v>5</v>
      </c>
      <c r="J61" s="48">
        <v>5</v>
      </c>
    </row>
    <row r="62" spans="1:10" ht="15.75" customHeight="1" x14ac:dyDescent="0.35">
      <c r="A62" s="55" t="s">
        <v>146</v>
      </c>
      <c r="B62" s="61" t="s">
        <v>200</v>
      </c>
      <c r="C62" s="59">
        <v>94</v>
      </c>
      <c r="D62" s="70">
        <v>0.5</v>
      </c>
      <c r="E62" s="55">
        <v>22</v>
      </c>
      <c r="F62" s="55">
        <v>0</v>
      </c>
      <c r="G62" s="55"/>
      <c r="H62" s="57">
        <v>5</v>
      </c>
      <c r="I62" s="48">
        <v>1</v>
      </c>
      <c r="J62" s="48">
        <v>1</v>
      </c>
    </row>
    <row r="63" spans="1:10" ht="15.75" customHeight="1" x14ac:dyDescent="0.35">
      <c r="A63" s="55" t="s">
        <v>146</v>
      </c>
      <c r="B63" s="61" t="s">
        <v>181</v>
      </c>
      <c r="C63" s="55">
        <v>99</v>
      </c>
      <c r="D63" s="58">
        <v>7.59</v>
      </c>
      <c r="E63" s="55">
        <v>23.9</v>
      </c>
      <c r="F63" s="55">
        <v>0</v>
      </c>
      <c r="G63" s="55">
        <v>870</v>
      </c>
      <c r="H63" s="57">
        <v>3</v>
      </c>
      <c r="I63" s="48">
        <v>5</v>
      </c>
      <c r="J63" s="48">
        <v>6</v>
      </c>
    </row>
    <row r="64" spans="1:10" ht="15.75" customHeight="1" x14ac:dyDescent="0.35">
      <c r="A64" s="55" t="s">
        <v>146</v>
      </c>
      <c r="B64" s="61" t="s">
        <v>198</v>
      </c>
      <c r="C64" s="55">
        <v>99</v>
      </c>
      <c r="D64" s="58">
        <v>13.05</v>
      </c>
      <c r="E64" s="55">
        <v>25.9</v>
      </c>
      <c r="F64" s="55">
        <v>0.45</v>
      </c>
      <c r="G64" s="55">
        <v>870</v>
      </c>
      <c r="H64" s="57">
        <v>3</v>
      </c>
      <c r="I64" s="48">
        <v>4</v>
      </c>
      <c r="J64" s="48">
        <v>4</v>
      </c>
    </row>
    <row r="65" spans="1:10" ht="15.75" customHeight="1" x14ac:dyDescent="0.35">
      <c r="A65" s="55" t="s">
        <v>146</v>
      </c>
      <c r="B65" s="61" t="s">
        <v>183</v>
      </c>
      <c r="C65" s="55">
        <v>79</v>
      </c>
      <c r="D65" s="58">
        <v>15.5</v>
      </c>
      <c r="E65" s="55">
        <v>28.3</v>
      </c>
      <c r="F65" s="55">
        <v>0</v>
      </c>
      <c r="G65" s="55">
        <v>1360</v>
      </c>
      <c r="H65" s="57">
        <v>3</v>
      </c>
      <c r="I65" s="48">
        <v>3</v>
      </c>
      <c r="J65" s="48">
        <v>3</v>
      </c>
    </row>
    <row r="66" spans="1:10" ht="15.75" customHeight="1" x14ac:dyDescent="0.35">
      <c r="A66" s="55" t="s">
        <v>146</v>
      </c>
      <c r="B66" s="61" t="s">
        <v>183</v>
      </c>
      <c r="C66" s="55">
        <v>79</v>
      </c>
      <c r="D66" s="58">
        <v>4.87</v>
      </c>
      <c r="E66" s="55">
        <v>25.2</v>
      </c>
      <c r="F66" s="55">
        <v>0</v>
      </c>
      <c r="G66" s="55"/>
      <c r="H66" s="57">
        <v>3</v>
      </c>
      <c r="I66" s="48">
        <v>0</v>
      </c>
      <c r="J66" s="48">
        <v>0</v>
      </c>
    </row>
    <row r="67" spans="1:10" ht="15.75" customHeight="1" x14ac:dyDescent="0.35">
      <c r="A67" s="55" t="s">
        <v>146</v>
      </c>
      <c r="B67" s="61" t="s">
        <v>186</v>
      </c>
      <c r="C67" s="55">
        <v>79</v>
      </c>
      <c r="D67" s="58">
        <v>0.56999999999999995</v>
      </c>
      <c r="E67" s="55">
        <v>24.8</v>
      </c>
      <c r="F67" s="55">
        <v>0</v>
      </c>
      <c r="G67" s="55">
        <v>1360</v>
      </c>
      <c r="H67" s="57">
        <v>6</v>
      </c>
      <c r="I67" s="48">
        <v>3</v>
      </c>
      <c r="J67" s="48">
        <v>4</v>
      </c>
    </row>
    <row r="68" spans="1:10" ht="15.75" customHeight="1" x14ac:dyDescent="0.35">
      <c r="A68" s="55" t="s">
        <v>146</v>
      </c>
      <c r="B68" s="61" t="s">
        <v>186</v>
      </c>
      <c r="C68" s="55">
        <v>96</v>
      </c>
      <c r="D68" s="58">
        <v>15.05</v>
      </c>
      <c r="E68" s="55">
        <v>30.2</v>
      </c>
      <c r="F68" s="55">
        <v>0</v>
      </c>
      <c r="G68" s="55"/>
      <c r="H68" s="57">
        <v>6</v>
      </c>
      <c r="I68" s="48">
        <v>2</v>
      </c>
      <c r="J68" s="48">
        <v>6</v>
      </c>
    </row>
    <row r="69" spans="1:10" ht="15.75" customHeight="1" x14ac:dyDescent="0.35">
      <c r="A69" s="55" t="s">
        <v>146</v>
      </c>
      <c r="B69" s="55" t="s">
        <v>186</v>
      </c>
      <c r="C69" s="55">
        <v>57</v>
      </c>
      <c r="D69" s="58">
        <v>153.19999999999999</v>
      </c>
      <c r="E69" s="55">
        <v>30.2</v>
      </c>
      <c r="F69" s="55">
        <v>0.4</v>
      </c>
      <c r="G69" s="55"/>
      <c r="H69" s="57">
        <v>6</v>
      </c>
      <c r="I69" s="48">
        <v>2</v>
      </c>
      <c r="J69" s="48">
        <v>3</v>
      </c>
    </row>
    <row r="70" spans="1:10" ht="15.75" customHeight="1" x14ac:dyDescent="0.35">
      <c r="A70" s="55" t="s">
        <v>153</v>
      </c>
      <c r="B70" s="61" t="s">
        <v>176</v>
      </c>
      <c r="C70" s="55">
        <v>98</v>
      </c>
      <c r="D70" s="58">
        <v>7.54</v>
      </c>
      <c r="E70" s="55">
        <v>25.8</v>
      </c>
      <c r="F70" s="55">
        <v>0</v>
      </c>
      <c r="G70" s="55"/>
      <c r="H70" s="57">
        <v>4</v>
      </c>
      <c r="I70" s="48">
        <v>5</v>
      </c>
      <c r="J70" s="48">
        <v>7</v>
      </c>
    </row>
    <row r="71" spans="1:10" ht="15.75" customHeight="1" x14ac:dyDescent="0.35">
      <c r="A71" s="55" t="s">
        <v>153</v>
      </c>
      <c r="B71" s="61" t="s">
        <v>176</v>
      </c>
      <c r="C71" s="55">
        <v>99</v>
      </c>
      <c r="D71" s="58">
        <v>6.06</v>
      </c>
      <c r="E71" s="55">
        <v>25.35</v>
      </c>
      <c r="F71" s="55">
        <v>0</v>
      </c>
      <c r="G71" s="55">
        <v>580</v>
      </c>
      <c r="H71" s="57">
        <v>4</v>
      </c>
      <c r="I71" s="48">
        <v>9</v>
      </c>
      <c r="J71" s="48">
        <v>9</v>
      </c>
    </row>
    <row r="72" spans="1:10" ht="15.75" customHeight="1" x14ac:dyDescent="0.35">
      <c r="A72" s="55" t="s">
        <v>153</v>
      </c>
      <c r="B72" s="61" t="s">
        <v>177</v>
      </c>
      <c r="C72" s="55">
        <v>98</v>
      </c>
      <c r="D72" s="58">
        <v>0.77</v>
      </c>
      <c r="E72" s="55">
        <v>22.6</v>
      </c>
      <c r="F72" s="55">
        <v>0</v>
      </c>
      <c r="G72" s="55">
        <v>580</v>
      </c>
      <c r="H72" s="57">
        <v>3</v>
      </c>
      <c r="I72" s="48">
        <v>8</v>
      </c>
      <c r="J72" s="48">
        <v>14</v>
      </c>
    </row>
    <row r="73" spans="1:10" ht="15.75" customHeight="1" x14ac:dyDescent="0.35">
      <c r="A73" s="55" t="s">
        <v>153</v>
      </c>
      <c r="B73" s="61" t="s">
        <v>177</v>
      </c>
      <c r="C73" s="55">
        <v>82</v>
      </c>
      <c r="D73" s="70">
        <v>0.19800000000000001</v>
      </c>
      <c r="E73" s="55">
        <v>24.3</v>
      </c>
      <c r="F73" s="55">
        <v>0</v>
      </c>
      <c r="G73" s="55"/>
      <c r="H73" s="57">
        <v>3</v>
      </c>
      <c r="I73" s="48">
        <v>9</v>
      </c>
      <c r="J73" s="48">
        <v>12</v>
      </c>
    </row>
    <row r="74" spans="1:10" ht="15.75" customHeight="1" x14ac:dyDescent="0.35">
      <c r="A74" s="55" t="s">
        <v>153</v>
      </c>
      <c r="B74" s="61" t="s">
        <v>200</v>
      </c>
      <c r="C74" s="55">
        <v>98</v>
      </c>
      <c r="D74" s="58">
        <v>3.69</v>
      </c>
      <c r="E74" s="55">
        <v>22.35</v>
      </c>
      <c r="F74" s="55">
        <v>0</v>
      </c>
      <c r="G74" s="55">
        <v>870</v>
      </c>
      <c r="H74" s="57">
        <v>5</v>
      </c>
      <c r="I74" s="48">
        <v>3</v>
      </c>
      <c r="J74" s="48">
        <v>7</v>
      </c>
    </row>
    <row r="75" spans="1:10" ht="15.75" customHeight="1" x14ac:dyDescent="0.35">
      <c r="A75" s="55" t="s">
        <v>153</v>
      </c>
      <c r="B75" s="61" t="s">
        <v>200</v>
      </c>
      <c r="C75" s="55">
        <v>98</v>
      </c>
      <c r="D75" s="58">
        <v>3.69</v>
      </c>
      <c r="E75" s="55">
        <v>22.35</v>
      </c>
      <c r="F75" s="55">
        <v>0</v>
      </c>
      <c r="G75" s="55">
        <v>870</v>
      </c>
      <c r="H75" s="57">
        <v>5</v>
      </c>
      <c r="I75" s="48">
        <v>13</v>
      </c>
      <c r="J75" s="48">
        <v>14</v>
      </c>
    </row>
    <row r="76" spans="1:10" ht="15.75" customHeight="1" x14ac:dyDescent="0.35">
      <c r="A76" s="55" t="s">
        <v>153</v>
      </c>
      <c r="B76" s="61" t="s">
        <v>200</v>
      </c>
      <c r="C76" s="55">
        <v>90</v>
      </c>
      <c r="D76" s="70">
        <v>3.5000000000000003E-2</v>
      </c>
      <c r="E76" s="55">
        <v>24.2</v>
      </c>
      <c r="F76" s="55">
        <v>0</v>
      </c>
      <c r="G76" s="55"/>
      <c r="H76" s="57">
        <v>5</v>
      </c>
      <c r="I76" s="48">
        <v>1</v>
      </c>
      <c r="J76" s="48">
        <v>1</v>
      </c>
    </row>
    <row r="77" spans="1:10" ht="15.75" customHeight="1" x14ac:dyDescent="0.35">
      <c r="A77" s="55" t="s">
        <v>153</v>
      </c>
      <c r="B77" s="61" t="s">
        <v>200</v>
      </c>
      <c r="C77" s="55">
        <v>61</v>
      </c>
      <c r="D77" s="70">
        <v>9.4E-2</v>
      </c>
      <c r="E77" s="55">
        <v>25.5</v>
      </c>
      <c r="F77" s="55">
        <v>0</v>
      </c>
      <c r="G77" s="55"/>
      <c r="H77" s="57">
        <v>5</v>
      </c>
      <c r="I77" s="48">
        <v>6</v>
      </c>
      <c r="J77" s="48">
        <v>8</v>
      </c>
    </row>
    <row r="78" spans="1:10" ht="15.75" customHeight="1" x14ac:dyDescent="0.35">
      <c r="A78" s="55" t="s">
        <v>153</v>
      </c>
      <c r="B78" s="61" t="s">
        <v>200</v>
      </c>
      <c r="C78" s="55">
        <v>65</v>
      </c>
      <c r="D78" s="70">
        <v>3.5000000000000003E-2</v>
      </c>
      <c r="E78" s="55">
        <v>25.7</v>
      </c>
      <c r="F78" s="55">
        <v>0</v>
      </c>
      <c r="G78" s="55"/>
      <c r="H78" s="57">
        <v>5</v>
      </c>
      <c r="I78" s="48">
        <v>3</v>
      </c>
      <c r="J78" s="48">
        <v>3</v>
      </c>
    </row>
    <row r="79" spans="1:10" ht="15.75" customHeight="1" x14ac:dyDescent="0.35">
      <c r="A79" s="55" t="s">
        <v>153</v>
      </c>
      <c r="B79" s="61" t="s">
        <v>180</v>
      </c>
      <c r="C79" s="55">
        <v>85</v>
      </c>
      <c r="D79" s="58">
        <v>3.81</v>
      </c>
      <c r="E79" s="55">
        <v>25</v>
      </c>
      <c r="F79" s="55">
        <v>0</v>
      </c>
      <c r="G79" s="55">
        <v>870</v>
      </c>
      <c r="H79" s="57">
        <v>5</v>
      </c>
      <c r="I79" s="48">
        <v>3</v>
      </c>
      <c r="J79" s="48">
        <v>3</v>
      </c>
    </row>
    <row r="80" spans="1:10" ht="15.75" customHeight="1" x14ac:dyDescent="0.35">
      <c r="A80" s="55" t="s">
        <v>153</v>
      </c>
      <c r="B80" s="61" t="s">
        <v>180</v>
      </c>
      <c r="C80" s="55">
        <v>61</v>
      </c>
      <c r="D80" s="58">
        <v>4.78</v>
      </c>
      <c r="E80" s="55">
        <v>28.7</v>
      </c>
      <c r="F80" s="55">
        <v>0</v>
      </c>
      <c r="G80" s="55"/>
      <c r="H80" s="57">
        <v>5</v>
      </c>
      <c r="I80" s="48">
        <v>0</v>
      </c>
      <c r="J80" s="48">
        <v>0</v>
      </c>
    </row>
    <row r="81" spans="1:10" ht="15.75" customHeight="1" x14ac:dyDescent="0.35">
      <c r="A81" s="55" t="s">
        <v>153</v>
      </c>
      <c r="B81" s="61" t="s">
        <v>180</v>
      </c>
      <c r="C81" s="55">
        <v>47</v>
      </c>
      <c r="D81" s="70">
        <v>0.74399999999999999</v>
      </c>
      <c r="E81" s="55">
        <v>29.9</v>
      </c>
      <c r="F81" s="55">
        <v>0</v>
      </c>
      <c r="G81" s="55"/>
      <c r="H81" s="57">
        <v>5</v>
      </c>
      <c r="I81" s="48">
        <v>2</v>
      </c>
      <c r="J81" s="48">
        <v>2</v>
      </c>
    </row>
    <row r="82" spans="1:10" ht="15.75" customHeight="1" x14ac:dyDescent="0.35">
      <c r="A82" s="55" t="s">
        <v>153</v>
      </c>
      <c r="B82" s="61" t="s">
        <v>180</v>
      </c>
      <c r="C82" s="55">
        <v>50</v>
      </c>
      <c r="D82" s="70">
        <v>0.7</v>
      </c>
      <c r="E82" s="55">
        <v>26.3</v>
      </c>
      <c r="F82" s="55">
        <v>0</v>
      </c>
      <c r="G82" s="55"/>
      <c r="H82" s="57">
        <v>5</v>
      </c>
      <c r="I82" s="48">
        <v>2</v>
      </c>
      <c r="J82" s="48">
        <v>5</v>
      </c>
    </row>
    <row r="83" spans="1:10" ht="15.75" customHeight="1" x14ac:dyDescent="0.35">
      <c r="A83" s="55" t="s">
        <v>153</v>
      </c>
      <c r="B83" s="61" t="s">
        <v>181</v>
      </c>
      <c r="C83" s="55">
        <v>85</v>
      </c>
      <c r="D83" s="58">
        <v>13.84</v>
      </c>
      <c r="E83" s="55">
        <v>26.7</v>
      </c>
      <c r="F83" s="55">
        <v>0</v>
      </c>
      <c r="G83" s="55">
        <v>870</v>
      </c>
      <c r="H83" s="57">
        <v>3</v>
      </c>
      <c r="I83" s="48">
        <v>4</v>
      </c>
      <c r="J83" s="48">
        <v>6</v>
      </c>
    </row>
    <row r="84" spans="1:10" ht="15.75" customHeight="1" x14ac:dyDescent="0.35">
      <c r="A84" s="55" t="s">
        <v>153</v>
      </c>
      <c r="B84" s="61" t="s">
        <v>181</v>
      </c>
      <c r="C84" s="55">
        <v>55</v>
      </c>
      <c r="D84" s="58">
        <v>55.3</v>
      </c>
      <c r="E84" s="55">
        <v>30.2</v>
      </c>
      <c r="F84" s="55">
        <v>0</v>
      </c>
      <c r="G84" s="55"/>
      <c r="H84" s="57">
        <v>3</v>
      </c>
      <c r="I84" s="48">
        <v>0</v>
      </c>
      <c r="J84" s="48">
        <v>0</v>
      </c>
    </row>
    <row r="85" spans="1:10" ht="15.75" customHeight="1" x14ac:dyDescent="0.35">
      <c r="A85" s="55" t="s">
        <v>153</v>
      </c>
      <c r="B85" s="61" t="s">
        <v>181</v>
      </c>
      <c r="C85" s="55">
        <v>51</v>
      </c>
      <c r="D85" s="58">
        <v>26.78</v>
      </c>
      <c r="E85" s="55">
        <v>30.7</v>
      </c>
      <c r="F85" s="55">
        <v>0</v>
      </c>
      <c r="G85" s="55"/>
      <c r="H85" s="57">
        <v>3</v>
      </c>
      <c r="I85" s="48">
        <v>2</v>
      </c>
      <c r="J85" s="48">
        <v>2</v>
      </c>
    </row>
    <row r="86" spans="1:10" ht="15.75" customHeight="1" x14ac:dyDescent="0.35">
      <c r="A86" s="55" t="s">
        <v>153</v>
      </c>
      <c r="B86" s="61" t="s">
        <v>198</v>
      </c>
      <c r="C86" s="55">
        <v>90</v>
      </c>
      <c r="D86" s="58">
        <v>8.44</v>
      </c>
      <c r="E86" s="55">
        <v>27.4</v>
      </c>
      <c r="F86" s="55">
        <v>0.8</v>
      </c>
      <c r="G86" s="55">
        <v>870</v>
      </c>
      <c r="H86" s="57">
        <v>3</v>
      </c>
      <c r="I86" s="48">
        <v>12</v>
      </c>
      <c r="J86" s="48">
        <v>17</v>
      </c>
    </row>
    <row r="87" spans="1:10" ht="15.75" customHeight="1" x14ac:dyDescent="0.35">
      <c r="A87" s="55" t="s">
        <v>153</v>
      </c>
      <c r="B87" s="56" t="s">
        <v>198</v>
      </c>
      <c r="C87" s="55">
        <v>58</v>
      </c>
      <c r="D87" s="58">
        <v>30.1</v>
      </c>
      <c r="E87" s="55">
        <v>29.1</v>
      </c>
      <c r="F87" s="55">
        <v>0</v>
      </c>
      <c r="G87" s="55"/>
      <c r="H87" s="57">
        <v>3</v>
      </c>
      <c r="I87" s="48">
        <v>2</v>
      </c>
      <c r="J87" s="48">
        <v>2</v>
      </c>
    </row>
    <row r="88" spans="1:10" ht="15.75" customHeight="1" x14ac:dyDescent="0.35">
      <c r="A88" s="55" t="s">
        <v>153</v>
      </c>
      <c r="B88" s="61" t="s">
        <v>183</v>
      </c>
      <c r="C88" s="55">
        <v>95</v>
      </c>
      <c r="D88" s="58">
        <v>10.69</v>
      </c>
      <c r="E88" s="55">
        <v>22.8</v>
      </c>
      <c r="F88" s="55">
        <v>1.2</v>
      </c>
      <c r="G88" s="55">
        <v>1100</v>
      </c>
      <c r="H88" s="57">
        <v>3</v>
      </c>
      <c r="I88" s="48">
        <v>4</v>
      </c>
      <c r="J88" s="48">
        <v>7</v>
      </c>
    </row>
    <row r="89" spans="1:10" ht="15.75" customHeight="1" x14ac:dyDescent="0.35">
      <c r="A89" s="55" t="s">
        <v>153</v>
      </c>
      <c r="B89" s="61" t="s">
        <v>183</v>
      </c>
      <c r="C89" s="55">
        <v>95</v>
      </c>
      <c r="D89" s="58">
        <v>5.99</v>
      </c>
      <c r="E89" s="55">
        <v>25.7</v>
      </c>
      <c r="F89" s="55">
        <v>0</v>
      </c>
      <c r="G89" s="55">
        <v>1420</v>
      </c>
      <c r="H89" s="57">
        <v>3</v>
      </c>
      <c r="I89" s="48">
        <v>5</v>
      </c>
      <c r="J89" s="48">
        <v>7</v>
      </c>
    </row>
    <row r="90" spans="1:10" ht="15.75" customHeight="1" x14ac:dyDescent="0.35">
      <c r="A90" s="55" t="s">
        <v>153</v>
      </c>
      <c r="B90" s="56" t="s">
        <v>183</v>
      </c>
      <c r="C90" s="55">
        <v>98</v>
      </c>
      <c r="D90" s="58">
        <v>3.61</v>
      </c>
      <c r="E90" s="55">
        <v>23</v>
      </c>
      <c r="F90" s="55">
        <v>0</v>
      </c>
      <c r="G90" s="55"/>
      <c r="H90" s="57">
        <v>3</v>
      </c>
      <c r="I90" s="48">
        <v>0</v>
      </c>
      <c r="J90" s="48">
        <v>0</v>
      </c>
    </row>
    <row r="91" spans="1:10" ht="15.75" customHeight="1" x14ac:dyDescent="0.35">
      <c r="A91" s="55" t="s">
        <v>153</v>
      </c>
      <c r="B91" s="61" t="s">
        <v>183</v>
      </c>
      <c r="C91" s="55">
        <v>80</v>
      </c>
      <c r="D91" s="58">
        <v>6.89</v>
      </c>
      <c r="E91" s="55">
        <v>24.3</v>
      </c>
      <c r="F91" s="55">
        <v>0.87</v>
      </c>
      <c r="G91" s="55"/>
      <c r="H91" s="57">
        <v>3</v>
      </c>
      <c r="I91" s="48">
        <v>2</v>
      </c>
      <c r="J91" s="48">
        <v>2</v>
      </c>
    </row>
    <row r="92" spans="1:10" ht="15.75" customHeight="1" x14ac:dyDescent="0.35">
      <c r="A92" s="55" t="s">
        <v>153</v>
      </c>
      <c r="B92" s="61" t="s">
        <v>186</v>
      </c>
      <c r="C92" s="55">
        <v>95</v>
      </c>
      <c r="D92" s="58">
        <v>1.44</v>
      </c>
      <c r="E92" s="55">
        <v>25.1</v>
      </c>
      <c r="F92" s="55">
        <v>0</v>
      </c>
      <c r="G92" s="55">
        <v>1420</v>
      </c>
      <c r="H92" s="57">
        <v>6</v>
      </c>
      <c r="I92" s="48">
        <v>2</v>
      </c>
      <c r="J92" s="48">
        <v>7</v>
      </c>
    </row>
    <row r="93" spans="1:10" ht="15.75" customHeight="1" x14ac:dyDescent="0.35">
      <c r="A93" s="55" t="s">
        <v>153</v>
      </c>
      <c r="B93" s="61" t="s">
        <v>186</v>
      </c>
      <c r="C93" s="55">
        <v>99</v>
      </c>
      <c r="D93" s="58">
        <v>0.54</v>
      </c>
      <c r="E93" s="55">
        <v>21.9</v>
      </c>
      <c r="F93" s="55">
        <v>0</v>
      </c>
      <c r="G93" s="55">
        <v>1420</v>
      </c>
      <c r="H93" s="57">
        <v>6</v>
      </c>
      <c r="I93" s="48">
        <v>3</v>
      </c>
      <c r="J93" s="48">
        <v>3</v>
      </c>
    </row>
    <row r="94" spans="1:10" ht="15.75" customHeight="1" x14ac:dyDescent="0.35">
      <c r="A94" s="55" t="s">
        <v>153</v>
      </c>
      <c r="B94" s="61" t="s">
        <v>186</v>
      </c>
      <c r="C94" s="55">
        <v>99</v>
      </c>
      <c r="D94" s="58">
        <v>0.63</v>
      </c>
      <c r="E94" s="55">
        <v>25.1</v>
      </c>
      <c r="F94" s="55">
        <v>0</v>
      </c>
      <c r="G94" s="55"/>
      <c r="H94" s="57">
        <v>6</v>
      </c>
      <c r="I94" s="48">
        <v>3</v>
      </c>
      <c r="J94" s="48">
        <v>8</v>
      </c>
    </row>
    <row r="95" spans="1:10" ht="15.75" customHeight="1" x14ac:dyDescent="0.35">
      <c r="A95" s="55" t="s">
        <v>153</v>
      </c>
      <c r="B95" s="61" t="s">
        <v>186</v>
      </c>
      <c r="C95" s="55">
        <v>99</v>
      </c>
      <c r="D95" s="58">
        <v>1.67</v>
      </c>
      <c r="E95" s="55">
        <v>25.2</v>
      </c>
      <c r="F95" s="55">
        <v>0</v>
      </c>
      <c r="G95" s="55"/>
      <c r="H95" s="57">
        <v>6</v>
      </c>
      <c r="I95" s="48">
        <v>3</v>
      </c>
      <c r="J95" s="48">
        <v>4</v>
      </c>
    </row>
    <row r="96" spans="1:10" ht="15.75" customHeight="1" x14ac:dyDescent="0.35">
      <c r="A96" s="55" t="s">
        <v>158</v>
      </c>
      <c r="B96" s="61" t="s">
        <v>176</v>
      </c>
      <c r="C96" s="55">
        <v>96</v>
      </c>
      <c r="D96" s="58">
        <v>1.1399999999999999</v>
      </c>
      <c r="E96" s="55">
        <v>26.4</v>
      </c>
      <c r="F96" s="55">
        <v>0</v>
      </c>
      <c r="G96" s="55">
        <v>550</v>
      </c>
      <c r="H96" s="57">
        <v>4</v>
      </c>
      <c r="I96" s="48">
        <v>4</v>
      </c>
      <c r="J96" s="48">
        <v>7</v>
      </c>
    </row>
    <row r="97" spans="1:10" ht="15.75" customHeight="1" x14ac:dyDescent="0.35">
      <c r="A97" s="55" t="s">
        <v>158</v>
      </c>
      <c r="B97" s="61" t="s">
        <v>176</v>
      </c>
      <c r="C97" s="55">
        <v>99</v>
      </c>
      <c r="D97" s="58">
        <v>8.51</v>
      </c>
      <c r="E97" s="55">
        <v>26.5</v>
      </c>
      <c r="F97" s="55">
        <v>0</v>
      </c>
      <c r="G97" s="55"/>
      <c r="H97" s="57">
        <v>4</v>
      </c>
      <c r="I97" s="48">
        <v>9</v>
      </c>
      <c r="J97" s="48">
        <v>9</v>
      </c>
    </row>
    <row r="98" spans="1:10" ht="15.75" customHeight="1" x14ac:dyDescent="0.35">
      <c r="A98" s="55" t="s">
        <v>158</v>
      </c>
      <c r="B98" s="61" t="s">
        <v>176</v>
      </c>
      <c r="C98" s="55">
        <v>99</v>
      </c>
      <c r="D98" s="58">
        <v>8.52</v>
      </c>
      <c r="E98" s="55">
        <v>26.5</v>
      </c>
      <c r="F98" s="55">
        <v>0</v>
      </c>
      <c r="G98" s="55"/>
      <c r="H98" s="57">
        <v>4</v>
      </c>
      <c r="I98" s="48">
        <v>5</v>
      </c>
      <c r="J98" s="48">
        <v>6</v>
      </c>
    </row>
    <row r="99" spans="1:10" ht="15.75" customHeight="1" x14ac:dyDescent="0.35">
      <c r="A99" s="55" t="s">
        <v>158</v>
      </c>
      <c r="B99" s="61" t="s">
        <v>178</v>
      </c>
      <c r="C99" s="55">
        <v>99</v>
      </c>
      <c r="D99" s="58">
        <v>6.93</v>
      </c>
      <c r="E99" s="55">
        <v>23.5</v>
      </c>
      <c r="F99" s="55">
        <v>0</v>
      </c>
      <c r="G99" s="55"/>
      <c r="H99" s="57">
        <v>3</v>
      </c>
      <c r="I99" s="48">
        <v>7</v>
      </c>
      <c r="J99" s="48">
        <v>7</v>
      </c>
    </row>
    <row r="100" spans="1:10" ht="15.75" customHeight="1" x14ac:dyDescent="0.35">
      <c r="A100" s="55" t="s">
        <v>158</v>
      </c>
      <c r="B100" s="61" t="s">
        <v>178</v>
      </c>
      <c r="C100" s="55">
        <v>99</v>
      </c>
      <c r="D100" s="58">
        <v>6.8</v>
      </c>
      <c r="E100" s="55">
        <v>23.5</v>
      </c>
      <c r="F100" s="55">
        <v>0</v>
      </c>
      <c r="G100" s="55"/>
      <c r="H100" s="57">
        <v>3</v>
      </c>
      <c r="I100" s="48">
        <v>1</v>
      </c>
      <c r="J100" s="48">
        <v>1</v>
      </c>
    </row>
    <row r="101" spans="1:10" ht="15.75" customHeight="1" x14ac:dyDescent="0.35">
      <c r="A101" s="55" t="s">
        <v>158</v>
      </c>
      <c r="B101" s="61" t="s">
        <v>200</v>
      </c>
      <c r="C101" s="55">
        <v>89</v>
      </c>
      <c r="D101" s="58">
        <v>2.74</v>
      </c>
      <c r="E101" s="55">
        <v>23.5</v>
      </c>
      <c r="F101" s="55">
        <v>0</v>
      </c>
      <c r="G101" s="55">
        <v>700</v>
      </c>
      <c r="H101" s="57">
        <v>5</v>
      </c>
      <c r="I101" s="48">
        <v>13</v>
      </c>
      <c r="J101" s="48">
        <v>16</v>
      </c>
    </row>
    <row r="102" spans="1:10" ht="15.75" customHeight="1" x14ac:dyDescent="0.35">
      <c r="A102" s="55" t="s">
        <v>158</v>
      </c>
      <c r="B102" s="61" t="s">
        <v>200</v>
      </c>
      <c r="C102" s="55">
        <v>99</v>
      </c>
      <c r="D102" s="58">
        <v>0.32</v>
      </c>
      <c r="E102" s="55">
        <v>21.5</v>
      </c>
      <c r="F102" s="55">
        <v>0</v>
      </c>
      <c r="G102" s="55"/>
      <c r="H102" s="57">
        <v>5</v>
      </c>
      <c r="I102" s="48">
        <v>3</v>
      </c>
      <c r="J102" s="48">
        <v>3</v>
      </c>
    </row>
    <row r="103" spans="1:10" ht="15.75" customHeight="1" x14ac:dyDescent="0.35">
      <c r="A103" s="55" t="s">
        <v>158</v>
      </c>
      <c r="B103" s="61" t="s">
        <v>200</v>
      </c>
      <c r="C103" s="55">
        <v>87</v>
      </c>
      <c r="D103" s="58">
        <v>0.03</v>
      </c>
      <c r="E103" s="55">
        <v>23.2</v>
      </c>
      <c r="F103" s="55">
        <v>0</v>
      </c>
      <c r="G103" s="55"/>
      <c r="H103" s="57">
        <v>5</v>
      </c>
      <c r="I103" s="48">
        <v>3</v>
      </c>
      <c r="J103" s="48">
        <v>3</v>
      </c>
    </row>
    <row r="104" spans="1:10" ht="15.75" customHeight="1" x14ac:dyDescent="0.35">
      <c r="A104" s="55" t="s">
        <v>158</v>
      </c>
      <c r="B104" s="61" t="s">
        <v>200</v>
      </c>
      <c r="C104" s="55">
        <v>85</v>
      </c>
      <c r="D104" s="58">
        <v>0.04</v>
      </c>
      <c r="E104" s="55">
        <v>23.2</v>
      </c>
      <c r="F104" s="55">
        <v>0</v>
      </c>
      <c r="G104" s="55"/>
      <c r="H104" s="57">
        <v>5</v>
      </c>
      <c r="I104" s="48">
        <v>1</v>
      </c>
      <c r="J104" s="48">
        <v>1</v>
      </c>
    </row>
    <row r="105" spans="1:10" ht="15.75" customHeight="1" x14ac:dyDescent="0.35">
      <c r="A105" s="55" t="s">
        <v>158</v>
      </c>
      <c r="B105" s="61" t="s">
        <v>180</v>
      </c>
      <c r="C105" s="55">
        <v>88</v>
      </c>
      <c r="D105" s="58">
        <v>0.69</v>
      </c>
      <c r="E105" s="55">
        <v>23.4</v>
      </c>
      <c r="F105" s="55">
        <v>6</v>
      </c>
      <c r="G105" s="55">
        <v>700</v>
      </c>
      <c r="H105" s="57">
        <v>5</v>
      </c>
      <c r="I105" s="48">
        <v>8</v>
      </c>
      <c r="J105" s="48">
        <v>9</v>
      </c>
    </row>
    <row r="106" spans="1:10" ht="15.75" customHeight="1" x14ac:dyDescent="0.35">
      <c r="A106" s="55" t="s">
        <v>158</v>
      </c>
      <c r="B106" s="61" t="s">
        <v>180</v>
      </c>
      <c r="C106" s="55">
        <v>88</v>
      </c>
      <c r="D106" s="58">
        <v>1.86</v>
      </c>
      <c r="E106" s="55">
        <v>27.2</v>
      </c>
      <c r="F106" s="55">
        <v>0.6</v>
      </c>
      <c r="G106" s="55"/>
      <c r="H106" s="57">
        <v>5</v>
      </c>
      <c r="I106" s="48">
        <v>4</v>
      </c>
      <c r="J106" s="48">
        <v>4</v>
      </c>
    </row>
    <row r="107" spans="1:10" ht="15.75" customHeight="1" x14ac:dyDescent="0.35">
      <c r="A107" s="55" t="s">
        <v>158</v>
      </c>
      <c r="B107" s="61" t="s">
        <v>181</v>
      </c>
      <c r="C107" s="55">
        <v>80</v>
      </c>
      <c r="D107" s="58">
        <v>51.6</v>
      </c>
      <c r="E107" s="55">
        <v>28.7</v>
      </c>
      <c r="F107" s="55">
        <v>2.5</v>
      </c>
      <c r="G107" s="55">
        <v>700</v>
      </c>
      <c r="H107" s="57">
        <v>3</v>
      </c>
      <c r="I107" s="48">
        <v>5</v>
      </c>
      <c r="J107" s="48">
        <v>5</v>
      </c>
    </row>
    <row r="108" spans="1:10" ht="15.75" customHeight="1" x14ac:dyDescent="0.35">
      <c r="A108" s="55" t="s">
        <v>158</v>
      </c>
      <c r="B108" s="61" t="s">
        <v>198</v>
      </c>
      <c r="C108" s="55">
        <v>71</v>
      </c>
      <c r="D108" s="58">
        <v>7.17</v>
      </c>
      <c r="E108" s="55">
        <v>26.1</v>
      </c>
      <c r="F108" s="55">
        <v>1.9</v>
      </c>
      <c r="G108" s="55">
        <v>700</v>
      </c>
      <c r="H108" s="57">
        <v>3</v>
      </c>
      <c r="I108" s="48">
        <v>9</v>
      </c>
      <c r="J108" s="48">
        <v>11</v>
      </c>
    </row>
    <row r="109" spans="1:10" ht="15.75" customHeight="1" x14ac:dyDescent="0.35">
      <c r="A109" s="55" t="s">
        <v>158</v>
      </c>
      <c r="B109" s="61" t="s">
        <v>198</v>
      </c>
      <c r="C109" s="55">
        <v>74</v>
      </c>
      <c r="D109" s="58">
        <v>7.5</v>
      </c>
      <c r="E109" s="55">
        <v>26</v>
      </c>
      <c r="F109" s="55">
        <v>0</v>
      </c>
      <c r="G109" s="55"/>
      <c r="H109" s="57">
        <v>3</v>
      </c>
      <c r="I109" s="48">
        <v>1</v>
      </c>
      <c r="J109" s="48">
        <v>1</v>
      </c>
    </row>
    <row r="110" spans="1:10" ht="15.75" customHeight="1" x14ac:dyDescent="0.35">
      <c r="A110" s="55" t="s">
        <v>158</v>
      </c>
      <c r="B110" s="61" t="s">
        <v>198</v>
      </c>
      <c r="C110" s="55">
        <v>54</v>
      </c>
      <c r="D110" s="58">
        <v>10.85</v>
      </c>
      <c r="E110" s="55">
        <v>28.3</v>
      </c>
      <c r="F110" s="55">
        <v>1.45</v>
      </c>
      <c r="G110" s="55"/>
      <c r="H110" s="57">
        <v>3</v>
      </c>
      <c r="I110" s="48">
        <v>4</v>
      </c>
      <c r="J110" s="48">
        <v>4</v>
      </c>
    </row>
    <row r="111" spans="1:10" ht="15.75" customHeight="1" x14ac:dyDescent="0.35">
      <c r="A111" s="55" t="s">
        <v>158</v>
      </c>
      <c r="B111" s="61" t="s">
        <v>183</v>
      </c>
      <c r="C111" s="55">
        <v>77</v>
      </c>
      <c r="D111" s="58">
        <v>19</v>
      </c>
      <c r="E111" s="55">
        <v>23.9</v>
      </c>
      <c r="F111" s="55">
        <v>0</v>
      </c>
      <c r="G111" s="55"/>
      <c r="H111" s="57">
        <v>3</v>
      </c>
      <c r="I111" s="48">
        <v>4</v>
      </c>
      <c r="J111" s="48">
        <v>13</v>
      </c>
    </row>
    <row r="112" spans="1:10" ht="15.75" customHeight="1" x14ac:dyDescent="0.35">
      <c r="A112" s="55" t="s">
        <v>158</v>
      </c>
      <c r="B112" s="61" t="s">
        <v>183</v>
      </c>
      <c r="C112" s="55">
        <v>99</v>
      </c>
      <c r="D112" s="58">
        <v>29.59</v>
      </c>
      <c r="E112" s="55">
        <v>24.9</v>
      </c>
      <c r="F112" s="55">
        <v>0.65</v>
      </c>
      <c r="G112" s="55">
        <v>700</v>
      </c>
      <c r="H112" s="57">
        <v>3</v>
      </c>
      <c r="I112" s="48">
        <v>4</v>
      </c>
      <c r="J112" s="48">
        <v>7</v>
      </c>
    </row>
    <row r="113" spans="1:10" ht="15.75" customHeight="1" x14ac:dyDescent="0.35">
      <c r="A113" s="55" t="s">
        <v>158</v>
      </c>
      <c r="B113" s="61" t="s">
        <v>183</v>
      </c>
      <c r="C113" s="55">
        <v>74</v>
      </c>
      <c r="D113" s="58">
        <v>1.52</v>
      </c>
      <c r="E113" s="55">
        <v>19.829999999999998</v>
      </c>
      <c r="F113" s="55">
        <v>0.85</v>
      </c>
      <c r="G113" s="55"/>
      <c r="H113" s="57">
        <v>3</v>
      </c>
      <c r="I113" s="48">
        <v>2</v>
      </c>
      <c r="J113" s="48">
        <v>2</v>
      </c>
    </row>
    <row r="114" spans="1:10" ht="15.75" customHeight="1" x14ac:dyDescent="0.35">
      <c r="A114" s="55" t="s">
        <v>158</v>
      </c>
      <c r="B114" s="61" t="s">
        <v>186</v>
      </c>
      <c r="C114" s="55">
        <v>95</v>
      </c>
      <c r="D114" s="58">
        <v>0.4</v>
      </c>
      <c r="E114" s="55">
        <v>17.100000000000001</v>
      </c>
      <c r="F114" s="55">
        <v>0</v>
      </c>
      <c r="G114" s="55">
        <v>700</v>
      </c>
      <c r="H114" s="57">
        <v>6</v>
      </c>
      <c r="I114" s="48">
        <v>10</v>
      </c>
      <c r="J114" s="48">
        <v>33</v>
      </c>
    </row>
    <row r="115" spans="1:10" ht="15.75" customHeight="1" x14ac:dyDescent="0.35">
      <c r="A115" s="55" t="s">
        <v>158</v>
      </c>
      <c r="B115" s="61" t="s">
        <v>186</v>
      </c>
      <c r="C115" s="55">
        <v>95</v>
      </c>
      <c r="D115" s="58">
        <v>0.42</v>
      </c>
      <c r="E115" s="55">
        <v>17.2</v>
      </c>
      <c r="F115" s="55">
        <v>0</v>
      </c>
      <c r="G115" s="55"/>
      <c r="H115" s="57">
        <v>6</v>
      </c>
      <c r="I115" s="48">
        <v>1</v>
      </c>
      <c r="J115" s="48">
        <v>1</v>
      </c>
    </row>
    <row r="116" spans="1:10" ht="15.75" customHeight="1" x14ac:dyDescent="0.35">
      <c r="A116" s="55" t="s">
        <v>158</v>
      </c>
      <c r="B116" s="61" t="s">
        <v>186</v>
      </c>
      <c r="C116" s="55">
        <v>95</v>
      </c>
      <c r="D116" s="58">
        <v>0.41</v>
      </c>
      <c r="E116" s="55">
        <v>17.100000000000001</v>
      </c>
      <c r="F116" s="55">
        <v>0</v>
      </c>
      <c r="G116" s="55">
        <v>700</v>
      </c>
      <c r="H116" s="57">
        <v>6</v>
      </c>
      <c r="I116" s="48">
        <v>8</v>
      </c>
      <c r="J116" s="48">
        <v>11</v>
      </c>
    </row>
    <row r="117" spans="1:10" ht="15.75" customHeight="1" x14ac:dyDescent="0.35">
      <c r="A117" s="55" t="s">
        <v>158</v>
      </c>
      <c r="B117" s="61" t="s">
        <v>186</v>
      </c>
      <c r="C117" s="55">
        <v>87</v>
      </c>
      <c r="D117" s="58">
        <v>0.16</v>
      </c>
      <c r="E117" s="55">
        <v>20.2</v>
      </c>
      <c r="F117" s="55">
        <v>0</v>
      </c>
      <c r="G117" s="55"/>
      <c r="H117" s="57">
        <v>6</v>
      </c>
      <c r="I117" s="48">
        <v>6</v>
      </c>
      <c r="J117" s="48">
        <v>6</v>
      </c>
    </row>
    <row r="118" spans="1:10" ht="15.75" customHeight="1" x14ac:dyDescent="0.35">
      <c r="A118" s="55" t="s">
        <v>164</v>
      </c>
      <c r="B118" s="61" t="s">
        <v>176</v>
      </c>
      <c r="C118" s="55">
        <v>89</v>
      </c>
      <c r="D118" s="58">
        <v>1.36</v>
      </c>
      <c r="E118" s="55">
        <v>23.18</v>
      </c>
      <c r="F118" s="55">
        <v>0</v>
      </c>
      <c r="G118" s="55"/>
      <c r="H118" s="57">
        <v>4</v>
      </c>
      <c r="I118" s="48">
        <v>8</v>
      </c>
      <c r="J118" s="48">
        <v>11</v>
      </c>
    </row>
    <row r="119" spans="1:10" ht="15.75" customHeight="1" x14ac:dyDescent="0.35">
      <c r="A119" s="55" t="s">
        <v>164</v>
      </c>
      <c r="B119" s="61" t="s">
        <v>177</v>
      </c>
      <c r="C119" s="55">
        <v>94</v>
      </c>
      <c r="D119" s="58">
        <v>7.68</v>
      </c>
      <c r="E119" s="55">
        <v>26.7</v>
      </c>
      <c r="F119" s="55">
        <v>0.75</v>
      </c>
      <c r="G119" s="55"/>
      <c r="H119" s="57">
        <v>3</v>
      </c>
      <c r="I119" s="48">
        <v>6</v>
      </c>
      <c r="J119" s="48">
        <v>8</v>
      </c>
    </row>
    <row r="120" spans="1:10" ht="15.75" customHeight="1" x14ac:dyDescent="0.35">
      <c r="A120" s="55" t="s">
        <v>164</v>
      </c>
      <c r="B120" s="61" t="s">
        <v>177</v>
      </c>
      <c r="C120" s="55">
        <v>90</v>
      </c>
      <c r="D120" s="58">
        <v>1.5</v>
      </c>
      <c r="E120" s="55">
        <v>23.4</v>
      </c>
      <c r="F120" s="55">
        <v>0</v>
      </c>
      <c r="G120" s="55"/>
      <c r="H120" s="57">
        <v>3</v>
      </c>
      <c r="I120" s="48">
        <v>1</v>
      </c>
      <c r="J120" s="48">
        <v>1</v>
      </c>
    </row>
    <row r="121" spans="1:10" ht="15.75" customHeight="1" x14ac:dyDescent="0.35">
      <c r="A121" s="55" t="s">
        <v>164</v>
      </c>
      <c r="B121" s="61" t="s">
        <v>200</v>
      </c>
      <c r="C121" s="55">
        <v>91</v>
      </c>
      <c r="D121" s="58">
        <v>1.1499999999999999</v>
      </c>
      <c r="E121" s="55">
        <v>24.4</v>
      </c>
      <c r="F121" s="55">
        <v>0</v>
      </c>
      <c r="G121" s="55">
        <v>480</v>
      </c>
      <c r="H121" s="57">
        <v>5</v>
      </c>
      <c r="I121" s="48">
        <v>8</v>
      </c>
      <c r="J121" s="48">
        <v>8</v>
      </c>
    </row>
    <row r="122" spans="1:10" ht="15.75" customHeight="1" x14ac:dyDescent="0.35">
      <c r="A122" s="55" t="s">
        <v>164</v>
      </c>
      <c r="B122" s="61" t="s">
        <v>200</v>
      </c>
      <c r="C122" s="55">
        <v>94</v>
      </c>
      <c r="D122" s="58">
        <v>1.2</v>
      </c>
      <c r="E122" s="55">
        <v>24.4</v>
      </c>
      <c r="F122" s="55">
        <v>0</v>
      </c>
      <c r="G122" s="55"/>
      <c r="H122" s="57">
        <v>5</v>
      </c>
      <c r="I122" s="48">
        <v>1</v>
      </c>
      <c r="J122" s="48">
        <v>1</v>
      </c>
    </row>
    <row r="123" spans="1:10" ht="15.75" customHeight="1" x14ac:dyDescent="0.35">
      <c r="A123" s="55" t="s">
        <v>164</v>
      </c>
      <c r="B123" s="61" t="s">
        <v>200</v>
      </c>
      <c r="C123" s="55">
        <v>85</v>
      </c>
      <c r="D123" s="58">
        <v>1.3</v>
      </c>
      <c r="E123" s="55">
        <v>24.4</v>
      </c>
      <c r="F123" s="55">
        <v>0</v>
      </c>
      <c r="G123" s="55"/>
      <c r="H123" s="57">
        <v>5</v>
      </c>
      <c r="I123" s="48">
        <v>8</v>
      </c>
      <c r="J123" s="48">
        <v>8</v>
      </c>
    </row>
    <row r="124" spans="1:10" ht="15.75" customHeight="1" x14ac:dyDescent="0.35">
      <c r="A124" s="55" t="s">
        <v>164</v>
      </c>
      <c r="B124" s="61" t="s">
        <v>180</v>
      </c>
      <c r="C124" s="55">
        <v>91</v>
      </c>
      <c r="D124" s="58">
        <v>0.57999999999999996</v>
      </c>
      <c r="E124" s="55">
        <v>26.4</v>
      </c>
      <c r="F124" s="55">
        <v>0</v>
      </c>
      <c r="G124" s="55">
        <v>780</v>
      </c>
      <c r="H124" s="57">
        <v>5</v>
      </c>
      <c r="I124" s="48">
        <v>10</v>
      </c>
      <c r="J124" s="48">
        <v>10</v>
      </c>
    </row>
    <row r="125" spans="1:10" ht="15.75" customHeight="1" x14ac:dyDescent="0.35">
      <c r="A125" s="55" t="s">
        <v>164</v>
      </c>
      <c r="B125" s="61" t="s">
        <v>180</v>
      </c>
      <c r="C125" s="55">
        <v>91</v>
      </c>
      <c r="D125" s="58">
        <v>0.81</v>
      </c>
      <c r="E125" s="55">
        <v>23.28</v>
      </c>
      <c r="F125" s="55">
        <v>0</v>
      </c>
      <c r="G125" s="55">
        <v>480</v>
      </c>
      <c r="H125" s="57">
        <v>5</v>
      </c>
      <c r="I125" s="48">
        <v>5</v>
      </c>
      <c r="J125" s="48">
        <v>5</v>
      </c>
    </row>
    <row r="126" spans="1:10" ht="15.75" customHeight="1" x14ac:dyDescent="0.35">
      <c r="A126" s="55" t="s">
        <v>164</v>
      </c>
      <c r="B126" s="61" t="s">
        <v>181</v>
      </c>
      <c r="C126" s="55">
        <v>91</v>
      </c>
      <c r="D126" s="58">
        <v>0.81</v>
      </c>
      <c r="E126" s="55">
        <v>23.3</v>
      </c>
      <c r="F126" s="55">
        <v>0</v>
      </c>
      <c r="G126" s="55"/>
      <c r="H126" s="57">
        <v>3</v>
      </c>
      <c r="I126" s="48">
        <v>1</v>
      </c>
      <c r="J126" s="48">
        <v>2</v>
      </c>
    </row>
    <row r="127" spans="1:10" ht="15.75" customHeight="1" x14ac:dyDescent="0.35">
      <c r="A127" s="55" t="s">
        <v>164</v>
      </c>
      <c r="B127" s="61" t="s">
        <v>181</v>
      </c>
      <c r="C127" s="55">
        <v>99</v>
      </c>
      <c r="D127" s="58">
        <v>85.6</v>
      </c>
      <c r="E127" s="55">
        <v>28.5</v>
      </c>
      <c r="F127" s="55">
        <v>1.2</v>
      </c>
      <c r="G127" s="55">
        <v>780</v>
      </c>
      <c r="H127" s="57">
        <v>3</v>
      </c>
      <c r="I127" s="48">
        <v>1</v>
      </c>
      <c r="J127" s="48">
        <v>1</v>
      </c>
    </row>
    <row r="128" spans="1:10" ht="15.75" customHeight="1" x14ac:dyDescent="0.35">
      <c r="A128" s="55" t="s">
        <v>164</v>
      </c>
      <c r="B128" s="61" t="s">
        <v>181</v>
      </c>
      <c r="C128" s="55">
        <v>91</v>
      </c>
      <c r="D128" s="58">
        <v>13.15</v>
      </c>
      <c r="E128" s="55">
        <v>26.13</v>
      </c>
      <c r="F128" s="55">
        <v>0</v>
      </c>
      <c r="G128" s="55">
        <v>480</v>
      </c>
      <c r="H128" s="57">
        <v>3</v>
      </c>
      <c r="I128" s="48">
        <v>3</v>
      </c>
      <c r="J128" s="48">
        <v>3</v>
      </c>
    </row>
    <row r="129" spans="1:10" ht="15.75" customHeight="1" x14ac:dyDescent="0.35">
      <c r="A129" s="55" t="s">
        <v>164</v>
      </c>
      <c r="B129" s="61" t="s">
        <v>198</v>
      </c>
      <c r="C129" s="55">
        <v>75</v>
      </c>
      <c r="D129" s="58">
        <v>17.2</v>
      </c>
      <c r="E129" s="55">
        <v>28</v>
      </c>
      <c r="F129" s="55">
        <v>0</v>
      </c>
      <c r="G129" s="55"/>
      <c r="H129" s="57">
        <v>3</v>
      </c>
      <c r="I129" s="48">
        <v>2</v>
      </c>
      <c r="J129" s="48">
        <v>2</v>
      </c>
    </row>
    <row r="130" spans="1:10" s="75" customFormat="1" ht="15.75" customHeight="1" x14ac:dyDescent="0.35">
      <c r="A130" s="71" t="s">
        <v>164</v>
      </c>
      <c r="B130" s="72" t="s">
        <v>198</v>
      </c>
      <c r="C130" s="71">
        <v>93</v>
      </c>
      <c r="D130" s="73">
        <v>14.5</v>
      </c>
      <c r="E130" s="71">
        <v>28.73</v>
      </c>
      <c r="F130" s="71">
        <v>0</v>
      </c>
      <c r="G130" s="71">
        <v>480</v>
      </c>
      <c r="H130" s="74">
        <v>3</v>
      </c>
      <c r="I130" s="75">
        <v>6</v>
      </c>
      <c r="J130" s="75">
        <v>9</v>
      </c>
    </row>
    <row r="131" spans="1:10" ht="15.75" customHeight="1" x14ac:dyDescent="0.35">
      <c r="A131" s="55" t="s">
        <v>164</v>
      </c>
      <c r="B131" s="61" t="s">
        <v>198</v>
      </c>
      <c r="C131" s="55">
        <v>74</v>
      </c>
      <c r="D131" s="58">
        <v>18</v>
      </c>
      <c r="E131" s="55">
        <v>28</v>
      </c>
      <c r="F131" s="55">
        <v>0</v>
      </c>
      <c r="G131" s="55"/>
      <c r="H131" s="57">
        <v>3</v>
      </c>
      <c r="I131" s="48">
        <v>2</v>
      </c>
      <c r="J131" s="48">
        <v>2</v>
      </c>
    </row>
    <row r="132" spans="1:10" ht="15.75" customHeight="1" x14ac:dyDescent="0.35">
      <c r="A132" s="55" t="s">
        <v>164</v>
      </c>
      <c r="B132" s="61" t="s">
        <v>183</v>
      </c>
      <c r="C132" s="55">
        <v>89</v>
      </c>
      <c r="D132" s="58">
        <v>7.61</v>
      </c>
      <c r="E132" s="55">
        <v>23.8</v>
      </c>
      <c r="F132" s="55">
        <v>0.75</v>
      </c>
      <c r="G132" s="55"/>
      <c r="H132" s="57">
        <v>3</v>
      </c>
      <c r="I132" s="48">
        <v>5</v>
      </c>
      <c r="J132" s="48">
        <v>10</v>
      </c>
    </row>
    <row r="133" spans="1:10" ht="15.75" customHeight="1" x14ac:dyDescent="0.35">
      <c r="A133" s="55" t="s">
        <v>164</v>
      </c>
      <c r="B133" s="61" t="s">
        <v>183</v>
      </c>
      <c r="C133" s="55">
        <v>81</v>
      </c>
      <c r="D133" s="58">
        <v>5.23</v>
      </c>
      <c r="E133" s="55">
        <v>27.03</v>
      </c>
      <c r="F133" s="55">
        <v>0</v>
      </c>
      <c r="G133" s="55">
        <v>480</v>
      </c>
      <c r="H133" s="57">
        <v>3</v>
      </c>
      <c r="I133" s="48">
        <v>4</v>
      </c>
      <c r="J133" s="48">
        <v>5</v>
      </c>
    </row>
    <row r="134" spans="1:10" ht="15.75" customHeight="1" x14ac:dyDescent="0.35">
      <c r="A134" s="55" t="s">
        <v>164</v>
      </c>
      <c r="B134" s="61" t="s">
        <v>186</v>
      </c>
      <c r="C134" s="55">
        <v>86</v>
      </c>
      <c r="D134" s="58">
        <v>0.14000000000000001</v>
      </c>
      <c r="E134" s="55">
        <v>18.55</v>
      </c>
      <c r="F134" s="55">
        <v>0</v>
      </c>
      <c r="G134" s="55"/>
      <c r="H134" s="57">
        <v>6</v>
      </c>
      <c r="I134" s="48">
        <v>5</v>
      </c>
      <c r="J134" s="48">
        <v>5</v>
      </c>
    </row>
    <row r="135" spans="1:10" ht="15.75" customHeight="1" x14ac:dyDescent="0.35">
      <c r="A135" s="55" t="s">
        <v>164</v>
      </c>
      <c r="B135" s="61" t="s">
        <v>186</v>
      </c>
      <c r="C135" s="55">
        <v>87</v>
      </c>
      <c r="D135" s="58">
        <v>0.15</v>
      </c>
      <c r="E135" s="55">
        <v>15.2</v>
      </c>
      <c r="F135" s="55">
        <v>0</v>
      </c>
      <c r="G135" s="55"/>
      <c r="H135" s="57">
        <v>6</v>
      </c>
      <c r="I135" s="48">
        <v>3</v>
      </c>
      <c r="J135" s="48">
        <v>3</v>
      </c>
    </row>
    <row r="136" spans="1:10" ht="15.75" customHeight="1" x14ac:dyDescent="0.35">
      <c r="A136" s="55" t="s">
        <v>164</v>
      </c>
      <c r="B136" s="61" t="s">
        <v>186</v>
      </c>
      <c r="C136" s="55">
        <v>83</v>
      </c>
      <c r="D136" s="58">
        <v>0.20499999999999999</v>
      </c>
      <c r="E136" s="55">
        <v>24.8</v>
      </c>
      <c r="F136" s="55">
        <v>0</v>
      </c>
      <c r="G136" s="55">
        <v>480</v>
      </c>
      <c r="H136" s="57">
        <v>6</v>
      </c>
      <c r="I136" s="48">
        <v>0</v>
      </c>
      <c r="J136" s="48">
        <v>0</v>
      </c>
    </row>
    <row r="137" spans="1:10" ht="15.75" customHeight="1" x14ac:dyDescent="0.35">
      <c r="A137" s="55" t="s">
        <v>168</v>
      </c>
      <c r="B137" s="55" t="s">
        <v>176</v>
      </c>
      <c r="C137" s="55">
        <v>92</v>
      </c>
      <c r="D137" s="58">
        <v>0.14000000000000001</v>
      </c>
      <c r="E137" s="55">
        <v>22.5</v>
      </c>
      <c r="F137" s="55">
        <v>0</v>
      </c>
      <c r="G137" s="55">
        <v>480</v>
      </c>
      <c r="H137" s="57">
        <v>4</v>
      </c>
      <c r="I137" s="48">
        <v>6</v>
      </c>
      <c r="J137" s="48">
        <v>11</v>
      </c>
    </row>
    <row r="138" spans="1:10" ht="15.75" customHeight="1" x14ac:dyDescent="0.35">
      <c r="A138" s="55" t="s">
        <v>168</v>
      </c>
      <c r="B138" s="55" t="s">
        <v>176</v>
      </c>
      <c r="C138" s="55">
        <v>92</v>
      </c>
      <c r="D138" s="58">
        <v>0.14000000000000001</v>
      </c>
      <c r="E138" s="55">
        <v>22.5</v>
      </c>
      <c r="F138" s="55">
        <v>0</v>
      </c>
      <c r="G138" s="55"/>
      <c r="H138" s="57">
        <v>4</v>
      </c>
      <c r="I138" s="48">
        <v>1</v>
      </c>
      <c r="J138" s="48">
        <v>2</v>
      </c>
    </row>
    <row r="139" spans="1:10" ht="15.75" customHeight="1" x14ac:dyDescent="0.35">
      <c r="A139" s="55" t="s">
        <v>168</v>
      </c>
      <c r="B139" s="55" t="s">
        <v>177</v>
      </c>
      <c r="C139" s="55">
        <v>97</v>
      </c>
      <c r="D139" s="58">
        <v>4.5999999999999996</v>
      </c>
      <c r="E139" s="55">
        <v>24.3</v>
      </c>
      <c r="F139" s="55">
        <v>0</v>
      </c>
      <c r="G139" s="55">
        <v>480</v>
      </c>
      <c r="H139" s="57">
        <v>3</v>
      </c>
      <c r="I139" s="48">
        <v>17</v>
      </c>
      <c r="J139" s="48">
        <v>24</v>
      </c>
    </row>
    <row r="140" spans="1:10" ht="15.75" customHeight="1" x14ac:dyDescent="0.35">
      <c r="A140" s="55" t="s">
        <v>168</v>
      </c>
      <c r="B140" s="55" t="s">
        <v>200</v>
      </c>
      <c r="C140" s="55">
        <v>99</v>
      </c>
      <c r="D140" s="58">
        <v>24.2</v>
      </c>
      <c r="E140" s="55">
        <v>26.1</v>
      </c>
      <c r="F140" s="55">
        <v>0</v>
      </c>
      <c r="G140" s="55"/>
      <c r="H140" s="57">
        <v>5</v>
      </c>
      <c r="I140" s="48">
        <v>1</v>
      </c>
      <c r="J140" s="48">
        <v>1</v>
      </c>
    </row>
    <row r="141" spans="1:10" ht="15.75" customHeight="1" x14ac:dyDescent="0.35">
      <c r="A141" s="55" t="s">
        <v>168</v>
      </c>
      <c r="B141" s="55" t="s">
        <v>200</v>
      </c>
      <c r="C141" s="55">
        <v>99</v>
      </c>
      <c r="D141" s="58">
        <v>24.2</v>
      </c>
      <c r="E141" s="55">
        <v>26.1</v>
      </c>
      <c r="F141" s="55">
        <v>0</v>
      </c>
      <c r="G141" s="55">
        <v>480</v>
      </c>
      <c r="H141" s="57">
        <v>5</v>
      </c>
      <c r="I141" s="48">
        <v>11</v>
      </c>
      <c r="J141" s="48">
        <v>11</v>
      </c>
    </row>
    <row r="142" spans="1:10" ht="15.75" customHeight="1" x14ac:dyDescent="0.35">
      <c r="A142" s="55" t="s">
        <v>168</v>
      </c>
      <c r="B142" s="55" t="s">
        <v>200</v>
      </c>
      <c r="C142" s="55">
        <v>84</v>
      </c>
      <c r="D142" s="58">
        <v>0.17</v>
      </c>
      <c r="E142" s="55">
        <v>24</v>
      </c>
      <c r="F142" s="55">
        <v>0</v>
      </c>
      <c r="G142" s="55"/>
      <c r="H142" s="57">
        <v>5</v>
      </c>
      <c r="I142" s="48">
        <v>2</v>
      </c>
      <c r="J142" s="48">
        <v>2</v>
      </c>
    </row>
    <row r="143" spans="1:10" ht="15.75" customHeight="1" x14ac:dyDescent="0.35">
      <c r="A143" s="55" t="s">
        <v>168</v>
      </c>
      <c r="B143" s="55" t="s">
        <v>180</v>
      </c>
      <c r="C143" s="55">
        <v>97</v>
      </c>
      <c r="D143" s="58">
        <v>1.08</v>
      </c>
      <c r="E143" s="55">
        <v>25.4</v>
      </c>
      <c r="F143" s="55">
        <v>0</v>
      </c>
      <c r="G143" s="55"/>
      <c r="H143" s="57">
        <v>5</v>
      </c>
      <c r="I143" s="48">
        <v>6</v>
      </c>
      <c r="J143" s="48">
        <v>8</v>
      </c>
    </row>
    <row r="144" spans="1:10" ht="15.75" customHeight="1" x14ac:dyDescent="0.35">
      <c r="A144" s="55" t="s">
        <v>168</v>
      </c>
      <c r="B144" s="55" t="s">
        <v>180</v>
      </c>
      <c r="C144" s="55">
        <v>97</v>
      </c>
      <c r="D144" s="58">
        <v>1.08</v>
      </c>
      <c r="E144" s="55">
        <v>25.4</v>
      </c>
      <c r="F144" s="55">
        <v>0</v>
      </c>
      <c r="G144" s="55">
        <v>480</v>
      </c>
      <c r="H144" s="57">
        <v>5</v>
      </c>
      <c r="I144" s="48">
        <v>9</v>
      </c>
      <c r="J144" s="48">
        <v>9</v>
      </c>
    </row>
    <row r="145" spans="1:10" ht="15.75" customHeight="1" x14ac:dyDescent="0.35">
      <c r="A145" s="55" t="s">
        <v>168</v>
      </c>
      <c r="B145" s="48" t="s">
        <v>180</v>
      </c>
      <c r="C145" s="48">
        <v>80</v>
      </c>
      <c r="D145" s="76">
        <v>0.04</v>
      </c>
      <c r="E145" s="48">
        <v>25.3</v>
      </c>
      <c r="F145" s="48">
        <v>0</v>
      </c>
      <c r="G145" s="55"/>
      <c r="H145" s="49">
        <v>5</v>
      </c>
      <c r="I145" s="48">
        <v>0</v>
      </c>
      <c r="J145" s="48">
        <v>0</v>
      </c>
    </row>
    <row r="146" spans="1:10" ht="15.75" customHeight="1" x14ac:dyDescent="0.35">
      <c r="A146" s="55" t="s">
        <v>168</v>
      </c>
      <c r="B146" s="48" t="s">
        <v>181</v>
      </c>
      <c r="C146" s="48">
        <v>87</v>
      </c>
      <c r="D146" s="76">
        <v>9.8000000000000007</v>
      </c>
      <c r="E146" s="48">
        <v>34.5</v>
      </c>
      <c r="F146" s="48">
        <v>0</v>
      </c>
      <c r="H146" s="49">
        <v>3</v>
      </c>
      <c r="I146" s="48">
        <v>4</v>
      </c>
      <c r="J146" s="48">
        <v>4</v>
      </c>
    </row>
    <row r="147" spans="1:10" ht="15.75" customHeight="1" x14ac:dyDescent="0.35">
      <c r="A147" s="55" t="s">
        <v>168</v>
      </c>
      <c r="B147" s="48" t="s">
        <v>181</v>
      </c>
      <c r="C147" s="48">
        <v>87</v>
      </c>
      <c r="D147" s="76">
        <v>9.8000000000000007</v>
      </c>
      <c r="E147" s="48">
        <v>34.5</v>
      </c>
      <c r="F147" s="48">
        <v>0</v>
      </c>
      <c r="G147" s="48">
        <v>480</v>
      </c>
      <c r="H147" s="49">
        <v>3</v>
      </c>
      <c r="I147" s="48">
        <v>3</v>
      </c>
      <c r="J147" s="48">
        <v>3</v>
      </c>
    </row>
    <row r="148" spans="1:10" ht="15.75" customHeight="1" x14ac:dyDescent="0.35">
      <c r="A148" s="55" t="s">
        <v>168</v>
      </c>
      <c r="B148" s="48" t="s">
        <v>181</v>
      </c>
      <c r="C148" s="48">
        <v>80</v>
      </c>
      <c r="D148" s="76">
        <v>1.5</v>
      </c>
      <c r="E148" s="48">
        <v>26.9</v>
      </c>
      <c r="F148" s="48">
        <v>0</v>
      </c>
      <c r="H148" s="49">
        <v>3</v>
      </c>
      <c r="I148" s="48">
        <v>3</v>
      </c>
      <c r="J148" s="48">
        <v>4</v>
      </c>
    </row>
    <row r="149" spans="1:10" ht="15.75" customHeight="1" x14ac:dyDescent="0.35">
      <c r="A149" s="55" t="s">
        <v>168</v>
      </c>
      <c r="B149" s="48" t="s">
        <v>198</v>
      </c>
      <c r="C149" s="48">
        <v>81</v>
      </c>
      <c r="D149" s="76">
        <v>36.6</v>
      </c>
      <c r="E149" s="48">
        <v>31.4</v>
      </c>
      <c r="F149" s="48">
        <v>0.8</v>
      </c>
      <c r="G149" s="48">
        <v>480</v>
      </c>
      <c r="H149" s="49">
        <v>3</v>
      </c>
      <c r="I149" s="48">
        <v>7</v>
      </c>
      <c r="J149" s="48">
        <v>7</v>
      </c>
    </row>
    <row r="150" spans="1:10" ht="15.75" customHeight="1" x14ac:dyDescent="0.35">
      <c r="A150" s="55" t="s">
        <v>168</v>
      </c>
      <c r="B150" s="48" t="s">
        <v>198</v>
      </c>
      <c r="C150" s="48">
        <v>79</v>
      </c>
      <c r="D150" s="76">
        <v>13.35</v>
      </c>
      <c r="E150" s="48">
        <v>29.2</v>
      </c>
      <c r="F150" s="48">
        <v>0</v>
      </c>
      <c r="H150" s="49">
        <v>3</v>
      </c>
      <c r="I150" s="48">
        <v>2</v>
      </c>
      <c r="J150" s="48">
        <v>2</v>
      </c>
    </row>
    <row r="151" spans="1:10" ht="15.75" customHeight="1" x14ac:dyDescent="0.35">
      <c r="A151" s="55" t="s">
        <v>168</v>
      </c>
      <c r="B151" s="48" t="s">
        <v>183</v>
      </c>
      <c r="C151" s="48">
        <v>89</v>
      </c>
      <c r="D151" s="76">
        <v>1.1000000000000001</v>
      </c>
      <c r="E151" s="48">
        <v>22.3</v>
      </c>
      <c r="F151" s="48">
        <v>0</v>
      </c>
      <c r="H151" s="49">
        <v>3</v>
      </c>
      <c r="I151" s="48">
        <v>7</v>
      </c>
      <c r="J151" s="48">
        <v>10</v>
      </c>
    </row>
    <row r="152" spans="1:10" ht="15.75" customHeight="1" x14ac:dyDescent="0.35">
      <c r="A152" s="55" t="s">
        <v>168</v>
      </c>
      <c r="B152" s="48" t="s">
        <v>183</v>
      </c>
      <c r="C152" s="48">
        <v>89</v>
      </c>
      <c r="D152" s="76">
        <v>1</v>
      </c>
      <c r="E152" s="48">
        <v>22.2</v>
      </c>
      <c r="F152" s="48">
        <v>0</v>
      </c>
      <c r="G152" s="48">
        <v>1420</v>
      </c>
      <c r="H152" s="49">
        <v>3</v>
      </c>
      <c r="I152" s="48">
        <v>4</v>
      </c>
      <c r="J152" s="48">
        <v>4</v>
      </c>
    </row>
    <row r="153" spans="1:10" ht="15.75" customHeight="1" x14ac:dyDescent="0.35">
      <c r="A153" s="55" t="s">
        <v>168</v>
      </c>
      <c r="B153" s="48" t="s">
        <v>183</v>
      </c>
      <c r="C153" s="48">
        <v>72</v>
      </c>
      <c r="D153" s="48">
        <v>0.75</v>
      </c>
      <c r="E153" s="48">
        <v>25</v>
      </c>
      <c r="F153" s="48">
        <v>0.9</v>
      </c>
      <c r="H153" s="49">
        <v>3</v>
      </c>
      <c r="I153" s="48">
        <v>2</v>
      </c>
      <c r="J153" s="48">
        <v>3</v>
      </c>
    </row>
    <row r="154" spans="1:10" ht="15.75" customHeight="1" x14ac:dyDescent="0.35">
      <c r="A154" s="55" t="s">
        <v>168</v>
      </c>
      <c r="B154" s="48" t="s">
        <v>186</v>
      </c>
      <c r="C154" s="48">
        <v>76</v>
      </c>
      <c r="D154" s="76">
        <v>1.53</v>
      </c>
      <c r="E154" s="48">
        <v>25.4</v>
      </c>
      <c r="F154" s="48">
        <v>0</v>
      </c>
      <c r="G154" s="48">
        <v>1420</v>
      </c>
      <c r="H154" s="49">
        <v>6</v>
      </c>
      <c r="I154" s="48">
        <v>4</v>
      </c>
      <c r="J154" s="48">
        <v>5</v>
      </c>
    </row>
    <row r="155" spans="1:10" ht="15.75" customHeight="1" x14ac:dyDescent="0.35">
      <c r="A155" s="48" t="s">
        <v>172</v>
      </c>
      <c r="B155" s="48" t="s">
        <v>176</v>
      </c>
      <c r="C155" s="48">
        <v>81</v>
      </c>
      <c r="D155" s="76">
        <v>1.6</v>
      </c>
      <c r="E155" s="48">
        <v>26.5</v>
      </c>
      <c r="F155" s="48">
        <v>0</v>
      </c>
      <c r="H155" s="49">
        <v>4</v>
      </c>
      <c r="I155" s="48">
        <v>12</v>
      </c>
      <c r="J155" s="48">
        <v>18</v>
      </c>
    </row>
    <row r="156" spans="1:10" ht="15.75" customHeight="1" x14ac:dyDescent="0.35">
      <c r="A156" s="48" t="s">
        <v>172</v>
      </c>
      <c r="B156" s="48" t="s">
        <v>177</v>
      </c>
      <c r="C156" s="48">
        <v>96</v>
      </c>
      <c r="D156" s="76">
        <v>1.1299999999999999</v>
      </c>
      <c r="E156" s="48">
        <v>26.4</v>
      </c>
      <c r="F156" s="48">
        <v>0</v>
      </c>
      <c r="H156" s="49">
        <v>3</v>
      </c>
      <c r="I156" s="48">
        <v>5</v>
      </c>
      <c r="J156" s="48">
        <v>5</v>
      </c>
    </row>
    <row r="157" spans="1:10" ht="15.75" customHeight="1" x14ac:dyDescent="0.35">
      <c r="A157" s="48" t="s">
        <v>172</v>
      </c>
      <c r="B157" s="48" t="s">
        <v>200</v>
      </c>
      <c r="C157" s="48">
        <v>99</v>
      </c>
      <c r="D157" s="76">
        <v>0.28000000000000003</v>
      </c>
      <c r="E157" s="48">
        <v>23.5</v>
      </c>
      <c r="F157" s="48">
        <v>0</v>
      </c>
      <c r="G157" s="48">
        <v>650</v>
      </c>
      <c r="H157" s="49">
        <v>5</v>
      </c>
      <c r="I157" s="48">
        <v>7</v>
      </c>
      <c r="J157" s="48">
        <v>10</v>
      </c>
    </row>
    <row r="158" spans="1:10" ht="15.75" customHeight="1" x14ac:dyDescent="0.35">
      <c r="A158" s="48" t="s">
        <v>172</v>
      </c>
      <c r="B158" s="48" t="s">
        <v>180</v>
      </c>
      <c r="C158" s="48">
        <v>96</v>
      </c>
      <c r="D158" s="76">
        <v>0.64</v>
      </c>
      <c r="E158" s="48">
        <v>24.9</v>
      </c>
      <c r="F158" s="48">
        <v>0</v>
      </c>
      <c r="G158" s="48">
        <v>650</v>
      </c>
      <c r="H158" s="49">
        <v>5</v>
      </c>
      <c r="I158" s="48">
        <v>9</v>
      </c>
      <c r="J158" s="48">
        <v>9</v>
      </c>
    </row>
    <row r="159" spans="1:10" ht="15.75" customHeight="1" x14ac:dyDescent="0.35">
      <c r="A159" s="48" t="s">
        <v>172</v>
      </c>
      <c r="B159" s="48" t="s">
        <v>181</v>
      </c>
      <c r="C159" s="48">
        <v>98</v>
      </c>
      <c r="D159" s="76">
        <v>2.2799999999999998</v>
      </c>
      <c r="E159" s="48">
        <v>23.7</v>
      </c>
      <c r="F159" s="48">
        <v>0</v>
      </c>
      <c r="G159" s="48">
        <v>650</v>
      </c>
      <c r="H159" s="49">
        <v>3</v>
      </c>
      <c r="I159" s="48">
        <v>4</v>
      </c>
      <c r="J159" s="48">
        <v>4</v>
      </c>
    </row>
    <row r="160" spans="1:10" ht="15.75" customHeight="1" x14ac:dyDescent="0.35">
      <c r="A160" s="48" t="s">
        <v>172</v>
      </c>
      <c r="B160" s="48" t="s">
        <v>198</v>
      </c>
      <c r="C160" s="48">
        <v>99</v>
      </c>
      <c r="D160" s="76">
        <v>7.2350000000000003</v>
      </c>
      <c r="E160" s="48">
        <v>24.6</v>
      </c>
      <c r="F160" s="48">
        <v>1.4</v>
      </c>
      <c r="G160" s="48">
        <v>650</v>
      </c>
      <c r="H160" s="49">
        <v>3</v>
      </c>
      <c r="I160" s="48">
        <v>10</v>
      </c>
      <c r="J160" s="48">
        <v>16</v>
      </c>
    </row>
    <row r="161" spans="1:10" ht="15.75" customHeight="1" x14ac:dyDescent="0.35">
      <c r="A161" s="48" t="s">
        <v>172</v>
      </c>
      <c r="B161" s="48" t="s">
        <v>183</v>
      </c>
      <c r="C161" s="48">
        <v>92</v>
      </c>
      <c r="D161" s="76">
        <v>44.68</v>
      </c>
      <c r="E161" s="48">
        <v>23.2</v>
      </c>
      <c r="F161" s="48">
        <v>0.6</v>
      </c>
      <c r="H161" s="49">
        <v>3</v>
      </c>
      <c r="I161" s="48">
        <v>8</v>
      </c>
      <c r="J161" s="48">
        <v>9</v>
      </c>
    </row>
    <row r="162" spans="1:10" ht="15.75" customHeight="1" x14ac:dyDescent="0.35">
      <c r="A162" s="48" t="s">
        <v>172</v>
      </c>
      <c r="B162" s="48" t="s">
        <v>183</v>
      </c>
      <c r="C162" s="48">
        <v>84</v>
      </c>
      <c r="D162" s="76">
        <v>0.5</v>
      </c>
      <c r="E162" s="48">
        <v>25.9</v>
      </c>
      <c r="F162" s="48">
        <v>0</v>
      </c>
      <c r="H162" s="49">
        <v>3</v>
      </c>
      <c r="I162" s="48">
        <v>4</v>
      </c>
      <c r="J162" s="48">
        <v>4</v>
      </c>
    </row>
    <row r="163" spans="1:10" ht="15.75" customHeight="1" x14ac:dyDescent="0.35">
      <c r="A163" s="48" t="s">
        <v>172</v>
      </c>
      <c r="B163" s="48" t="s">
        <v>186</v>
      </c>
      <c r="C163" s="48">
        <v>83</v>
      </c>
      <c r="D163" s="76">
        <v>1.1299999999999999</v>
      </c>
      <c r="E163" s="48">
        <v>25.5</v>
      </c>
      <c r="F163" s="48">
        <v>0</v>
      </c>
      <c r="H163" s="49">
        <v>6</v>
      </c>
      <c r="I163" s="48">
        <v>9</v>
      </c>
      <c r="J163" s="48">
        <v>19</v>
      </c>
    </row>
    <row r="164" spans="1:10" ht="15.75" customHeight="1" x14ac:dyDescent="0.35">
      <c r="D164" s="76"/>
    </row>
    <row r="165" spans="1:10" ht="15.75" customHeight="1" x14ac:dyDescent="0.35">
      <c r="D165" s="76"/>
    </row>
    <row r="166" spans="1:10" ht="15.75" customHeight="1" x14ac:dyDescent="0.35">
      <c r="D166" s="76"/>
    </row>
    <row r="167" spans="1:10" ht="15.75" customHeight="1" x14ac:dyDescent="0.35">
      <c r="D167" s="76"/>
    </row>
    <row r="168" spans="1:10" ht="15.75" customHeight="1" x14ac:dyDescent="0.35">
      <c r="D168" s="76"/>
    </row>
    <row r="169" spans="1:10" ht="15.75" customHeight="1" x14ac:dyDescent="0.35">
      <c r="D169" s="76"/>
    </row>
    <row r="170" spans="1:10" ht="15.75" customHeight="1" x14ac:dyDescent="0.35">
      <c r="D170" s="76"/>
    </row>
    <row r="171" spans="1:10" ht="15.75" customHeight="1" x14ac:dyDescent="0.35">
      <c r="D171" s="76"/>
    </row>
    <row r="172" spans="1:10" ht="15.75" customHeight="1" x14ac:dyDescent="0.35">
      <c r="D172" s="76"/>
    </row>
    <row r="173" spans="1:10" ht="15.75" customHeight="1" x14ac:dyDescent="0.35">
      <c r="D173" s="76"/>
    </row>
    <row r="174" spans="1:10" ht="15.75" customHeight="1" x14ac:dyDescent="0.35">
      <c r="D174" s="76"/>
    </row>
    <row r="175" spans="1:10" ht="15.75" customHeight="1" x14ac:dyDescent="0.35">
      <c r="D175" s="76"/>
    </row>
    <row r="176" spans="1:10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/>
    <row r="237" spans="4:4" ht="15.75" customHeight="1" x14ac:dyDescent="0.35"/>
    <row r="238" spans="4:4" ht="15.75" customHeight="1" x14ac:dyDescent="0.35"/>
    <row r="239" spans="4:4" ht="15.75" customHeight="1" x14ac:dyDescent="0.35"/>
    <row r="240" spans="4: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autoFilter ref="A2:J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7"/>
  <sheetViews>
    <sheetView topLeftCell="A2" zoomScale="80" workbookViewId="0">
      <selection activeCell="I105" sqref="I105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120" x14ac:dyDescent="0.35">
      <c r="A2" s="51" t="s">
        <v>196</v>
      </c>
      <c r="B2" s="51" t="s">
        <v>187</v>
      </c>
      <c r="C2" s="52" t="s">
        <v>188</v>
      </c>
      <c r="D2" s="54" t="s">
        <v>189</v>
      </c>
      <c r="E2" s="52" t="s">
        <v>190</v>
      </c>
      <c r="F2" s="52" t="s">
        <v>191</v>
      </c>
      <c r="G2" s="52" t="s">
        <v>192</v>
      </c>
      <c r="H2" s="53" t="s">
        <v>194</v>
      </c>
      <c r="I2" s="48" t="s">
        <v>195</v>
      </c>
      <c r="J2" s="48" t="s">
        <v>175</v>
      </c>
    </row>
    <row r="3" spans="1:10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7">
        <v>4</v>
      </c>
      <c r="I3" s="48">
        <v>6</v>
      </c>
      <c r="J3" s="48">
        <v>22</v>
      </c>
    </row>
    <row r="4" spans="1:10" ht="15.75" customHeight="1" x14ac:dyDescent="0.35">
      <c r="A4" s="55" t="s">
        <v>146</v>
      </c>
      <c r="B4" s="61" t="s">
        <v>177</v>
      </c>
      <c r="C4" s="55">
        <v>92</v>
      </c>
      <c r="D4" s="58">
        <v>0.78</v>
      </c>
      <c r="E4" s="55">
        <v>24.6</v>
      </c>
      <c r="F4" s="55">
        <v>0</v>
      </c>
      <c r="G4" s="55">
        <v>5</v>
      </c>
      <c r="H4" s="57">
        <v>3</v>
      </c>
      <c r="I4" s="48">
        <v>9</v>
      </c>
      <c r="J4" s="48">
        <v>14</v>
      </c>
    </row>
    <row r="5" spans="1:10" ht="15.75" customHeight="1" x14ac:dyDescent="0.35">
      <c r="A5" s="55" t="s">
        <v>146</v>
      </c>
      <c r="B5" s="61" t="s">
        <v>200</v>
      </c>
      <c r="C5" s="55">
        <v>94</v>
      </c>
      <c r="D5" s="70">
        <v>0.50800000000000001</v>
      </c>
      <c r="E5" s="55">
        <v>24.8</v>
      </c>
      <c r="F5" s="55">
        <v>0</v>
      </c>
      <c r="G5" s="55">
        <v>5</v>
      </c>
      <c r="H5" s="57">
        <v>5</v>
      </c>
      <c r="I5" s="48">
        <v>8</v>
      </c>
      <c r="J5" s="48">
        <v>8</v>
      </c>
    </row>
    <row r="6" spans="1:10" ht="15.75" customHeight="1" x14ac:dyDescent="0.35">
      <c r="A6" s="55" t="s">
        <v>146</v>
      </c>
      <c r="B6" s="61" t="s">
        <v>200</v>
      </c>
      <c r="C6" s="55">
        <v>94</v>
      </c>
      <c r="D6" s="70">
        <v>0.5</v>
      </c>
      <c r="E6" s="55">
        <v>24.8</v>
      </c>
      <c r="F6" s="55">
        <v>0</v>
      </c>
      <c r="G6" s="55">
        <v>100</v>
      </c>
      <c r="H6" s="57">
        <v>5</v>
      </c>
      <c r="I6" s="48">
        <v>2</v>
      </c>
      <c r="J6" s="48">
        <v>6</v>
      </c>
    </row>
    <row r="7" spans="1:10" ht="15.75" customHeight="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23</v>
      </c>
      <c r="F7" s="55">
        <v>0</v>
      </c>
      <c r="G7" s="55">
        <v>100</v>
      </c>
      <c r="H7" s="57">
        <v>5</v>
      </c>
      <c r="I7" s="48">
        <v>5</v>
      </c>
      <c r="J7" s="48">
        <v>5</v>
      </c>
    </row>
    <row r="8" spans="1:10" ht="15.75" customHeight="1" x14ac:dyDescent="0.35">
      <c r="A8" s="55" t="s">
        <v>146</v>
      </c>
      <c r="B8" s="61" t="s">
        <v>200</v>
      </c>
      <c r="C8" s="59">
        <v>94</v>
      </c>
      <c r="D8" s="70">
        <v>0.5</v>
      </c>
      <c r="E8" s="55">
        <v>22</v>
      </c>
      <c r="F8" s="55">
        <v>0</v>
      </c>
      <c r="G8" s="55">
        <v>100</v>
      </c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146</v>
      </c>
      <c r="B9" s="61" t="s">
        <v>181</v>
      </c>
      <c r="C9" s="55">
        <v>99</v>
      </c>
      <c r="D9" s="58">
        <v>7.59</v>
      </c>
      <c r="E9" s="55">
        <v>23.9</v>
      </c>
      <c r="F9" s="55">
        <v>0</v>
      </c>
      <c r="G9" s="55">
        <v>100</v>
      </c>
      <c r="H9" s="57">
        <v>3</v>
      </c>
      <c r="I9" s="48">
        <v>5</v>
      </c>
      <c r="J9" s="48">
        <v>6</v>
      </c>
    </row>
    <row r="10" spans="1:10" ht="15.75" customHeight="1" x14ac:dyDescent="0.35">
      <c r="A10" s="55" t="s">
        <v>146</v>
      </c>
      <c r="B10" s="61" t="s">
        <v>198</v>
      </c>
      <c r="C10" s="55">
        <v>99</v>
      </c>
      <c r="D10" s="58">
        <v>13.05</v>
      </c>
      <c r="E10" s="55">
        <v>25.9</v>
      </c>
      <c r="F10" s="55">
        <v>0.45</v>
      </c>
      <c r="G10" s="55">
        <v>100</v>
      </c>
      <c r="H10" s="57">
        <v>3</v>
      </c>
      <c r="I10" s="48">
        <v>4</v>
      </c>
      <c r="J10" s="48">
        <v>4</v>
      </c>
    </row>
    <row r="11" spans="1:10" ht="15.75" customHeight="1" x14ac:dyDescent="0.35">
      <c r="A11" s="55" t="s">
        <v>146</v>
      </c>
      <c r="B11" s="61" t="s">
        <v>199</v>
      </c>
      <c r="C11" s="55">
        <v>93</v>
      </c>
      <c r="D11" s="58">
        <v>6.64</v>
      </c>
      <c r="E11" s="55">
        <v>26</v>
      </c>
      <c r="F11" s="55">
        <v>0</v>
      </c>
      <c r="G11" s="55">
        <v>100</v>
      </c>
      <c r="H11" s="57">
        <v>2</v>
      </c>
      <c r="I11" s="48">
        <v>7</v>
      </c>
      <c r="J11" s="48">
        <v>13</v>
      </c>
    </row>
    <row r="12" spans="1:10" ht="15.75" customHeight="1" x14ac:dyDescent="0.35">
      <c r="A12" s="55" t="s">
        <v>146</v>
      </c>
      <c r="B12" s="61" t="s">
        <v>199</v>
      </c>
      <c r="C12" s="55">
        <v>59</v>
      </c>
      <c r="D12" s="58">
        <v>39.5</v>
      </c>
      <c r="E12" s="55">
        <v>31.13</v>
      </c>
      <c r="F12" s="55">
        <v>2.1</v>
      </c>
      <c r="G12" s="55">
        <v>100</v>
      </c>
      <c r="H12" s="57">
        <v>2</v>
      </c>
      <c r="I12" s="48">
        <v>4</v>
      </c>
      <c r="J12" s="48">
        <v>9</v>
      </c>
    </row>
    <row r="13" spans="1:10" ht="15.75" customHeight="1" x14ac:dyDescent="0.35">
      <c r="A13" s="55" t="s">
        <v>146</v>
      </c>
      <c r="B13" s="61" t="s">
        <v>199</v>
      </c>
      <c r="C13" s="55">
        <v>80</v>
      </c>
      <c r="D13" s="58">
        <v>6.56</v>
      </c>
      <c r="E13" s="55">
        <v>23.9</v>
      </c>
      <c r="F13" s="55">
        <v>0</v>
      </c>
      <c r="G13" s="55">
        <v>100</v>
      </c>
      <c r="H13" s="57">
        <v>2</v>
      </c>
      <c r="I13" s="48">
        <v>0</v>
      </c>
      <c r="J13" s="48">
        <v>0</v>
      </c>
    </row>
    <row r="14" spans="1:10" ht="15.75" customHeight="1" x14ac:dyDescent="0.35">
      <c r="A14" s="55" t="s">
        <v>146</v>
      </c>
      <c r="B14" s="61" t="s">
        <v>183</v>
      </c>
      <c r="C14" s="55">
        <v>79</v>
      </c>
      <c r="D14" s="58">
        <v>15.5</v>
      </c>
      <c r="E14" s="55">
        <v>28.3</v>
      </c>
      <c r="F14" s="55">
        <v>0</v>
      </c>
      <c r="G14" s="55">
        <v>100</v>
      </c>
      <c r="H14" s="57">
        <v>3</v>
      </c>
      <c r="I14" s="48">
        <v>3</v>
      </c>
      <c r="J14" s="48">
        <v>3</v>
      </c>
    </row>
    <row r="15" spans="1:10" ht="15.75" customHeight="1" x14ac:dyDescent="0.35">
      <c r="A15" s="55" t="s">
        <v>146</v>
      </c>
      <c r="B15" s="61" t="s">
        <v>183</v>
      </c>
      <c r="C15" s="55">
        <v>79</v>
      </c>
      <c r="D15" s="58">
        <v>4.87</v>
      </c>
      <c r="E15" s="55">
        <v>25.2</v>
      </c>
      <c r="F15" s="55">
        <v>0</v>
      </c>
      <c r="G15" s="55">
        <v>100</v>
      </c>
      <c r="H15" s="57">
        <v>3</v>
      </c>
      <c r="I15" s="48">
        <v>0</v>
      </c>
      <c r="J15" s="48">
        <v>0</v>
      </c>
    </row>
    <row r="16" spans="1:10" ht="15.75" customHeight="1" x14ac:dyDescent="0.35">
      <c r="A16" s="55" t="s">
        <v>146</v>
      </c>
      <c r="B16" s="61" t="s">
        <v>185</v>
      </c>
      <c r="C16" s="55">
        <v>86</v>
      </c>
      <c r="D16" s="58">
        <v>19.5</v>
      </c>
      <c r="E16" s="55">
        <v>27.4</v>
      </c>
      <c r="F16" s="55">
        <v>2.9</v>
      </c>
      <c r="G16" s="55">
        <v>100</v>
      </c>
      <c r="H16" s="57">
        <v>1</v>
      </c>
      <c r="I16" s="48">
        <v>3</v>
      </c>
      <c r="J16" s="48">
        <v>5</v>
      </c>
    </row>
    <row r="17" spans="1:10" ht="15.75" customHeight="1" x14ac:dyDescent="0.35">
      <c r="A17" s="55" t="s">
        <v>146</v>
      </c>
      <c r="B17" s="61" t="s">
        <v>186</v>
      </c>
      <c r="C17" s="55">
        <v>79</v>
      </c>
      <c r="D17" s="58">
        <v>0.56999999999999995</v>
      </c>
      <c r="E17" s="55">
        <v>24.8</v>
      </c>
      <c r="F17" s="55">
        <v>0</v>
      </c>
      <c r="G17" s="55">
        <v>100</v>
      </c>
      <c r="H17" s="57">
        <v>6</v>
      </c>
      <c r="I17" s="48">
        <v>3</v>
      </c>
      <c r="J17" s="48">
        <v>4</v>
      </c>
    </row>
    <row r="18" spans="1:10" ht="15.75" customHeight="1" x14ac:dyDescent="0.35">
      <c r="A18" s="55" t="s">
        <v>146</v>
      </c>
      <c r="B18" s="61" t="s">
        <v>186</v>
      </c>
      <c r="C18" s="55">
        <v>96</v>
      </c>
      <c r="D18" s="58">
        <v>15.05</v>
      </c>
      <c r="E18" s="55">
        <v>30.2</v>
      </c>
      <c r="F18" s="55">
        <v>0</v>
      </c>
      <c r="G18" s="55">
        <v>100</v>
      </c>
      <c r="H18" s="57">
        <v>6</v>
      </c>
      <c r="I18" s="48">
        <v>2</v>
      </c>
      <c r="J18" s="48">
        <v>6</v>
      </c>
    </row>
    <row r="19" spans="1:10" ht="15.75" customHeight="1" x14ac:dyDescent="0.35">
      <c r="A19" s="55" t="s">
        <v>146</v>
      </c>
      <c r="B19" s="55" t="s">
        <v>186</v>
      </c>
      <c r="C19" s="55">
        <v>57</v>
      </c>
      <c r="D19" s="58">
        <v>153.19999999999999</v>
      </c>
      <c r="E19" s="55">
        <v>30.2</v>
      </c>
      <c r="F19" s="55">
        <v>0.4</v>
      </c>
      <c r="G19" s="55">
        <v>100</v>
      </c>
      <c r="H19" s="57">
        <v>6</v>
      </c>
      <c r="I19" s="48">
        <v>2</v>
      </c>
      <c r="J19" s="48">
        <v>3</v>
      </c>
    </row>
    <row r="20" spans="1:10" ht="15.75" customHeight="1" x14ac:dyDescent="0.35">
      <c r="A20" s="55" t="s">
        <v>153</v>
      </c>
      <c r="B20" s="61" t="s">
        <v>176</v>
      </c>
      <c r="C20" s="55">
        <v>98</v>
      </c>
      <c r="D20" s="58">
        <v>7.54</v>
      </c>
      <c r="E20" s="55">
        <v>25.8</v>
      </c>
      <c r="F20" s="55">
        <v>0</v>
      </c>
      <c r="G20" s="55">
        <v>100</v>
      </c>
      <c r="H20" s="57">
        <v>4</v>
      </c>
      <c r="I20" s="48">
        <v>5</v>
      </c>
      <c r="J20" s="48">
        <v>7</v>
      </c>
    </row>
    <row r="21" spans="1:10" ht="15.75" customHeight="1" x14ac:dyDescent="0.35">
      <c r="A21" s="55" t="s">
        <v>153</v>
      </c>
      <c r="B21" s="61" t="s">
        <v>176</v>
      </c>
      <c r="C21" s="55">
        <v>99</v>
      </c>
      <c r="D21" s="58">
        <v>6.06</v>
      </c>
      <c r="E21" s="55">
        <v>25.35</v>
      </c>
      <c r="F21" s="55">
        <v>0</v>
      </c>
      <c r="G21" s="55">
        <v>100</v>
      </c>
      <c r="H21" s="57">
        <v>4</v>
      </c>
      <c r="I21" s="48">
        <v>9</v>
      </c>
      <c r="J21" s="48">
        <v>9</v>
      </c>
    </row>
    <row r="22" spans="1:10" ht="15.75" customHeight="1" x14ac:dyDescent="0.35">
      <c r="A22" s="55" t="s">
        <v>153</v>
      </c>
      <c r="B22" s="61" t="s">
        <v>177</v>
      </c>
      <c r="C22" s="55">
        <v>98</v>
      </c>
      <c r="D22" s="58">
        <v>0.77</v>
      </c>
      <c r="E22" s="55">
        <v>22.6</v>
      </c>
      <c r="F22" s="55">
        <v>0</v>
      </c>
      <c r="G22" s="55">
        <v>100</v>
      </c>
      <c r="H22" s="57">
        <v>3</v>
      </c>
      <c r="I22" s="48">
        <v>8</v>
      </c>
      <c r="J22" s="48">
        <v>14</v>
      </c>
    </row>
    <row r="23" spans="1:10" ht="15.75" customHeight="1" x14ac:dyDescent="0.35">
      <c r="A23" s="55" t="s">
        <v>153</v>
      </c>
      <c r="B23" s="61" t="s">
        <v>177</v>
      </c>
      <c r="C23" s="55">
        <v>82</v>
      </c>
      <c r="D23" s="70">
        <v>0.19800000000000001</v>
      </c>
      <c r="E23" s="55">
        <v>24.3</v>
      </c>
      <c r="F23" s="55">
        <v>0</v>
      </c>
      <c r="G23" s="55">
        <v>20</v>
      </c>
      <c r="H23" s="57">
        <v>3</v>
      </c>
      <c r="I23" s="48">
        <v>9</v>
      </c>
      <c r="J23" s="48">
        <v>12</v>
      </c>
    </row>
    <row r="24" spans="1:10" ht="15.75" customHeight="1" x14ac:dyDescent="0.35">
      <c r="A24" s="55" t="s">
        <v>153</v>
      </c>
      <c r="B24" s="61" t="s">
        <v>200</v>
      </c>
      <c r="C24" s="55">
        <v>98</v>
      </c>
      <c r="D24" s="58">
        <v>3.69</v>
      </c>
      <c r="E24" s="55">
        <v>22.35</v>
      </c>
      <c r="F24" s="55">
        <v>0</v>
      </c>
      <c r="G24" s="55">
        <v>0</v>
      </c>
      <c r="H24" s="57">
        <v>5</v>
      </c>
      <c r="I24" s="48">
        <v>3</v>
      </c>
      <c r="J24" s="48">
        <v>7</v>
      </c>
    </row>
    <row r="25" spans="1:10" ht="15.75" customHeight="1" x14ac:dyDescent="0.35">
      <c r="A25" s="55" t="s">
        <v>153</v>
      </c>
      <c r="B25" s="61" t="s">
        <v>200</v>
      </c>
      <c r="C25" s="55">
        <v>98</v>
      </c>
      <c r="D25" s="58">
        <v>3.69</v>
      </c>
      <c r="E25" s="55">
        <v>22.35</v>
      </c>
      <c r="F25" s="55">
        <v>0</v>
      </c>
      <c r="G25" s="55">
        <v>0</v>
      </c>
      <c r="H25" s="57">
        <v>5</v>
      </c>
      <c r="I25" s="48">
        <v>13</v>
      </c>
      <c r="J25" s="48">
        <v>14</v>
      </c>
    </row>
    <row r="26" spans="1:10" ht="15.75" customHeight="1" x14ac:dyDescent="0.35">
      <c r="A26" s="55" t="s">
        <v>153</v>
      </c>
      <c r="B26" s="61" t="s">
        <v>200</v>
      </c>
      <c r="C26" s="55">
        <v>90</v>
      </c>
      <c r="D26" s="70">
        <v>3.5000000000000003E-2</v>
      </c>
      <c r="E26" s="55">
        <v>24.2</v>
      </c>
      <c r="F26" s="55">
        <v>0</v>
      </c>
      <c r="G26" s="55">
        <v>20</v>
      </c>
      <c r="H26" s="57">
        <v>5</v>
      </c>
      <c r="I26" s="48">
        <v>1</v>
      </c>
      <c r="J26" s="48">
        <v>1</v>
      </c>
    </row>
    <row r="27" spans="1:10" ht="15.75" customHeight="1" x14ac:dyDescent="0.35">
      <c r="A27" s="55" t="s">
        <v>153</v>
      </c>
      <c r="B27" s="61" t="s">
        <v>200</v>
      </c>
      <c r="C27" s="55">
        <v>61</v>
      </c>
      <c r="D27" s="70">
        <v>9.4E-2</v>
      </c>
      <c r="E27" s="55">
        <v>25.5</v>
      </c>
      <c r="F27" s="55">
        <v>0</v>
      </c>
      <c r="G27" s="55">
        <v>15</v>
      </c>
      <c r="H27" s="57">
        <v>5</v>
      </c>
      <c r="I27" s="48">
        <v>6</v>
      </c>
      <c r="J27" s="48">
        <v>8</v>
      </c>
    </row>
    <row r="28" spans="1:10" ht="15.75" customHeight="1" x14ac:dyDescent="0.35">
      <c r="A28" s="55" t="s">
        <v>153</v>
      </c>
      <c r="B28" s="61" t="s">
        <v>200</v>
      </c>
      <c r="C28" s="55">
        <v>65</v>
      </c>
      <c r="D28" s="70">
        <v>3.5000000000000003E-2</v>
      </c>
      <c r="E28" s="55">
        <v>25.7</v>
      </c>
      <c r="F28" s="55">
        <v>0</v>
      </c>
      <c r="G28" s="55">
        <v>100</v>
      </c>
      <c r="H28" s="57">
        <v>5</v>
      </c>
      <c r="I28" s="48">
        <v>3</v>
      </c>
      <c r="J28" s="48">
        <v>3</v>
      </c>
    </row>
    <row r="29" spans="1:10" ht="15.75" customHeight="1" x14ac:dyDescent="0.35">
      <c r="A29" s="55" t="s">
        <v>153</v>
      </c>
      <c r="B29" s="61" t="s">
        <v>180</v>
      </c>
      <c r="C29" s="55">
        <v>85</v>
      </c>
      <c r="D29" s="58">
        <v>3.81</v>
      </c>
      <c r="E29" s="55">
        <v>25</v>
      </c>
      <c r="F29" s="55">
        <v>0</v>
      </c>
      <c r="G29" s="55">
        <v>78.33</v>
      </c>
      <c r="H29" s="57">
        <v>5</v>
      </c>
      <c r="I29" s="48">
        <v>3</v>
      </c>
      <c r="J29" s="48">
        <v>3</v>
      </c>
    </row>
    <row r="30" spans="1:10" ht="15.75" customHeight="1" x14ac:dyDescent="0.35">
      <c r="A30" s="55" t="s">
        <v>153</v>
      </c>
      <c r="B30" s="61" t="s">
        <v>180</v>
      </c>
      <c r="C30" s="55">
        <v>61</v>
      </c>
      <c r="D30" s="58">
        <v>4.78</v>
      </c>
      <c r="E30" s="55">
        <v>28.7</v>
      </c>
      <c r="F30" s="55">
        <v>0</v>
      </c>
      <c r="G30" s="55">
        <v>100</v>
      </c>
      <c r="H30" s="57">
        <v>5</v>
      </c>
      <c r="I30" s="48">
        <v>0</v>
      </c>
      <c r="J30" s="48">
        <v>0</v>
      </c>
    </row>
    <row r="31" spans="1:10" ht="15.75" customHeight="1" x14ac:dyDescent="0.35">
      <c r="A31" s="55" t="s">
        <v>153</v>
      </c>
      <c r="B31" s="61" t="s">
        <v>180</v>
      </c>
      <c r="C31" s="55">
        <v>47</v>
      </c>
      <c r="D31" s="70">
        <v>0.74399999999999999</v>
      </c>
      <c r="E31" s="55">
        <v>29.9</v>
      </c>
      <c r="F31" s="55">
        <v>0</v>
      </c>
      <c r="G31" s="55">
        <v>2</v>
      </c>
      <c r="H31" s="57">
        <v>5</v>
      </c>
      <c r="I31" s="48">
        <v>2</v>
      </c>
      <c r="J31" s="48">
        <v>2</v>
      </c>
    </row>
    <row r="32" spans="1:10" ht="15.75" customHeight="1" x14ac:dyDescent="0.35">
      <c r="A32" s="55" t="s">
        <v>153</v>
      </c>
      <c r="B32" s="61" t="s">
        <v>180</v>
      </c>
      <c r="C32" s="55">
        <v>50</v>
      </c>
      <c r="D32" s="70">
        <v>0.7</v>
      </c>
      <c r="E32" s="55">
        <v>26.3</v>
      </c>
      <c r="F32" s="55">
        <v>0</v>
      </c>
      <c r="G32" s="55">
        <v>100</v>
      </c>
      <c r="H32" s="57">
        <v>5</v>
      </c>
      <c r="I32" s="48">
        <v>2</v>
      </c>
      <c r="J32" s="48">
        <v>5</v>
      </c>
    </row>
    <row r="33" spans="1:10" ht="15.75" customHeight="1" x14ac:dyDescent="0.35">
      <c r="A33" s="55" t="s">
        <v>153</v>
      </c>
      <c r="B33" s="61" t="s">
        <v>181</v>
      </c>
      <c r="C33" s="55">
        <v>85</v>
      </c>
      <c r="D33" s="58">
        <v>13.84</v>
      </c>
      <c r="E33" s="55">
        <v>26.7</v>
      </c>
      <c r="F33" s="55">
        <v>0</v>
      </c>
      <c r="G33" s="55">
        <v>100</v>
      </c>
      <c r="H33" s="57">
        <v>3</v>
      </c>
      <c r="I33" s="48">
        <v>4</v>
      </c>
      <c r="J33" s="48">
        <v>6</v>
      </c>
    </row>
    <row r="34" spans="1:10" ht="15.75" customHeight="1" x14ac:dyDescent="0.35">
      <c r="A34" s="55" t="s">
        <v>153</v>
      </c>
      <c r="B34" s="61" t="s">
        <v>181</v>
      </c>
      <c r="C34" s="55">
        <v>55</v>
      </c>
      <c r="D34" s="58">
        <v>55.3</v>
      </c>
      <c r="E34" s="55">
        <v>30.2</v>
      </c>
      <c r="F34" s="55">
        <v>0</v>
      </c>
      <c r="G34" s="55">
        <v>100</v>
      </c>
      <c r="H34" s="57">
        <v>3</v>
      </c>
      <c r="I34" s="48">
        <v>0</v>
      </c>
      <c r="J34" s="48">
        <v>0</v>
      </c>
    </row>
    <row r="35" spans="1:10" ht="15.75" customHeight="1" x14ac:dyDescent="0.35">
      <c r="A35" s="55" t="s">
        <v>153</v>
      </c>
      <c r="B35" s="61" t="s">
        <v>181</v>
      </c>
      <c r="C35" s="55">
        <v>51</v>
      </c>
      <c r="D35" s="58">
        <v>26.78</v>
      </c>
      <c r="E35" s="55">
        <v>30.7</v>
      </c>
      <c r="F35" s="55">
        <v>0</v>
      </c>
      <c r="G35" s="55">
        <v>23.33</v>
      </c>
      <c r="H35" s="57">
        <v>3</v>
      </c>
      <c r="I35" s="48">
        <v>2</v>
      </c>
      <c r="J35" s="48">
        <v>2</v>
      </c>
    </row>
    <row r="36" spans="1:10" ht="15.75" customHeight="1" x14ac:dyDescent="0.35">
      <c r="A36" s="55" t="s">
        <v>153</v>
      </c>
      <c r="B36" s="61" t="s">
        <v>198</v>
      </c>
      <c r="C36" s="55">
        <v>90</v>
      </c>
      <c r="D36" s="58">
        <v>8.44</v>
      </c>
      <c r="E36" s="55">
        <v>27.4</v>
      </c>
      <c r="F36" s="55">
        <v>0.8</v>
      </c>
      <c r="G36" s="55">
        <v>100</v>
      </c>
      <c r="H36" s="57">
        <v>3</v>
      </c>
      <c r="I36" s="48">
        <v>12</v>
      </c>
      <c r="J36" s="48">
        <v>17</v>
      </c>
    </row>
    <row r="37" spans="1:10" ht="15.75" customHeight="1" x14ac:dyDescent="0.35">
      <c r="A37" s="55" t="s">
        <v>153</v>
      </c>
      <c r="B37" s="56" t="s">
        <v>198</v>
      </c>
      <c r="C37" s="55">
        <v>58</v>
      </c>
      <c r="D37" s="58">
        <v>30.1</v>
      </c>
      <c r="E37" s="55">
        <v>29.1</v>
      </c>
      <c r="F37" s="55">
        <v>0</v>
      </c>
      <c r="G37" s="55">
        <v>98.75</v>
      </c>
      <c r="H37" s="57">
        <v>3</v>
      </c>
      <c r="I37" s="48">
        <v>2</v>
      </c>
      <c r="J37" s="48">
        <v>2</v>
      </c>
    </row>
    <row r="38" spans="1:10" ht="15.75" customHeight="1" x14ac:dyDescent="0.35">
      <c r="A38" s="55" t="s">
        <v>153</v>
      </c>
      <c r="B38" s="61" t="s">
        <v>199</v>
      </c>
      <c r="C38" s="55">
        <v>77</v>
      </c>
      <c r="D38" s="70">
        <v>1.79</v>
      </c>
      <c r="E38" s="55">
        <v>23.98</v>
      </c>
      <c r="F38" s="55">
        <v>0.83</v>
      </c>
      <c r="G38" s="55">
        <v>100</v>
      </c>
      <c r="H38" s="57">
        <v>2</v>
      </c>
      <c r="I38" s="48">
        <v>3</v>
      </c>
      <c r="J38" s="48">
        <v>3</v>
      </c>
    </row>
    <row r="39" spans="1:10" ht="15.75" customHeight="1" x14ac:dyDescent="0.35">
      <c r="A39" s="55" t="s">
        <v>153</v>
      </c>
      <c r="B39" s="61" t="s">
        <v>199</v>
      </c>
      <c r="C39" s="55">
        <v>78</v>
      </c>
      <c r="D39" s="70">
        <v>20.350000000000001</v>
      </c>
      <c r="E39" s="55">
        <v>22.55</v>
      </c>
      <c r="F39" s="55">
        <v>0</v>
      </c>
      <c r="G39" s="55">
        <v>38.33</v>
      </c>
      <c r="H39" s="57">
        <v>2</v>
      </c>
      <c r="I39" s="48">
        <v>6</v>
      </c>
      <c r="J39" s="48">
        <v>14</v>
      </c>
    </row>
    <row r="40" spans="1:10" ht="15.75" customHeight="1" x14ac:dyDescent="0.35">
      <c r="A40" s="55" t="s">
        <v>153</v>
      </c>
      <c r="B40" s="61" t="s">
        <v>199</v>
      </c>
      <c r="C40" s="55">
        <v>98</v>
      </c>
      <c r="D40" s="70">
        <v>3.05</v>
      </c>
      <c r="E40" s="55">
        <v>21.7</v>
      </c>
      <c r="F40" s="55">
        <v>0.9</v>
      </c>
      <c r="G40" s="55">
        <v>100</v>
      </c>
      <c r="H40" s="57">
        <v>2</v>
      </c>
      <c r="I40" s="48">
        <v>1</v>
      </c>
      <c r="J40" s="48">
        <v>1</v>
      </c>
    </row>
    <row r="41" spans="1:10" ht="15.75" customHeight="1" x14ac:dyDescent="0.35">
      <c r="A41" s="55" t="s">
        <v>153</v>
      </c>
      <c r="B41" s="61" t="s">
        <v>199</v>
      </c>
      <c r="C41" s="55">
        <v>77</v>
      </c>
      <c r="D41" s="70">
        <v>12.54</v>
      </c>
      <c r="E41" s="55">
        <v>25.3</v>
      </c>
      <c r="F41" s="55">
        <v>1</v>
      </c>
      <c r="G41" s="55">
        <v>100</v>
      </c>
      <c r="H41" s="57">
        <v>2</v>
      </c>
      <c r="I41" s="48">
        <v>1</v>
      </c>
      <c r="J41" s="48">
        <v>5</v>
      </c>
    </row>
    <row r="42" spans="1:10" ht="15.75" customHeight="1" x14ac:dyDescent="0.35">
      <c r="A42" s="55" t="s">
        <v>153</v>
      </c>
      <c r="B42" s="61" t="s">
        <v>183</v>
      </c>
      <c r="C42" s="55">
        <v>95</v>
      </c>
      <c r="D42" s="58">
        <v>10.69</v>
      </c>
      <c r="E42" s="55">
        <v>22.8</v>
      </c>
      <c r="F42" s="55">
        <v>1.2</v>
      </c>
      <c r="G42" s="55">
        <v>100</v>
      </c>
      <c r="H42" s="57">
        <v>3</v>
      </c>
      <c r="I42" s="48">
        <v>4</v>
      </c>
      <c r="J42" s="48">
        <v>7</v>
      </c>
    </row>
    <row r="43" spans="1:10" ht="15.75" customHeight="1" x14ac:dyDescent="0.35">
      <c r="A43" s="55" t="s">
        <v>153</v>
      </c>
      <c r="B43" s="61" t="s">
        <v>183</v>
      </c>
      <c r="C43" s="55">
        <v>95</v>
      </c>
      <c r="D43" s="58">
        <v>5.99</v>
      </c>
      <c r="E43" s="55">
        <v>25.7</v>
      </c>
      <c r="F43" s="55">
        <v>0</v>
      </c>
      <c r="G43" s="55">
        <v>100</v>
      </c>
      <c r="H43" s="57">
        <v>3</v>
      </c>
      <c r="I43" s="48">
        <v>5</v>
      </c>
      <c r="J43" s="48">
        <v>7</v>
      </c>
    </row>
    <row r="44" spans="1:10" ht="15.75" customHeight="1" x14ac:dyDescent="0.35">
      <c r="A44" s="55" t="s">
        <v>153</v>
      </c>
      <c r="B44" s="56" t="s">
        <v>183</v>
      </c>
      <c r="C44" s="55">
        <v>98</v>
      </c>
      <c r="D44" s="58">
        <v>3.61</v>
      </c>
      <c r="E44" s="55">
        <v>23</v>
      </c>
      <c r="F44" s="55">
        <v>0</v>
      </c>
      <c r="G44" s="55">
        <v>100</v>
      </c>
      <c r="H44" s="57">
        <v>3</v>
      </c>
      <c r="I44" s="48">
        <v>0</v>
      </c>
      <c r="J44" s="48">
        <v>0</v>
      </c>
    </row>
    <row r="45" spans="1:10" ht="15.75" customHeight="1" x14ac:dyDescent="0.35">
      <c r="A45" s="55" t="s">
        <v>153</v>
      </c>
      <c r="B45" s="61" t="s">
        <v>183</v>
      </c>
      <c r="C45" s="55">
        <v>80</v>
      </c>
      <c r="D45" s="58">
        <v>6.89</v>
      </c>
      <c r="E45" s="55">
        <v>24.3</v>
      </c>
      <c r="F45" s="55">
        <v>0.87</v>
      </c>
      <c r="G45" s="55">
        <v>100</v>
      </c>
      <c r="H45" s="57">
        <v>3</v>
      </c>
      <c r="I45" s="48">
        <v>2</v>
      </c>
      <c r="J45" s="48">
        <v>2</v>
      </c>
    </row>
    <row r="46" spans="1:10" ht="15.75" customHeight="1" x14ac:dyDescent="0.35">
      <c r="A46" s="55" t="s">
        <v>153</v>
      </c>
      <c r="B46" s="61" t="s">
        <v>185</v>
      </c>
      <c r="C46" s="55">
        <v>80</v>
      </c>
      <c r="D46" s="70">
        <v>14.7</v>
      </c>
      <c r="E46" s="55">
        <v>24.13</v>
      </c>
      <c r="F46" s="55">
        <v>2.1</v>
      </c>
      <c r="G46" s="55">
        <v>100</v>
      </c>
      <c r="H46" s="57">
        <v>1</v>
      </c>
      <c r="I46" s="48">
        <v>3</v>
      </c>
      <c r="J46" s="48">
        <v>11</v>
      </c>
    </row>
    <row r="47" spans="1:10" ht="15.75" customHeight="1" x14ac:dyDescent="0.35">
      <c r="A47" s="55" t="s">
        <v>153</v>
      </c>
      <c r="B47" s="61" t="s">
        <v>185</v>
      </c>
      <c r="C47" s="55">
        <v>99</v>
      </c>
      <c r="D47" s="70">
        <v>12.46</v>
      </c>
      <c r="E47" s="55">
        <v>22.9</v>
      </c>
      <c r="F47" s="55">
        <v>0</v>
      </c>
      <c r="G47" s="55">
        <v>100</v>
      </c>
      <c r="H47" s="57">
        <v>1</v>
      </c>
      <c r="I47" s="48">
        <v>4</v>
      </c>
      <c r="J47" s="48">
        <v>5</v>
      </c>
    </row>
    <row r="48" spans="1:10" ht="15.75" customHeight="1" x14ac:dyDescent="0.35">
      <c r="A48" s="55" t="s">
        <v>153</v>
      </c>
      <c r="B48" s="56" t="s">
        <v>185</v>
      </c>
      <c r="C48" s="55">
        <v>99</v>
      </c>
      <c r="D48" s="58">
        <v>8.2799999999999994</v>
      </c>
      <c r="E48" s="55">
        <v>24.2</v>
      </c>
      <c r="F48" s="55">
        <v>0</v>
      </c>
      <c r="G48" s="55">
        <v>100</v>
      </c>
      <c r="H48" s="57">
        <v>1</v>
      </c>
      <c r="I48" s="48">
        <v>0</v>
      </c>
      <c r="J48" s="48">
        <v>0</v>
      </c>
    </row>
    <row r="49" spans="1:10" ht="15.75" customHeight="1" x14ac:dyDescent="0.35">
      <c r="A49" s="55" t="s">
        <v>153</v>
      </c>
      <c r="B49" s="56" t="s">
        <v>185</v>
      </c>
      <c r="C49" s="55">
        <v>99</v>
      </c>
      <c r="D49" s="58">
        <v>7.19</v>
      </c>
      <c r="E49" s="55">
        <v>23.4</v>
      </c>
      <c r="F49" s="55">
        <v>1.5</v>
      </c>
      <c r="G49" s="55">
        <v>100</v>
      </c>
      <c r="H49" s="57">
        <v>1</v>
      </c>
      <c r="I49" s="48">
        <v>0</v>
      </c>
      <c r="J49" s="48">
        <v>0</v>
      </c>
    </row>
    <row r="50" spans="1:10" ht="15.75" customHeight="1" x14ac:dyDescent="0.35">
      <c r="A50" s="55" t="s">
        <v>153</v>
      </c>
      <c r="B50" s="61" t="s">
        <v>186</v>
      </c>
      <c r="C50" s="55">
        <v>95</v>
      </c>
      <c r="D50" s="58">
        <v>1.44</v>
      </c>
      <c r="E50" s="55">
        <v>25.1</v>
      </c>
      <c r="F50" s="55">
        <v>0</v>
      </c>
      <c r="G50" s="55">
        <v>100</v>
      </c>
      <c r="H50" s="57">
        <v>6</v>
      </c>
      <c r="I50" s="48">
        <v>2</v>
      </c>
      <c r="J50" s="48">
        <v>7</v>
      </c>
    </row>
    <row r="51" spans="1:10" ht="15.75" customHeight="1" x14ac:dyDescent="0.35">
      <c r="A51" s="55" t="s">
        <v>153</v>
      </c>
      <c r="B51" s="61" t="s">
        <v>186</v>
      </c>
      <c r="C51" s="55">
        <v>99</v>
      </c>
      <c r="D51" s="58">
        <v>0.54</v>
      </c>
      <c r="E51" s="55">
        <v>21.9</v>
      </c>
      <c r="F51" s="55">
        <v>0</v>
      </c>
      <c r="G51" s="55">
        <v>100</v>
      </c>
      <c r="H51" s="57">
        <v>6</v>
      </c>
      <c r="I51" s="48">
        <v>3</v>
      </c>
      <c r="J51" s="48">
        <v>3</v>
      </c>
    </row>
    <row r="52" spans="1:10" ht="15.75" customHeight="1" x14ac:dyDescent="0.35">
      <c r="A52" s="55" t="s">
        <v>153</v>
      </c>
      <c r="B52" s="61" t="s">
        <v>186</v>
      </c>
      <c r="C52" s="55">
        <v>99</v>
      </c>
      <c r="D52" s="58">
        <v>0.63</v>
      </c>
      <c r="E52" s="55">
        <v>25.1</v>
      </c>
      <c r="F52" s="55">
        <v>0</v>
      </c>
      <c r="G52" s="55">
        <v>100</v>
      </c>
      <c r="H52" s="57">
        <v>6</v>
      </c>
      <c r="I52" s="48">
        <v>3</v>
      </c>
      <c r="J52" s="48">
        <v>8</v>
      </c>
    </row>
    <row r="53" spans="1:10" ht="15.75" customHeight="1" x14ac:dyDescent="0.35">
      <c r="A53" s="55" t="s">
        <v>153</v>
      </c>
      <c r="B53" s="61" t="s">
        <v>186</v>
      </c>
      <c r="C53" s="55">
        <v>99</v>
      </c>
      <c r="D53" s="58">
        <v>1.67</v>
      </c>
      <c r="E53" s="55">
        <v>25.2</v>
      </c>
      <c r="F53" s="55">
        <v>0</v>
      </c>
      <c r="G53" s="55">
        <v>100</v>
      </c>
      <c r="H53" s="57">
        <v>6</v>
      </c>
      <c r="I53" s="48">
        <v>3</v>
      </c>
      <c r="J53" s="48">
        <v>4</v>
      </c>
    </row>
    <row r="54" spans="1:10" ht="15.75" customHeight="1" x14ac:dyDescent="0.35">
      <c r="A54" s="55" t="s">
        <v>158</v>
      </c>
      <c r="B54" s="61" t="s">
        <v>176</v>
      </c>
      <c r="C54" s="55">
        <v>96</v>
      </c>
      <c r="D54" s="58">
        <v>1.1399999999999999</v>
      </c>
      <c r="E54" s="55">
        <v>26.4</v>
      </c>
      <c r="F54" s="55">
        <v>0</v>
      </c>
      <c r="G54" s="55">
        <v>22</v>
      </c>
      <c r="H54" s="57">
        <v>4</v>
      </c>
      <c r="I54" s="48">
        <v>4</v>
      </c>
      <c r="J54" s="48">
        <v>7</v>
      </c>
    </row>
    <row r="55" spans="1:10" ht="15.75" customHeight="1" x14ac:dyDescent="0.35">
      <c r="A55" s="55" t="s">
        <v>158</v>
      </c>
      <c r="B55" s="61" t="s">
        <v>176</v>
      </c>
      <c r="C55" s="55">
        <v>99</v>
      </c>
      <c r="D55" s="58">
        <v>8.51</v>
      </c>
      <c r="E55" s="55">
        <v>26.5</v>
      </c>
      <c r="F55" s="55">
        <v>0</v>
      </c>
      <c r="G55" s="55">
        <v>36.659999999999997</v>
      </c>
      <c r="H55" s="57">
        <v>4</v>
      </c>
      <c r="I55" s="48">
        <v>9</v>
      </c>
      <c r="J55" s="48">
        <v>9</v>
      </c>
    </row>
    <row r="56" spans="1:10" ht="15.75" customHeight="1" x14ac:dyDescent="0.35">
      <c r="A56" s="55" t="s">
        <v>158</v>
      </c>
      <c r="B56" s="61" t="s">
        <v>176</v>
      </c>
      <c r="C56" s="55">
        <v>99</v>
      </c>
      <c r="D56" s="58">
        <v>8.52</v>
      </c>
      <c r="E56" s="55">
        <v>26.5</v>
      </c>
      <c r="F56" s="55">
        <v>0</v>
      </c>
      <c r="G56" s="55">
        <v>100</v>
      </c>
      <c r="H56" s="57">
        <v>4</v>
      </c>
      <c r="I56" s="48">
        <v>5</v>
      </c>
      <c r="J56" s="48">
        <v>6</v>
      </c>
    </row>
    <row r="57" spans="1:10" ht="15.75" customHeight="1" x14ac:dyDescent="0.35">
      <c r="A57" s="55" t="s">
        <v>158</v>
      </c>
      <c r="B57" s="61" t="s">
        <v>178</v>
      </c>
      <c r="C57" s="55">
        <v>99</v>
      </c>
      <c r="D57" s="58">
        <v>6.93</v>
      </c>
      <c r="E57" s="55">
        <v>23.5</v>
      </c>
      <c r="F57" s="55">
        <v>0</v>
      </c>
      <c r="G57" s="55">
        <v>98</v>
      </c>
      <c r="H57" s="57">
        <v>3</v>
      </c>
      <c r="I57" s="48">
        <v>7</v>
      </c>
      <c r="J57" s="48">
        <v>7</v>
      </c>
    </row>
    <row r="58" spans="1:10" ht="15.75" customHeight="1" x14ac:dyDescent="0.35">
      <c r="A58" s="55" t="s">
        <v>158</v>
      </c>
      <c r="B58" s="61" t="s">
        <v>178</v>
      </c>
      <c r="C58" s="55">
        <v>99</v>
      </c>
      <c r="D58" s="58">
        <v>6.8</v>
      </c>
      <c r="E58" s="55">
        <v>23.5</v>
      </c>
      <c r="F58" s="55">
        <v>0</v>
      </c>
      <c r="G58" s="55">
        <v>100</v>
      </c>
      <c r="H58" s="57">
        <v>3</v>
      </c>
      <c r="I58" s="48">
        <v>1</v>
      </c>
      <c r="J58" s="48">
        <v>1</v>
      </c>
    </row>
    <row r="59" spans="1:10" ht="15.75" customHeight="1" x14ac:dyDescent="0.35">
      <c r="A59" s="55" t="s">
        <v>158</v>
      </c>
      <c r="B59" s="61" t="s">
        <v>200</v>
      </c>
      <c r="C59" s="55">
        <v>89</v>
      </c>
      <c r="D59" s="58">
        <v>2.74</v>
      </c>
      <c r="E59" s="55">
        <v>23.5</v>
      </c>
      <c r="F59" s="55">
        <v>0</v>
      </c>
      <c r="G59" s="55">
        <v>0</v>
      </c>
      <c r="H59" s="57">
        <v>5</v>
      </c>
      <c r="I59" s="48">
        <v>13</v>
      </c>
      <c r="J59" s="48">
        <v>16</v>
      </c>
    </row>
    <row r="60" spans="1:10" ht="15.75" customHeight="1" x14ac:dyDescent="0.35">
      <c r="A60" s="55" t="s">
        <v>158</v>
      </c>
      <c r="B60" s="61" t="s">
        <v>200</v>
      </c>
      <c r="C60" s="55">
        <v>99</v>
      </c>
      <c r="D60" s="58">
        <v>0.32</v>
      </c>
      <c r="E60" s="55">
        <v>21.5</v>
      </c>
      <c r="F60" s="55">
        <v>0</v>
      </c>
      <c r="G60" s="55">
        <v>100</v>
      </c>
      <c r="H60" s="57">
        <v>5</v>
      </c>
      <c r="I60" s="48">
        <v>3</v>
      </c>
      <c r="J60" s="48">
        <v>3</v>
      </c>
    </row>
    <row r="61" spans="1:10" ht="15.75" customHeight="1" x14ac:dyDescent="0.35">
      <c r="A61" s="55" t="s">
        <v>158</v>
      </c>
      <c r="B61" s="61" t="s">
        <v>200</v>
      </c>
      <c r="C61" s="55">
        <v>87</v>
      </c>
      <c r="D61" s="58">
        <v>0.03</v>
      </c>
      <c r="E61" s="55">
        <v>23.2</v>
      </c>
      <c r="F61" s="55">
        <v>0</v>
      </c>
      <c r="G61" s="55">
        <v>100</v>
      </c>
      <c r="H61" s="57">
        <v>5</v>
      </c>
      <c r="I61" s="48">
        <v>3</v>
      </c>
      <c r="J61" s="48">
        <v>3</v>
      </c>
    </row>
    <row r="62" spans="1:10" ht="15.75" customHeight="1" x14ac:dyDescent="0.35">
      <c r="A62" s="55" t="s">
        <v>158</v>
      </c>
      <c r="B62" s="61" t="s">
        <v>200</v>
      </c>
      <c r="C62" s="55">
        <v>85</v>
      </c>
      <c r="D62" s="58">
        <v>0.04</v>
      </c>
      <c r="E62" s="55">
        <v>23.2</v>
      </c>
      <c r="F62" s="55">
        <v>0</v>
      </c>
      <c r="G62" s="55">
        <v>50</v>
      </c>
      <c r="H62" s="57">
        <v>5</v>
      </c>
      <c r="I62" s="48">
        <v>1</v>
      </c>
      <c r="J62" s="48">
        <v>1</v>
      </c>
    </row>
    <row r="63" spans="1:10" ht="15.75" customHeight="1" x14ac:dyDescent="0.35">
      <c r="A63" s="55" t="s">
        <v>158</v>
      </c>
      <c r="B63" s="61" t="s">
        <v>180</v>
      </c>
      <c r="C63" s="55">
        <v>88</v>
      </c>
      <c r="D63" s="58">
        <v>0.69</v>
      </c>
      <c r="E63" s="55">
        <v>23.4</v>
      </c>
      <c r="F63" s="55">
        <v>6</v>
      </c>
      <c r="G63" s="55">
        <v>100</v>
      </c>
      <c r="H63" s="57">
        <v>5</v>
      </c>
      <c r="I63" s="48">
        <v>8</v>
      </c>
      <c r="J63" s="48">
        <v>9</v>
      </c>
    </row>
    <row r="64" spans="1:10" ht="15.75" customHeight="1" x14ac:dyDescent="0.35">
      <c r="A64" s="55" t="s">
        <v>158</v>
      </c>
      <c r="B64" s="61" t="s">
        <v>180</v>
      </c>
      <c r="C64" s="55">
        <v>88</v>
      </c>
      <c r="D64" s="58">
        <v>1.86</v>
      </c>
      <c r="E64" s="55">
        <v>27.2</v>
      </c>
      <c r="F64" s="55">
        <v>0.6</v>
      </c>
      <c r="G64" s="55">
        <v>100</v>
      </c>
      <c r="H64" s="57">
        <v>5</v>
      </c>
      <c r="I64" s="48">
        <v>4</v>
      </c>
      <c r="J64" s="48">
        <v>4</v>
      </c>
    </row>
    <row r="65" spans="1:10" ht="15.75" customHeight="1" x14ac:dyDescent="0.35">
      <c r="A65" s="55" t="s">
        <v>158</v>
      </c>
      <c r="B65" s="61" t="s">
        <v>181</v>
      </c>
      <c r="C65" s="55">
        <v>80</v>
      </c>
      <c r="D65" s="58">
        <v>51.6</v>
      </c>
      <c r="E65" s="55">
        <v>28.7</v>
      </c>
      <c r="F65" s="55">
        <v>2.5</v>
      </c>
      <c r="G65" s="55">
        <v>0</v>
      </c>
      <c r="H65" s="57">
        <v>3</v>
      </c>
      <c r="I65" s="48">
        <v>5</v>
      </c>
      <c r="J65" s="48">
        <v>5</v>
      </c>
    </row>
    <row r="66" spans="1:10" ht="15.75" customHeight="1" x14ac:dyDescent="0.35">
      <c r="A66" s="55" t="s">
        <v>158</v>
      </c>
      <c r="B66" s="61" t="s">
        <v>198</v>
      </c>
      <c r="C66" s="55">
        <v>71</v>
      </c>
      <c r="D66" s="58">
        <v>7.17</v>
      </c>
      <c r="E66" s="55">
        <v>26.1</v>
      </c>
      <c r="F66" s="55">
        <v>1.9</v>
      </c>
      <c r="G66" s="55">
        <v>0</v>
      </c>
      <c r="H66" s="57">
        <v>3</v>
      </c>
      <c r="I66" s="48">
        <v>9</v>
      </c>
      <c r="J66" s="48">
        <v>11</v>
      </c>
    </row>
    <row r="67" spans="1:10" ht="15.75" customHeight="1" x14ac:dyDescent="0.35">
      <c r="A67" s="55" t="s">
        <v>158</v>
      </c>
      <c r="B67" s="61" t="s">
        <v>198</v>
      </c>
      <c r="C67" s="55">
        <v>74</v>
      </c>
      <c r="D67" s="58">
        <v>7.5</v>
      </c>
      <c r="E67" s="55">
        <v>26</v>
      </c>
      <c r="F67" s="55">
        <v>0</v>
      </c>
      <c r="G67" s="55">
        <v>100</v>
      </c>
      <c r="H67" s="57">
        <v>3</v>
      </c>
      <c r="I67" s="48">
        <v>1</v>
      </c>
      <c r="J67" s="48">
        <v>1</v>
      </c>
    </row>
    <row r="68" spans="1:10" ht="15.75" customHeight="1" x14ac:dyDescent="0.35">
      <c r="A68" s="55" t="s">
        <v>158</v>
      </c>
      <c r="B68" s="61" t="s">
        <v>198</v>
      </c>
      <c r="C68" s="55">
        <v>54</v>
      </c>
      <c r="D68" s="58">
        <v>10.85</v>
      </c>
      <c r="E68" s="55">
        <v>28.3</v>
      </c>
      <c r="F68" s="55">
        <v>1.45</v>
      </c>
      <c r="G68" s="55">
        <v>35</v>
      </c>
      <c r="H68" s="57">
        <v>3</v>
      </c>
      <c r="I68" s="48">
        <v>4</v>
      </c>
      <c r="J68" s="48">
        <v>4</v>
      </c>
    </row>
    <row r="69" spans="1:10" ht="15.75" customHeight="1" x14ac:dyDescent="0.35">
      <c r="A69" s="55" t="s">
        <v>158</v>
      </c>
      <c r="B69" s="61" t="s">
        <v>199</v>
      </c>
      <c r="C69" s="48">
        <v>72</v>
      </c>
      <c r="D69" s="48">
        <v>17.850000000000001</v>
      </c>
      <c r="E69" s="48">
        <v>26.9</v>
      </c>
      <c r="F69" s="48">
        <v>1.6</v>
      </c>
      <c r="G69" s="48">
        <v>90</v>
      </c>
      <c r="H69" s="57">
        <v>2</v>
      </c>
      <c r="I69" s="48">
        <v>2</v>
      </c>
      <c r="J69" s="48">
        <v>3</v>
      </c>
    </row>
    <row r="70" spans="1:10" ht="15.75" customHeight="1" x14ac:dyDescent="0.35">
      <c r="A70" s="55" t="s">
        <v>158</v>
      </c>
      <c r="B70" s="61" t="s">
        <v>199</v>
      </c>
      <c r="C70" s="55">
        <v>66</v>
      </c>
      <c r="D70" s="58">
        <v>6.27</v>
      </c>
      <c r="E70" s="55">
        <v>26.2</v>
      </c>
      <c r="F70" s="55">
        <v>0.8</v>
      </c>
      <c r="G70" s="55">
        <v>100</v>
      </c>
      <c r="H70" s="57">
        <v>2</v>
      </c>
      <c r="I70" s="48">
        <v>1</v>
      </c>
      <c r="J70" s="48">
        <v>1</v>
      </c>
    </row>
    <row r="71" spans="1:10" ht="15.75" customHeight="1" x14ac:dyDescent="0.35">
      <c r="A71" s="55" t="s">
        <v>158</v>
      </c>
      <c r="B71" s="61" t="s">
        <v>183</v>
      </c>
      <c r="C71" s="55">
        <v>77</v>
      </c>
      <c r="D71" s="58">
        <v>19</v>
      </c>
      <c r="E71" s="55">
        <v>23.9</v>
      </c>
      <c r="F71" s="55">
        <v>0</v>
      </c>
      <c r="G71" s="55">
        <v>100</v>
      </c>
      <c r="H71" s="57">
        <v>3</v>
      </c>
      <c r="I71" s="48">
        <v>4</v>
      </c>
      <c r="J71" s="48">
        <v>13</v>
      </c>
    </row>
    <row r="72" spans="1:10" ht="15.75" customHeight="1" x14ac:dyDescent="0.35">
      <c r="A72" s="55" t="s">
        <v>158</v>
      </c>
      <c r="B72" s="61" t="s">
        <v>183</v>
      </c>
      <c r="C72" s="55">
        <v>99</v>
      </c>
      <c r="D72" s="58">
        <v>29.59</v>
      </c>
      <c r="E72" s="55">
        <v>24.9</v>
      </c>
      <c r="F72" s="55">
        <v>0.65</v>
      </c>
      <c r="G72" s="55">
        <v>99</v>
      </c>
      <c r="H72" s="57">
        <v>3</v>
      </c>
      <c r="I72" s="48">
        <v>4</v>
      </c>
      <c r="J72" s="48">
        <v>7</v>
      </c>
    </row>
    <row r="73" spans="1:10" ht="15.75" customHeight="1" x14ac:dyDescent="0.35">
      <c r="A73" s="55" t="s">
        <v>158</v>
      </c>
      <c r="B73" s="61" t="s">
        <v>183</v>
      </c>
      <c r="C73" s="55">
        <v>74</v>
      </c>
      <c r="D73" s="58">
        <v>1.52</v>
      </c>
      <c r="E73" s="55">
        <v>19.829999999999998</v>
      </c>
      <c r="F73" s="55">
        <v>0.85</v>
      </c>
      <c r="G73" s="55">
        <v>100</v>
      </c>
      <c r="H73" s="57">
        <v>3</v>
      </c>
      <c r="I73" s="48">
        <v>2</v>
      </c>
      <c r="J73" s="48">
        <v>2</v>
      </c>
    </row>
    <row r="74" spans="1:10" ht="15.75" customHeight="1" x14ac:dyDescent="0.35">
      <c r="A74" s="55" t="s">
        <v>158</v>
      </c>
      <c r="B74" s="61" t="s">
        <v>185</v>
      </c>
      <c r="C74" s="55">
        <v>99</v>
      </c>
      <c r="D74" s="58">
        <v>27.94</v>
      </c>
      <c r="E74" s="55">
        <v>22.3</v>
      </c>
      <c r="F74" s="55">
        <v>1.2</v>
      </c>
      <c r="G74" s="55">
        <v>100</v>
      </c>
      <c r="H74" s="57">
        <v>1</v>
      </c>
      <c r="I74" s="48">
        <v>5</v>
      </c>
      <c r="J74" s="48">
        <v>15</v>
      </c>
    </row>
    <row r="75" spans="1:10" ht="15.75" customHeight="1" x14ac:dyDescent="0.35">
      <c r="A75" s="55" t="s">
        <v>158</v>
      </c>
      <c r="B75" s="61" t="s">
        <v>185</v>
      </c>
      <c r="C75" s="55">
        <v>80</v>
      </c>
      <c r="D75" s="58">
        <v>6.81</v>
      </c>
      <c r="E75" s="55">
        <v>19.03</v>
      </c>
      <c r="F75" s="55">
        <v>1.8</v>
      </c>
      <c r="G75" s="55">
        <v>100</v>
      </c>
      <c r="H75" s="57">
        <v>1</v>
      </c>
      <c r="I75" s="48">
        <v>2</v>
      </c>
      <c r="J75" s="48">
        <v>4</v>
      </c>
    </row>
    <row r="76" spans="1:10" ht="15.75" customHeight="1" x14ac:dyDescent="0.35">
      <c r="A76" s="55" t="s">
        <v>158</v>
      </c>
      <c r="B76" s="61" t="s">
        <v>186</v>
      </c>
      <c r="C76" s="55">
        <v>95</v>
      </c>
      <c r="D76" s="58">
        <v>0.4</v>
      </c>
      <c r="E76" s="55">
        <v>17.100000000000001</v>
      </c>
      <c r="F76" s="55">
        <v>0</v>
      </c>
      <c r="G76" s="55">
        <v>0</v>
      </c>
      <c r="H76" s="57">
        <v>6</v>
      </c>
      <c r="I76" s="48">
        <v>10</v>
      </c>
      <c r="J76" s="48">
        <v>33</v>
      </c>
    </row>
    <row r="77" spans="1:10" ht="15.75" customHeight="1" x14ac:dyDescent="0.35">
      <c r="A77" s="55" t="s">
        <v>158</v>
      </c>
      <c r="B77" s="61" t="s">
        <v>186</v>
      </c>
      <c r="C77" s="55">
        <v>95</v>
      </c>
      <c r="D77" s="58">
        <v>0.42</v>
      </c>
      <c r="E77" s="55">
        <v>17.2</v>
      </c>
      <c r="F77" s="55">
        <v>0</v>
      </c>
      <c r="G77" s="55">
        <v>100</v>
      </c>
      <c r="H77" s="57">
        <v>6</v>
      </c>
      <c r="I77" s="48">
        <v>1</v>
      </c>
      <c r="J77" s="48">
        <v>1</v>
      </c>
    </row>
    <row r="78" spans="1:10" ht="15.75" customHeight="1" x14ac:dyDescent="0.35">
      <c r="A78" s="55" t="s">
        <v>158</v>
      </c>
      <c r="B78" s="61" t="s">
        <v>186</v>
      </c>
      <c r="C78" s="55">
        <v>95</v>
      </c>
      <c r="D78" s="58">
        <v>0.41</v>
      </c>
      <c r="E78" s="55">
        <v>17.100000000000001</v>
      </c>
      <c r="F78" s="55">
        <v>0</v>
      </c>
      <c r="G78" s="55">
        <v>100</v>
      </c>
      <c r="H78" s="57">
        <v>6</v>
      </c>
      <c r="I78" s="48">
        <v>8</v>
      </c>
      <c r="J78" s="48">
        <v>11</v>
      </c>
    </row>
    <row r="79" spans="1:10" ht="15.75" customHeight="1" x14ac:dyDescent="0.35">
      <c r="A79" s="55" t="s">
        <v>158</v>
      </c>
      <c r="B79" s="61" t="s">
        <v>186</v>
      </c>
      <c r="C79" s="55">
        <v>87</v>
      </c>
      <c r="D79" s="58">
        <v>0.16</v>
      </c>
      <c r="E79" s="55">
        <v>20.2</v>
      </c>
      <c r="F79" s="55">
        <v>0</v>
      </c>
      <c r="G79" s="55">
        <v>100</v>
      </c>
      <c r="H79" s="57">
        <v>6</v>
      </c>
      <c r="I79" s="48">
        <v>6</v>
      </c>
      <c r="J79" s="48">
        <v>6</v>
      </c>
    </row>
    <row r="80" spans="1:10" ht="15.75" customHeight="1" x14ac:dyDescent="0.35">
      <c r="A80" s="55" t="s">
        <v>164</v>
      </c>
      <c r="B80" s="61" t="s">
        <v>176</v>
      </c>
      <c r="C80" s="55">
        <v>89</v>
      </c>
      <c r="D80" s="58">
        <v>1.36</v>
      </c>
      <c r="E80" s="55">
        <v>23.18</v>
      </c>
      <c r="F80" s="55">
        <v>0</v>
      </c>
      <c r="G80" s="55">
        <v>100</v>
      </c>
      <c r="H80" s="57">
        <v>4</v>
      </c>
      <c r="I80" s="48">
        <v>8</v>
      </c>
      <c r="J80" s="48">
        <v>11</v>
      </c>
    </row>
    <row r="81" spans="1:10" ht="15.75" customHeight="1" x14ac:dyDescent="0.35">
      <c r="A81" s="55" t="s">
        <v>164</v>
      </c>
      <c r="B81" s="61" t="s">
        <v>177</v>
      </c>
      <c r="C81" s="55">
        <v>94</v>
      </c>
      <c r="D81" s="58">
        <v>7.68</v>
      </c>
      <c r="E81" s="55">
        <v>26.7</v>
      </c>
      <c r="F81" s="55">
        <v>0.75</v>
      </c>
      <c r="G81" s="55">
        <v>100</v>
      </c>
      <c r="H81" s="57">
        <v>3</v>
      </c>
      <c r="I81" s="48">
        <v>6</v>
      </c>
      <c r="J81" s="48">
        <v>8</v>
      </c>
    </row>
    <row r="82" spans="1:10" ht="15.75" customHeight="1" x14ac:dyDescent="0.35">
      <c r="A82" s="55" t="s">
        <v>164</v>
      </c>
      <c r="B82" s="61" t="s">
        <v>177</v>
      </c>
      <c r="C82" s="55">
        <v>90</v>
      </c>
      <c r="D82" s="58">
        <v>1.5</v>
      </c>
      <c r="E82" s="55">
        <v>23.4</v>
      </c>
      <c r="F82" s="55">
        <v>0</v>
      </c>
      <c r="G82" s="55">
        <v>100</v>
      </c>
      <c r="H82" s="57">
        <v>3</v>
      </c>
      <c r="I82" s="48">
        <v>1</v>
      </c>
      <c r="J82" s="48">
        <v>1</v>
      </c>
    </row>
    <row r="83" spans="1:10" ht="15.75" customHeight="1" x14ac:dyDescent="0.35">
      <c r="A83" s="55" t="s">
        <v>164</v>
      </c>
      <c r="B83" s="61" t="s">
        <v>200</v>
      </c>
      <c r="C83" s="55">
        <v>91</v>
      </c>
      <c r="D83" s="58">
        <v>1.1499999999999999</v>
      </c>
      <c r="E83" s="55">
        <v>24.4</v>
      </c>
      <c r="F83" s="55">
        <v>0</v>
      </c>
      <c r="G83" s="55">
        <v>100</v>
      </c>
      <c r="H83" s="57">
        <v>5</v>
      </c>
      <c r="I83" s="48">
        <v>8</v>
      </c>
      <c r="J83" s="48">
        <v>8</v>
      </c>
    </row>
    <row r="84" spans="1:10" ht="15.75" customHeight="1" x14ac:dyDescent="0.35">
      <c r="A84" s="55" t="s">
        <v>164</v>
      </c>
      <c r="B84" s="61" t="s">
        <v>200</v>
      </c>
      <c r="C84" s="55">
        <v>94</v>
      </c>
      <c r="D84" s="58">
        <v>1.2</v>
      </c>
      <c r="E84" s="55">
        <v>24.4</v>
      </c>
      <c r="F84" s="55">
        <v>0</v>
      </c>
      <c r="G84" s="55">
        <v>100</v>
      </c>
      <c r="H84" s="57">
        <v>5</v>
      </c>
      <c r="I84" s="48">
        <v>1</v>
      </c>
      <c r="J84" s="48">
        <v>1</v>
      </c>
    </row>
    <row r="85" spans="1:10" ht="15.75" customHeight="1" x14ac:dyDescent="0.35">
      <c r="A85" s="55" t="s">
        <v>164</v>
      </c>
      <c r="B85" s="61" t="s">
        <v>200</v>
      </c>
      <c r="C85" s="55">
        <v>85</v>
      </c>
      <c r="D85" s="58">
        <v>1.3</v>
      </c>
      <c r="E85" s="55">
        <v>24.4</v>
      </c>
      <c r="F85" s="55">
        <v>0</v>
      </c>
      <c r="G85" s="55">
        <v>100</v>
      </c>
      <c r="H85" s="57">
        <v>5</v>
      </c>
      <c r="I85" s="48">
        <v>8</v>
      </c>
      <c r="J85" s="48">
        <v>8</v>
      </c>
    </row>
    <row r="86" spans="1:10" ht="15.75" customHeight="1" x14ac:dyDescent="0.35">
      <c r="A86" s="55" t="s">
        <v>164</v>
      </c>
      <c r="B86" s="61" t="s">
        <v>180</v>
      </c>
      <c r="C86" s="55">
        <v>91</v>
      </c>
      <c r="D86" s="58">
        <v>0.57999999999999996</v>
      </c>
      <c r="E86" s="55">
        <v>26.4</v>
      </c>
      <c r="F86" s="55">
        <v>0</v>
      </c>
      <c r="G86" s="55">
        <v>100</v>
      </c>
      <c r="H86" s="57">
        <v>5</v>
      </c>
      <c r="I86" s="48">
        <v>10</v>
      </c>
      <c r="J86" s="48">
        <v>10</v>
      </c>
    </row>
    <row r="87" spans="1:10" ht="15.75" customHeight="1" x14ac:dyDescent="0.35">
      <c r="A87" s="55" t="s">
        <v>164</v>
      </c>
      <c r="B87" s="61" t="s">
        <v>180</v>
      </c>
      <c r="C87" s="55">
        <v>91</v>
      </c>
      <c r="D87" s="58">
        <v>0.81</v>
      </c>
      <c r="E87" s="55">
        <v>23.28</v>
      </c>
      <c r="F87" s="55">
        <v>0</v>
      </c>
      <c r="G87" s="55">
        <v>100</v>
      </c>
      <c r="H87" s="57">
        <v>5</v>
      </c>
      <c r="I87" s="48">
        <v>5</v>
      </c>
      <c r="J87" s="48">
        <v>5</v>
      </c>
    </row>
    <row r="88" spans="1:10" ht="15.75" customHeight="1" x14ac:dyDescent="0.35">
      <c r="A88" s="55" t="s">
        <v>164</v>
      </c>
      <c r="B88" s="61" t="s">
        <v>181</v>
      </c>
      <c r="C88" s="55">
        <v>91</v>
      </c>
      <c r="D88" s="58">
        <v>0.81</v>
      </c>
      <c r="E88" s="55">
        <v>23.3</v>
      </c>
      <c r="F88" s="55">
        <v>0</v>
      </c>
      <c r="G88" s="55">
        <v>100</v>
      </c>
      <c r="H88" s="57">
        <v>3</v>
      </c>
      <c r="I88" s="48">
        <v>1</v>
      </c>
      <c r="J88" s="48">
        <v>2</v>
      </c>
    </row>
    <row r="89" spans="1:10" ht="15.75" customHeight="1" x14ac:dyDescent="0.35">
      <c r="A89" s="55" t="s">
        <v>164</v>
      </c>
      <c r="B89" s="61" t="s">
        <v>181</v>
      </c>
      <c r="C89" s="55">
        <v>99</v>
      </c>
      <c r="D89" s="58">
        <v>85.6</v>
      </c>
      <c r="E89" s="55">
        <v>28.5</v>
      </c>
      <c r="F89" s="55">
        <v>1.2</v>
      </c>
      <c r="G89" s="55">
        <v>100</v>
      </c>
      <c r="H89" s="57">
        <v>3</v>
      </c>
      <c r="I89" s="48">
        <v>1</v>
      </c>
      <c r="J89" s="48">
        <v>1</v>
      </c>
    </row>
    <row r="90" spans="1:10" ht="15.75" customHeight="1" x14ac:dyDescent="0.35">
      <c r="A90" s="55" t="s">
        <v>164</v>
      </c>
      <c r="B90" s="61" t="s">
        <v>181</v>
      </c>
      <c r="C90" s="55">
        <v>91</v>
      </c>
      <c r="D90" s="58">
        <v>13.15</v>
      </c>
      <c r="E90" s="55">
        <v>26.13</v>
      </c>
      <c r="F90" s="55">
        <v>0</v>
      </c>
      <c r="G90" s="55">
        <v>100</v>
      </c>
      <c r="H90" s="57">
        <v>3</v>
      </c>
      <c r="I90" s="48">
        <v>3</v>
      </c>
      <c r="J90" s="48">
        <v>3</v>
      </c>
    </row>
    <row r="91" spans="1:10" ht="15.75" customHeight="1" x14ac:dyDescent="0.35">
      <c r="A91" s="55" t="s">
        <v>164</v>
      </c>
      <c r="B91" s="61" t="s">
        <v>198</v>
      </c>
      <c r="C91" s="55">
        <v>75</v>
      </c>
      <c r="D91" s="58">
        <v>17.2</v>
      </c>
      <c r="E91" s="55">
        <v>28</v>
      </c>
      <c r="F91" s="55">
        <v>0</v>
      </c>
      <c r="G91" s="55">
        <v>100</v>
      </c>
      <c r="H91" s="57">
        <v>3</v>
      </c>
      <c r="I91" s="48">
        <v>2</v>
      </c>
      <c r="J91" s="48">
        <v>2</v>
      </c>
    </row>
    <row r="92" spans="1:10" s="75" customFormat="1" ht="15.75" customHeight="1" x14ac:dyDescent="0.35">
      <c r="A92" s="71" t="s">
        <v>164</v>
      </c>
      <c r="B92" s="72" t="s">
        <v>198</v>
      </c>
      <c r="C92" s="71">
        <v>93</v>
      </c>
      <c r="D92" s="73">
        <v>14.5</v>
      </c>
      <c r="E92" s="71">
        <v>28.73</v>
      </c>
      <c r="F92" s="71">
        <v>0</v>
      </c>
      <c r="G92" s="71">
        <v>100</v>
      </c>
      <c r="H92" s="74">
        <v>3</v>
      </c>
      <c r="I92" s="75">
        <v>6</v>
      </c>
      <c r="J92" s="75">
        <v>9</v>
      </c>
    </row>
    <row r="93" spans="1:10" ht="15.75" customHeight="1" x14ac:dyDescent="0.35">
      <c r="A93" s="55" t="s">
        <v>164</v>
      </c>
      <c r="B93" s="61" t="s">
        <v>198</v>
      </c>
      <c r="C93" s="55">
        <v>74</v>
      </c>
      <c r="D93" s="58">
        <v>18</v>
      </c>
      <c r="E93" s="55">
        <v>28</v>
      </c>
      <c r="F93" s="55">
        <v>0</v>
      </c>
      <c r="G93" s="55">
        <v>2</v>
      </c>
      <c r="H93" s="57">
        <v>3</v>
      </c>
      <c r="I93" s="48">
        <v>2</v>
      </c>
      <c r="J93" s="48">
        <v>2</v>
      </c>
    </row>
    <row r="94" spans="1:10" ht="15.75" customHeight="1" x14ac:dyDescent="0.35">
      <c r="A94" s="55" t="s">
        <v>164</v>
      </c>
      <c r="B94" s="61" t="s">
        <v>199</v>
      </c>
      <c r="C94" s="55">
        <v>92</v>
      </c>
      <c r="D94" s="58">
        <v>97.97</v>
      </c>
      <c r="E94" s="55">
        <v>28.73</v>
      </c>
      <c r="F94" s="55">
        <v>0.97</v>
      </c>
      <c r="G94" s="55">
        <v>100</v>
      </c>
      <c r="H94" s="57">
        <v>2</v>
      </c>
      <c r="I94" s="48">
        <v>0</v>
      </c>
      <c r="J94" s="48">
        <v>0</v>
      </c>
    </row>
    <row r="95" spans="1:10" ht="15.75" customHeight="1" x14ac:dyDescent="0.35">
      <c r="A95" s="55" t="s">
        <v>164</v>
      </c>
      <c r="B95" s="61" t="s">
        <v>199</v>
      </c>
      <c r="C95" s="55">
        <v>86.5</v>
      </c>
      <c r="D95" s="58">
        <v>33.18</v>
      </c>
      <c r="E95" s="55">
        <v>25.7</v>
      </c>
      <c r="F95" s="55">
        <v>1.2</v>
      </c>
      <c r="G95" s="55">
        <v>100</v>
      </c>
      <c r="H95" s="57">
        <v>2</v>
      </c>
      <c r="I95" s="48">
        <v>3</v>
      </c>
      <c r="J95" s="48">
        <v>6</v>
      </c>
    </row>
    <row r="96" spans="1:10" ht="15.75" customHeight="1" x14ac:dyDescent="0.35">
      <c r="A96" s="55" t="s">
        <v>164</v>
      </c>
      <c r="B96" s="61" t="s">
        <v>199</v>
      </c>
      <c r="C96" s="55">
        <v>70</v>
      </c>
      <c r="D96" s="58">
        <v>5.91</v>
      </c>
      <c r="E96" s="55">
        <v>20.5</v>
      </c>
      <c r="F96" s="55">
        <v>1.5</v>
      </c>
      <c r="G96" s="55">
        <v>2</v>
      </c>
      <c r="H96" s="57">
        <v>2</v>
      </c>
      <c r="I96" s="48">
        <v>3</v>
      </c>
      <c r="J96" s="48">
        <v>3</v>
      </c>
    </row>
    <row r="97" spans="1:10" ht="15.75" customHeight="1" x14ac:dyDescent="0.35">
      <c r="A97" s="55" t="s">
        <v>164</v>
      </c>
      <c r="B97" s="61" t="s">
        <v>183</v>
      </c>
      <c r="C97" s="55">
        <v>89</v>
      </c>
      <c r="D97" s="58">
        <v>7.61</v>
      </c>
      <c r="E97" s="55">
        <v>23.8</v>
      </c>
      <c r="F97" s="55">
        <v>0.75</v>
      </c>
      <c r="G97" s="55">
        <v>100</v>
      </c>
      <c r="H97" s="57">
        <v>3</v>
      </c>
      <c r="I97" s="48">
        <v>5</v>
      </c>
      <c r="J97" s="48">
        <v>10</v>
      </c>
    </row>
    <row r="98" spans="1:10" ht="15.75" customHeight="1" x14ac:dyDescent="0.35">
      <c r="A98" s="55" t="s">
        <v>164</v>
      </c>
      <c r="B98" s="61" t="s">
        <v>183</v>
      </c>
      <c r="C98" s="55">
        <v>81</v>
      </c>
      <c r="D98" s="58">
        <v>5.23</v>
      </c>
      <c r="E98" s="55">
        <v>27.03</v>
      </c>
      <c r="F98" s="55">
        <v>0</v>
      </c>
      <c r="G98" s="55">
        <v>100</v>
      </c>
      <c r="H98" s="57">
        <v>3</v>
      </c>
      <c r="I98" s="48">
        <v>4</v>
      </c>
      <c r="J98" s="48">
        <v>5</v>
      </c>
    </row>
    <row r="99" spans="1:10" ht="15.75" customHeight="1" x14ac:dyDescent="0.35">
      <c r="A99" s="55" t="s">
        <v>164</v>
      </c>
      <c r="B99" s="61" t="s">
        <v>185</v>
      </c>
      <c r="C99" s="55">
        <v>88</v>
      </c>
      <c r="D99" s="58">
        <v>24.87</v>
      </c>
      <c r="E99" s="55">
        <v>23.25</v>
      </c>
      <c r="F99" s="55">
        <v>0.45</v>
      </c>
      <c r="G99" s="55">
        <v>100</v>
      </c>
      <c r="H99" s="57">
        <v>1</v>
      </c>
      <c r="I99" s="48">
        <v>1</v>
      </c>
      <c r="J99" s="48">
        <v>1</v>
      </c>
    </row>
    <row r="100" spans="1:10" ht="15.75" customHeight="1" x14ac:dyDescent="0.35">
      <c r="A100" s="55" t="s">
        <v>164</v>
      </c>
      <c r="B100" s="61" t="s">
        <v>185</v>
      </c>
      <c r="C100" s="55">
        <v>72</v>
      </c>
      <c r="D100" s="58">
        <v>4.6399999999999997</v>
      </c>
      <c r="E100" s="55">
        <v>24.9</v>
      </c>
      <c r="F100" s="55">
        <v>3.17</v>
      </c>
      <c r="G100" s="55">
        <v>100</v>
      </c>
      <c r="H100" s="57">
        <v>1</v>
      </c>
      <c r="I100" s="48">
        <v>2</v>
      </c>
      <c r="J100" s="48">
        <v>4</v>
      </c>
    </row>
    <row r="101" spans="1:10" ht="15.75" customHeight="1" x14ac:dyDescent="0.35">
      <c r="A101" s="55" t="s">
        <v>164</v>
      </c>
      <c r="B101" s="61" t="s">
        <v>186</v>
      </c>
      <c r="C101" s="55">
        <v>86</v>
      </c>
      <c r="D101" s="58">
        <v>0.14000000000000001</v>
      </c>
      <c r="E101" s="55">
        <v>18.55</v>
      </c>
      <c r="F101" s="55">
        <v>0</v>
      </c>
      <c r="G101" s="55">
        <v>100</v>
      </c>
      <c r="H101" s="57">
        <v>6</v>
      </c>
      <c r="I101" s="48">
        <v>5</v>
      </c>
      <c r="J101" s="48">
        <v>5</v>
      </c>
    </row>
    <row r="102" spans="1:10" ht="15.75" customHeight="1" x14ac:dyDescent="0.35">
      <c r="A102" s="55" t="s">
        <v>164</v>
      </c>
      <c r="B102" s="61" t="s">
        <v>186</v>
      </c>
      <c r="C102" s="55">
        <v>87</v>
      </c>
      <c r="D102" s="58">
        <v>0.15</v>
      </c>
      <c r="E102" s="55">
        <v>15.2</v>
      </c>
      <c r="F102" s="55">
        <v>0</v>
      </c>
      <c r="G102" s="55">
        <v>100</v>
      </c>
      <c r="H102" s="57">
        <v>6</v>
      </c>
      <c r="I102" s="48">
        <v>3</v>
      </c>
      <c r="J102" s="48">
        <v>3</v>
      </c>
    </row>
    <row r="103" spans="1:10" ht="15.75" customHeight="1" x14ac:dyDescent="0.35">
      <c r="A103" s="55" t="s">
        <v>164</v>
      </c>
      <c r="B103" s="61" t="s">
        <v>186</v>
      </c>
      <c r="C103" s="55">
        <v>83</v>
      </c>
      <c r="D103" s="58">
        <v>0.20499999999999999</v>
      </c>
      <c r="E103" s="55">
        <v>24.8</v>
      </c>
      <c r="F103" s="55">
        <v>0</v>
      </c>
      <c r="G103" s="55">
        <v>100</v>
      </c>
      <c r="H103" s="57">
        <v>6</v>
      </c>
      <c r="I103" s="48">
        <v>0</v>
      </c>
      <c r="J103" s="48">
        <v>0</v>
      </c>
    </row>
    <row r="104" spans="1:10" ht="15.75" customHeight="1" x14ac:dyDescent="0.35">
      <c r="A104" s="55" t="s">
        <v>168</v>
      </c>
      <c r="B104" s="55" t="s">
        <v>176</v>
      </c>
      <c r="C104" s="55">
        <v>92</v>
      </c>
      <c r="D104" s="58">
        <v>0.14000000000000001</v>
      </c>
      <c r="E104" s="55">
        <v>22.5</v>
      </c>
      <c r="F104" s="55">
        <v>0</v>
      </c>
      <c r="G104" s="55">
        <v>100</v>
      </c>
      <c r="H104" s="57">
        <v>4</v>
      </c>
      <c r="I104" s="48">
        <v>6</v>
      </c>
      <c r="J104" s="48">
        <v>11</v>
      </c>
    </row>
    <row r="105" spans="1:10" ht="15.75" customHeight="1" x14ac:dyDescent="0.35">
      <c r="A105" s="55" t="s">
        <v>168</v>
      </c>
      <c r="B105" s="55" t="s">
        <v>176</v>
      </c>
      <c r="C105" s="55">
        <v>92</v>
      </c>
      <c r="D105" s="58">
        <v>0.14000000000000001</v>
      </c>
      <c r="E105" s="55">
        <v>22.5</v>
      </c>
      <c r="F105" s="55">
        <v>0</v>
      </c>
      <c r="G105" s="55">
        <v>60</v>
      </c>
      <c r="H105" s="57">
        <v>4</v>
      </c>
      <c r="I105" s="48">
        <v>1</v>
      </c>
      <c r="J105" s="48">
        <v>2</v>
      </c>
    </row>
    <row r="106" spans="1:10" ht="15.75" customHeight="1" x14ac:dyDescent="0.35">
      <c r="A106" s="55" t="s">
        <v>168</v>
      </c>
      <c r="B106" s="55" t="s">
        <v>177</v>
      </c>
      <c r="C106" s="55">
        <v>97</v>
      </c>
      <c r="D106" s="58">
        <v>4.5999999999999996</v>
      </c>
      <c r="E106" s="55">
        <v>24.3</v>
      </c>
      <c r="F106" s="55">
        <v>0</v>
      </c>
      <c r="G106" s="55">
        <v>100</v>
      </c>
      <c r="H106" s="57">
        <v>3</v>
      </c>
      <c r="I106" s="48">
        <v>17</v>
      </c>
      <c r="J106" s="48">
        <v>24</v>
      </c>
    </row>
    <row r="107" spans="1:10" ht="15.75" customHeight="1" x14ac:dyDescent="0.35">
      <c r="A107" s="55" t="s">
        <v>168</v>
      </c>
      <c r="B107" s="55" t="s">
        <v>200</v>
      </c>
      <c r="C107" s="55">
        <v>99</v>
      </c>
      <c r="D107" s="58">
        <v>24.2</v>
      </c>
      <c r="E107" s="55">
        <v>26.1</v>
      </c>
      <c r="F107" s="55">
        <v>0</v>
      </c>
      <c r="G107" s="55">
        <v>60</v>
      </c>
      <c r="H107" s="57">
        <v>5</v>
      </c>
      <c r="I107" s="48">
        <v>1</v>
      </c>
      <c r="J107" s="48">
        <v>1</v>
      </c>
    </row>
    <row r="108" spans="1:10" ht="15.75" customHeight="1" x14ac:dyDescent="0.35">
      <c r="A108" s="55" t="s">
        <v>168</v>
      </c>
      <c r="B108" s="55" t="s">
        <v>200</v>
      </c>
      <c r="C108" s="55">
        <v>99</v>
      </c>
      <c r="D108" s="58">
        <v>24.2</v>
      </c>
      <c r="E108" s="55">
        <v>26.1</v>
      </c>
      <c r="F108" s="55">
        <v>0</v>
      </c>
      <c r="G108" s="55">
        <v>35</v>
      </c>
      <c r="H108" s="57">
        <v>5</v>
      </c>
      <c r="I108" s="48">
        <v>11</v>
      </c>
      <c r="J108" s="48">
        <v>11</v>
      </c>
    </row>
    <row r="109" spans="1:10" ht="15.75" customHeight="1" x14ac:dyDescent="0.35">
      <c r="A109" s="55" t="s">
        <v>168</v>
      </c>
      <c r="B109" s="55" t="s">
        <v>200</v>
      </c>
      <c r="C109" s="55">
        <v>84</v>
      </c>
      <c r="D109" s="58">
        <v>0.17</v>
      </c>
      <c r="E109" s="55">
        <v>24</v>
      </c>
      <c r="F109" s="55">
        <v>0</v>
      </c>
      <c r="G109" s="55">
        <v>100</v>
      </c>
      <c r="H109" s="57">
        <v>5</v>
      </c>
      <c r="I109" s="48">
        <v>2</v>
      </c>
      <c r="J109" s="48">
        <v>2</v>
      </c>
    </row>
    <row r="110" spans="1:10" ht="15.75" customHeight="1" x14ac:dyDescent="0.35">
      <c r="A110" s="55" t="s">
        <v>168</v>
      </c>
      <c r="B110" s="55" t="s">
        <v>180</v>
      </c>
      <c r="C110" s="55">
        <v>97</v>
      </c>
      <c r="D110" s="58">
        <v>1.08</v>
      </c>
      <c r="E110" s="55">
        <v>25.4</v>
      </c>
      <c r="F110" s="55">
        <v>0</v>
      </c>
      <c r="G110" s="55">
        <v>100</v>
      </c>
      <c r="H110" s="57">
        <v>5</v>
      </c>
      <c r="I110" s="48">
        <v>6</v>
      </c>
      <c r="J110" s="48">
        <v>8</v>
      </c>
    </row>
    <row r="111" spans="1:10" ht="15.75" customHeight="1" x14ac:dyDescent="0.35">
      <c r="A111" s="55" t="s">
        <v>168</v>
      </c>
      <c r="B111" s="55" t="s">
        <v>180</v>
      </c>
      <c r="C111" s="55">
        <v>97</v>
      </c>
      <c r="D111" s="58">
        <v>1.08</v>
      </c>
      <c r="E111" s="55">
        <v>25.4</v>
      </c>
      <c r="F111" s="55">
        <v>0</v>
      </c>
      <c r="G111" s="55">
        <v>65</v>
      </c>
      <c r="H111" s="57">
        <v>5</v>
      </c>
      <c r="I111" s="48">
        <v>9</v>
      </c>
      <c r="J111" s="48">
        <v>9</v>
      </c>
    </row>
    <row r="112" spans="1:10" ht="15.75" customHeight="1" x14ac:dyDescent="0.35">
      <c r="A112" s="55" t="s">
        <v>168</v>
      </c>
      <c r="B112" s="48" t="s">
        <v>180</v>
      </c>
      <c r="C112" s="48">
        <v>80</v>
      </c>
      <c r="D112" s="76">
        <v>0.04</v>
      </c>
      <c r="E112" s="48">
        <v>25.3</v>
      </c>
      <c r="F112" s="48">
        <v>0</v>
      </c>
      <c r="G112" s="48">
        <v>100</v>
      </c>
      <c r="H112" s="49">
        <v>5</v>
      </c>
      <c r="I112" s="48">
        <v>0</v>
      </c>
      <c r="J112" s="48">
        <v>0</v>
      </c>
    </row>
    <row r="113" spans="1:10" ht="15.75" customHeight="1" x14ac:dyDescent="0.35">
      <c r="A113" s="55" t="s">
        <v>168</v>
      </c>
      <c r="B113" s="48" t="s">
        <v>181</v>
      </c>
      <c r="C113" s="48">
        <v>87</v>
      </c>
      <c r="D113" s="76">
        <v>9.8000000000000007</v>
      </c>
      <c r="E113" s="48">
        <v>34.5</v>
      </c>
      <c r="F113" s="48">
        <v>0</v>
      </c>
      <c r="G113" s="48">
        <v>90</v>
      </c>
      <c r="H113" s="49">
        <v>3</v>
      </c>
      <c r="I113" s="48">
        <v>4</v>
      </c>
      <c r="J113" s="48">
        <v>4</v>
      </c>
    </row>
    <row r="114" spans="1:10" ht="15.75" customHeight="1" x14ac:dyDescent="0.35">
      <c r="A114" s="55" t="s">
        <v>168</v>
      </c>
      <c r="B114" s="48" t="s">
        <v>181</v>
      </c>
      <c r="C114" s="48">
        <v>87</v>
      </c>
      <c r="D114" s="76">
        <v>9.8000000000000007</v>
      </c>
      <c r="E114" s="48">
        <v>34.5</v>
      </c>
      <c r="F114" s="48">
        <v>0</v>
      </c>
      <c r="G114" s="48">
        <v>0</v>
      </c>
      <c r="H114" s="49">
        <v>3</v>
      </c>
      <c r="I114" s="48">
        <v>3</v>
      </c>
      <c r="J114" s="48">
        <v>3</v>
      </c>
    </row>
    <row r="115" spans="1:10" ht="15.75" customHeight="1" x14ac:dyDescent="0.35">
      <c r="A115" s="55" t="s">
        <v>168</v>
      </c>
      <c r="B115" s="48" t="s">
        <v>181</v>
      </c>
      <c r="C115" s="48">
        <v>80</v>
      </c>
      <c r="D115" s="76">
        <v>1.5</v>
      </c>
      <c r="E115" s="48">
        <v>26.9</v>
      </c>
      <c r="F115" s="48">
        <v>0</v>
      </c>
      <c r="G115" s="48">
        <v>100</v>
      </c>
      <c r="H115" s="49">
        <v>3</v>
      </c>
      <c r="I115" s="48">
        <v>3</v>
      </c>
      <c r="J115" s="48">
        <v>4</v>
      </c>
    </row>
    <row r="116" spans="1:10" ht="15.75" customHeight="1" x14ac:dyDescent="0.35">
      <c r="A116" s="55" t="s">
        <v>168</v>
      </c>
      <c r="B116" s="48" t="s">
        <v>198</v>
      </c>
      <c r="C116" s="48">
        <v>81</v>
      </c>
      <c r="D116" s="76">
        <v>36.6</v>
      </c>
      <c r="E116" s="48">
        <v>31.4</v>
      </c>
      <c r="F116" s="48">
        <v>0.8</v>
      </c>
      <c r="G116" s="48">
        <v>96</v>
      </c>
      <c r="H116" s="49">
        <v>3</v>
      </c>
      <c r="I116" s="48">
        <v>7</v>
      </c>
      <c r="J116" s="48">
        <v>7</v>
      </c>
    </row>
    <row r="117" spans="1:10" ht="15.75" customHeight="1" x14ac:dyDescent="0.35">
      <c r="A117" s="55" t="s">
        <v>168</v>
      </c>
      <c r="B117" s="48" t="s">
        <v>198</v>
      </c>
      <c r="C117" s="48">
        <v>79</v>
      </c>
      <c r="D117" s="76">
        <v>13.35</v>
      </c>
      <c r="E117" s="48">
        <v>29.2</v>
      </c>
      <c r="F117" s="48">
        <v>0</v>
      </c>
      <c r="G117" s="48">
        <v>100</v>
      </c>
      <c r="H117" s="49">
        <v>3</v>
      </c>
      <c r="I117" s="48">
        <v>2</v>
      </c>
      <c r="J117" s="48">
        <v>2</v>
      </c>
    </row>
    <row r="118" spans="1:10" ht="15.75" customHeight="1" x14ac:dyDescent="0.35">
      <c r="A118" s="55" t="s">
        <v>168</v>
      </c>
      <c r="B118" s="48" t="s">
        <v>199</v>
      </c>
      <c r="C118" s="48">
        <v>92</v>
      </c>
      <c r="D118" s="76">
        <v>15.6</v>
      </c>
      <c r="E118" s="48">
        <v>23.5</v>
      </c>
      <c r="F118" s="48">
        <v>0.7</v>
      </c>
      <c r="G118" s="48">
        <v>2</v>
      </c>
      <c r="H118" s="49">
        <v>2</v>
      </c>
      <c r="I118" s="48">
        <v>1</v>
      </c>
      <c r="J118" s="48">
        <v>1</v>
      </c>
    </row>
    <row r="119" spans="1:10" ht="15.75" customHeight="1" x14ac:dyDescent="0.35">
      <c r="A119" s="55" t="s">
        <v>168</v>
      </c>
      <c r="B119" s="48" t="s">
        <v>199</v>
      </c>
      <c r="C119" s="48">
        <v>79</v>
      </c>
      <c r="D119" s="76">
        <v>7.6</v>
      </c>
      <c r="E119" s="48">
        <v>25.4</v>
      </c>
      <c r="F119" s="48">
        <v>0</v>
      </c>
      <c r="G119" s="48">
        <v>100</v>
      </c>
      <c r="H119" s="49">
        <v>2</v>
      </c>
      <c r="I119" s="48">
        <v>2</v>
      </c>
      <c r="J119" s="48">
        <v>5</v>
      </c>
    </row>
    <row r="120" spans="1:10" ht="15.75" customHeight="1" x14ac:dyDescent="0.35">
      <c r="A120" s="55" t="s">
        <v>168</v>
      </c>
      <c r="B120" s="48" t="s">
        <v>183</v>
      </c>
      <c r="C120" s="48">
        <v>89</v>
      </c>
      <c r="D120" s="76">
        <v>1.1000000000000001</v>
      </c>
      <c r="E120" s="48">
        <v>22.3</v>
      </c>
      <c r="F120" s="48">
        <v>0</v>
      </c>
      <c r="G120" s="48">
        <v>2</v>
      </c>
      <c r="H120" s="49">
        <v>3</v>
      </c>
      <c r="I120" s="48">
        <v>7</v>
      </c>
      <c r="J120" s="48">
        <v>10</v>
      </c>
    </row>
    <row r="121" spans="1:10" ht="15.75" customHeight="1" x14ac:dyDescent="0.35">
      <c r="A121" s="55" t="s">
        <v>168</v>
      </c>
      <c r="B121" s="48" t="s">
        <v>183</v>
      </c>
      <c r="C121" s="48">
        <v>89</v>
      </c>
      <c r="D121" s="76">
        <v>1</v>
      </c>
      <c r="E121" s="48">
        <v>22.2</v>
      </c>
      <c r="F121" s="48">
        <v>0</v>
      </c>
      <c r="G121" s="48">
        <v>100</v>
      </c>
      <c r="H121" s="49">
        <v>3</v>
      </c>
      <c r="I121" s="48">
        <v>4</v>
      </c>
      <c r="J121" s="48">
        <v>4</v>
      </c>
    </row>
    <row r="122" spans="1:10" ht="15.75" customHeight="1" x14ac:dyDescent="0.35">
      <c r="A122" s="55" t="s">
        <v>168</v>
      </c>
      <c r="B122" s="48" t="s">
        <v>183</v>
      </c>
      <c r="C122" s="48">
        <v>72</v>
      </c>
      <c r="D122" s="48">
        <v>0.75</v>
      </c>
      <c r="E122" s="48">
        <v>25</v>
      </c>
      <c r="F122" s="48">
        <v>0.9</v>
      </c>
      <c r="G122" s="48">
        <v>100</v>
      </c>
      <c r="H122" s="49">
        <v>3</v>
      </c>
      <c r="I122" s="48">
        <v>2</v>
      </c>
      <c r="J122" s="48">
        <v>3</v>
      </c>
    </row>
    <row r="123" spans="1:10" ht="15.75" customHeight="1" x14ac:dyDescent="0.35">
      <c r="A123" s="55" t="s">
        <v>168</v>
      </c>
      <c r="B123" s="48" t="s">
        <v>185</v>
      </c>
      <c r="C123" s="48">
        <v>60</v>
      </c>
      <c r="D123" s="76">
        <v>44</v>
      </c>
      <c r="E123" s="48">
        <v>32.6</v>
      </c>
      <c r="F123" s="48">
        <v>0</v>
      </c>
      <c r="G123" s="48">
        <v>85</v>
      </c>
      <c r="H123" s="49">
        <v>1</v>
      </c>
      <c r="I123" s="48">
        <v>2</v>
      </c>
      <c r="J123" s="48">
        <v>4</v>
      </c>
    </row>
    <row r="124" spans="1:10" ht="15.75" customHeight="1" x14ac:dyDescent="0.35">
      <c r="A124" s="55" t="s">
        <v>168</v>
      </c>
      <c r="B124" s="48" t="s">
        <v>185</v>
      </c>
      <c r="C124" s="48">
        <v>79</v>
      </c>
      <c r="D124" s="76">
        <v>39.200000000000003</v>
      </c>
      <c r="E124" s="48">
        <v>31.4</v>
      </c>
      <c r="F124" s="48">
        <v>0</v>
      </c>
      <c r="G124" s="48">
        <v>100</v>
      </c>
      <c r="H124" s="49">
        <v>1</v>
      </c>
      <c r="I124" s="48">
        <v>0</v>
      </c>
      <c r="J124" s="48">
        <v>0</v>
      </c>
    </row>
    <row r="125" spans="1:10" ht="15.75" customHeight="1" x14ac:dyDescent="0.35">
      <c r="A125" s="55" t="s">
        <v>168</v>
      </c>
      <c r="B125" s="48" t="s">
        <v>186</v>
      </c>
      <c r="C125" s="48">
        <v>76</v>
      </c>
      <c r="D125" s="76">
        <v>1.53</v>
      </c>
      <c r="E125" s="48">
        <v>25.4</v>
      </c>
      <c r="F125" s="48">
        <v>0</v>
      </c>
      <c r="G125" s="48">
        <v>100</v>
      </c>
      <c r="H125" s="49">
        <v>6</v>
      </c>
      <c r="I125" s="48">
        <v>4</v>
      </c>
      <c r="J125" s="48">
        <v>5</v>
      </c>
    </row>
    <row r="126" spans="1:10" ht="15.75" customHeight="1" x14ac:dyDescent="0.35">
      <c r="A126" s="48" t="s">
        <v>172</v>
      </c>
      <c r="B126" s="48" t="s">
        <v>176</v>
      </c>
      <c r="C126" s="48">
        <v>81</v>
      </c>
      <c r="D126" s="76">
        <v>1.6</v>
      </c>
      <c r="E126" s="48">
        <v>26.5</v>
      </c>
      <c r="F126" s="48">
        <v>0</v>
      </c>
      <c r="G126" s="48">
        <v>30</v>
      </c>
      <c r="H126" s="49">
        <v>4</v>
      </c>
      <c r="I126" s="48">
        <v>12</v>
      </c>
      <c r="J126" s="48">
        <v>18</v>
      </c>
    </row>
    <row r="127" spans="1:10" ht="15.75" customHeight="1" x14ac:dyDescent="0.35">
      <c r="A127" s="48" t="s">
        <v>172</v>
      </c>
      <c r="B127" s="48" t="s">
        <v>177</v>
      </c>
      <c r="C127" s="48">
        <v>96</v>
      </c>
      <c r="D127" s="76">
        <v>1.1299999999999999</v>
      </c>
      <c r="E127" s="48">
        <v>26.4</v>
      </c>
      <c r="F127" s="48">
        <v>0</v>
      </c>
      <c r="G127" s="48">
        <v>100</v>
      </c>
      <c r="H127" s="49">
        <v>3</v>
      </c>
      <c r="I127" s="48">
        <v>5</v>
      </c>
      <c r="J127" s="48">
        <v>5</v>
      </c>
    </row>
    <row r="128" spans="1:10" ht="15.75" customHeight="1" x14ac:dyDescent="0.35">
      <c r="A128" s="48" t="s">
        <v>172</v>
      </c>
      <c r="B128" s="48" t="s">
        <v>200</v>
      </c>
      <c r="C128" s="48">
        <v>99</v>
      </c>
      <c r="D128" s="76">
        <v>0.28000000000000003</v>
      </c>
      <c r="E128" s="48">
        <v>23.5</v>
      </c>
      <c r="F128" s="48">
        <v>0</v>
      </c>
      <c r="G128" s="48">
        <v>100</v>
      </c>
      <c r="H128" s="49">
        <v>5</v>
      </c>
      <c r="I128" s="48">
        <v>7</v>
      </c>
      <c r="J128" s="48">
        <v>10</v>
      </c>
    </row>
    <row r="129" spans="1:10" ht="15.75" customHeight="1" x14ac:dyDescent="0.35">
      <c r="A129" s="48" t="s">
        <v>172</v>
      </c>
      <c r="B129" s="48" t="s">
        <v>180</v>
      </c>
      <c r="C129" s="48">
        <v>96</v>
      </c>
      <c r="D129" s="76">
        <v>0.64</v>
      </c>
      <c r="E129" s="48">
        <v>24.9</v>
      </c>
      <c r="F129" s="48">
        <v>0</v>
      </c>
      <c r="G129" s="48">
        <v>100</v>
      </c>
      <c r="H129" s="49">
        <v>5</v>
      </c>
      <c r="I129" s="48">
        <v>9</v>
      </c>
      <c r="J129" s="48">
        <v>9</v>
      </c>
    </row>
    <row r="130" spans="1:10" ht="15.75" customHeight="1" x14ac:dyDescent="0.35">
      <c r="A130" s="48" t="s">
        <v>172</v>
      </c>
      <c r="B130" s="48" t="s">
        <v>181</v>
      </c>
      <c r="C130" s="48">
        <v>98</v>
      </c>
      <c r="D130" s="76">
        <v>2.2799999999999998</v>
      </c>
      <c r="E130" s="48">
        <v>23.7</v>
      </c>
      <c r="F130" s="48">
        <v>0</v>
      </c>
      <c r="G130" s="48">
        <v>100</v>
      </c>
      <c r="H130" s="49">
        <v>3</v>
      </c>
      <c r="I130" s="48">
        <v>4</v>
      </c>
      <c r="J130" s="48">
        <v>4</v>
      </c>
    </row>
    <row r="131" spans="1:10" ht="15.75" customHeight="1" x14ac:dyDescent="0.35">
      <c r="A131" s="48" t="s">
        <v>172</v>
      </c>
      <c r="B131" s="48" t="s">
        <v>198</v>
      </c>
      <c r="C131" s="48">
        <v>99</v>
      </c>
      <c r="D131" s="76">
        <v>7.2350000000000003</v>
      </c>
      <c r="E131" s="48">
        <v>24.6</v>
      </c>
      <c r="F131" s="48">
        <v>1.4</v>
      </c>
      <c r="G131" s="48">
        <v>100</v>
      </c>
      <c r="H131" s="49">
        <v>3</v>
      </c>
      <c r="I131" s="48">
        <v>10</v>
      </c>
      <c r="J131" s="48">
        <v>16</v>
      </c>
    </row>
    <row r="132" spans="1:10" ht="15.75" customHeight="1" x14ac:dyDescent="0.35">
      <c r="A132" s="48" t="s">
        <v>172</v>
      </c>
      <c r="B132" s="48" t="s">
        <v>199</v>
      </c>
      <c r="C132" s="48">
        <v>78</v>
      </c>
      <c r="D132" s="76">
        <v>17.850000000000001</v>
      </c>
      <c r="E132" s="48">
        <v>26.8</v>
      </c>
      <c r="F132" s="48">
        <v>0.7</v>
      </c>
      <c r="G132" s="48">
        <v>100</v>
      </c>
      <c r="H132" s="49">
        <v>2</v>
      </c>
      <c r="I132" s="48">
        <v>3</v>
      </c>
      <c r="J132" s="48">
        <v>3</v>
      </c>
    </row>
    <row r="133" spans="1:10" ht="15.75" customHeight="1" x14ac:dyDescent="0.35">
      <c r="A133" s="48" t="s">
        <v>172</v>
      </c>
      <c r="B133" s="48" t="s">
        <v>183</v>
      </c>
      <c r="C133" s="48">
        <v>92</v>
      </c>
      <c r="D133" s="76">
        <v>44.68</v>
      </c>
      <c r="E133" s="48">
        <v>23.2</v>
      </c>
      <c r="F133" s="48">
        <v>0.6</v>
      </c>
      <c r="G133" s="48">
        <v>0</v>
      </c>
      <c r="H133" s="49">
        <v>3</v>
      </c>
      <c r="I133" s="48">
        <v>8</v>
      </c>
      <c r="J133" s="48">
        <v>9</v>
      </c>
    </row>
    <row r="134" spans="1:10" ht="15.75" customHeight="1" x14ac:dyDescent="0.35">
      <c r="A134" s="48" t="s">
        <v>172</v>
      </c>
      <c r="B134" s="48" t="s">
        <v>183</v>
      </c>
      <c r="C134" s="48">
        <v>84</v>
      </c>
      <c r="D134" s="76">
        <v>0.5</v>
      </c>
      <c r="E134" s="48">
        <v>25.9</v>
      </c>
      <c r="F134" s="48">
        <v>0</v>
      </c>
      <c r="G134" s="48">
        <v>100</v>
      </c>
      <c r="H134" s="49">
        <v>3</v>
      </c>
      <c r="I134" s="48">
        <v>4</v>
      </c>
      <c r="J134" s="48">
        <v>4</v>
      </c>
    </row>
    <row r="135" spans="1:10" ht="15.75" customHeight="1" x14ac:dyDescent="0.35">
      <c r="A135" s="48" t="s">
        <v>172</v>
      </c>
      <c r="B135" s="48" t="s">
        <v>186</v>
      </c>
      <c r="C135" s="48">
        <v>83</v>
      </c>
      <c r="D135" s="76">
        <v>1.1299999999999999</v>
      </c>
      <c r="E135" s="48">
        <v>25.5</v>
      </c>
      <c r="F135" s="48">
        <v>0</v>
      </c>
      <c r="G135" s="48">
        <v>100</v>
      </c>
      <c r="H135" s="49">
        <v>6</v>
      </c>
      <c r="I135" s="48">
        <v>9</v>
      </c>
      <c r="J135" s="48">
        <v>19</v>
      </c>
    </row>
    <row r="136" spans="1:10" ht="15.75" customHeight="1" x14ac:dyDescent="0.35">
      <c r="D136" s="76"/>
    </row>
    <row r="137" spans="1:10" ht="15.75" customHeight="1" x14ac:dyDescent="0.35">
      <c r="D137" s="76"/>
    </row>
    <row r="138" spans="1:10" ht="15.75" customHeight="1" x14ac:dyDescent="0.35">
      <c r="D138" s="76"/>
    </row>
    <row r="139" spans="1:10" ht="15.75" customHeight="1" x14ac:dyDescent="0.35">
      <c r="D139" s="76"/>
    </row>
    <row r="140" spans="1:10" ht="15.75" customHeight="1" x14ac:dyDescent="0.35">
      <c r="D140" s="76"/>
    </row>
    <row r="141" spans="1:10" ht="15.75" customHeight="1" x14ac:dyDescent="0.35">
      <c r="D141" s="76"/>
    </row>
    <row r="142" spans="1:10" ht="15.75" customHeight="1" x14ac:dyDescent="0.35">
      <c r="D142" s="76"/>
    </row>
    <row r="143" spans="1:10" ht="15.75" customHeight="1" x14ac:dyDescent="0.35">
      <c r="D143" s="76"/>
    </row>
    <row r="144" spans="1:10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>
      <c r="D169" s="76"/>
    </row>
    <row r="170" spans="4:4" ht="15.75" customHeight="1" x14ac:dyDescent="0.35">
      <c r="D170" s="76"/>
    </row>
    <row r="171" spans="4:4" ht="15.75" customHeight="1" x14ac:dyDescent="0.35">
      <c r="D171" s="76"/>
    </row>
    <row r="172" spans="4:4" ht="15.75" customHeight="1" x14ac:dyDescent="0.35">
      <c r="D172" s="76"/>
    </row>
    <row r="173" spans="4:4" ht="15.75" customHeight="1" x14ac:dyDescent="0.35">
      <c r="D173" s="76"/>
    </row>
    <row r="174" spans="4:4" ht="15.75" customHeight="1" x14ac:dyDescent="0.35">
      <c r="D174" s="76"/>
    </row>
    <row r="175" spans="4:4" ht="15.75" customHeight="1" x14ac:dyDescent="0.35">
      <c r="D175" s="76"/>
    </row>
    <row r="176" spans="4:4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5"/>
  <sheetViews>
    <sheetView topLeftCell="A2" zoomScale="80" workbookViewId="0">
      <selection activeCell="N21" sqref="N21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237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3" t="s">
        <v>21</v>
      </c>
      <c r="I2" s="48" t="s">
        <v>174</v>
      </c>
      <c r="J2" s="48" t="s">
        <v>175</v>
      </c>
    </row>
    <row r="3" spans="1:10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5"/>
      <c r="H3" s="57">
        <v>3</v>
      </c>
      <c r="I3" s="48">
        <v>7</v>
      </c>
      <c r="J3" s="48">
        <v>14</v>
      </c>
    </row>
    <row r="4" spans="1:10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5"/>
      <c r="H4" s="57">
        <v>5</v>
      </c>
      <c r="I4" s="48">
        <v>3</v>
      </c>
      <c r="J4" s="48">
        <v>3</v>
      </c>
    </row>
    <row r="5" spans="1:10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5"/>
      <c r="H5" s="57">
        <v>5</v>
      </c>
      <c r="I5" s="48">
        <v>1</v>
      </c>
      <c r="J5" s="48">
        <v>1</v>
      </c>
    </row>
    <row r="6" spans="1:10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5"/>
      <c r="H6" s="57">
        <v>5</v>
      </c>
      <c r="I6" s="48">
        <v>1</v>
      </c>
      <c r="J6" s="48">
        <v>1</v>
      </c>
    </row>
    <row r="7" spans="1:10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5"/>
      <c r="H7" s="57">
        <v>5</v>
      </c>
      <c r="I7" s="48">
        <v>2</v>
      </c>
      <c r="J7" s="48">
        <v>2</v>
      </c>
    </row>
    <row r="8" spans="1:10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5"/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5"/>
      <c r="H9" s="57">
        <v>5</v>
      </c>
      <c r="I9" s="48">
        <v>3</v>
      </c>
      <c r="J9" s="48">
        <v>3</v>
      </c>
    </row>
    <row r="10" spans="1:10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5"/>
      <c r="H10" s="57">
        <v>5</v>
      </c>
      <c r="I10" s="48">
        <v>1</v>
      </c>
      <c r="J10" s="48">
        <v>1</v>
      </c>
    </row>
    <row r="11" spans="1:10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5"/>
      <c r="H11" s="57">
        <v>5</v>
      </c>
      <c r="I11" s="48">
        <v>3</v>
      </c>
      <c r="J11" s="48">
        <v>3</v>
      </c>
    </row>
    <row r="12" spans="1:10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5"/>
      <c r="H12" s="57">
        <v>5</v>
      </c>
      <c r="I12" s="48">
        <v>3</v>
      </c>
      <c r="J12" s="48">
        <v>3</v>
      </c>
    </row>
    <row r="13" spans="1:10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5"/>
      <c r="H13" s="57">
        <v>5</v>
      </c>
      <c r="I13" s="48">
        <v>1</v>
      </c>
      <c r="J13" s="48">
        <v>1</v>
      </c>
    </row>
    <row r="14" spans="1:10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5"/>
      <c r="H14" s="57">
        <v>3</v>
      </c>
      <c r="I14" s="48">
        <v>3</v>
      </c>
      <c r="J14" s="48">
        <v>3</v>
      </c>
    </row>
    <row r="15" spans="1:10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5"/>
      <c r="H15" s="57">
        <v>3</v>
      </c>
      <c r="I15" s="48">
        <v>3</v>
      </c>
      <c r="J15" s="48">
        <v>3</v>
      </c>
    </row>
    <row r="16" spans="1:10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5"/>
      <c r="H16" s="57">
        <v>3</v>
      </c>
      <c r="I16" s="48">
        <v>2</v>
      </c>
      <c r="J16" s="48">
        <v>2</v>
      </c>
    </row>
    <row r="17" spans="1:10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5"/>
      <c r="H17" s="57">
        <v>3</v>
      </c>
      <c r="I17" s="48">
        <v>4</v>
      </c>
      <c r="J17" s="48">
        <v>4</v>
      </c>
    </row>
    <row r="18" spans="1:10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5"/>
      <c r="H18" s="57">
        <v>3</v>
      </c>
      <c r="I18" s="48">
        <v>1</v>
      </c>
      <c r="J18" s="48">
        <v>1</v>
      </c>
    </row>
    <row r="19" spans="1:10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5"/>
      <c r="H19" s="57">
        <v>3</v>
      </c>
      <c r="I19" s="48">
        <v>1</v>
      </c>
      <c r="J19" s="48">
        <v>1</v>
      </c>
    </row>
    <row r="20" spans="1:10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5"/>
      <c r="H20" s="57">
        <v>3</v>
      </c>
      <c r="I20" s="48">
        <v>5</v>
      </c>
      <c r="J20" s="48">
        <v>5</v>
      </c>
    </row>
    <row r="21" spans="1:10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5"/>
      <c r="H21" s="57">
        <v>3</v>
      </c>
      <c r="I21" s="48">
        <v>2</v>
      </c>
      <c r="J21" s="48">
        <v>2</v>
      </c>
    </row>
    <row r="22" spans="1:10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5"/>
      <c r="H22" s="57">
        <v>3</v>
      </c>
      <c r="I22" s="48">
        <v>1</v>
      </c>
      <c r="J22" s="48">
        <v>1</v>
      </c>
    </row>
    <row r="23" spans="1:10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5"/>
      <c r="H23" s="57">
        <v>3</v>
      </c>
      <c r="I23" s="48">
        <v>1</v>
      </c>
      <c r="J23" s="48">
        <v>1</v>
      </c>
    </row>
    <row r="24" spans="1:10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5"/>
      <c r="H24" s="57">
        <v>3</v>
      </c>
      <c r="I24" s="48">
        <v>1</v>
      </c>
      <c r="J24" s="48">
        <v>1</v>
      </c>
    </row>
    <row r="25" spans="1:10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5"/>
      <c r="H25" s="57">
        <v>3</v>
      </c>
      <c r="I25" s="48">
        <v>1</v>
      </c>
      <c r="J25" s="48">
        <v>1</v>
      </c>
    </row>
    <row r="26" spans="1:10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5"/>
      <c r="H26" s="57">
        <v>3</v>
      </c>
      <c r="I26" s="48">
        <v>1</v>
      </c>
      <c r="J26" s="48">
        <v>1</v>
      </c>
    </row>
    <row r="27" spans="1:10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5"/>
      <c r="H27" s="57">
        <v>3</v>
      </c>
      <c r="I27" s="48">
        <v>1</v>
      </c>
      <c r="J27" s="48">
        <v>1</v>
      </c>
    </row>
    <row r="28" spans="1:10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5"/>
      <c r="H28" s="60">
        <v>3</v>
      </c>
      <c r="I28" s="48">
        <v>3</v>
      </c>
      <c r="J28" s="48">
        <v>3</v>
      </c>
    </row>
    <row r="29" spans="1:10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5"/>
      <c r="H29" s="60">
        <v>3</v>
      </c>
      <c r="I29" s="48">
        <v>1</v>
      </c>
      <c r="J29" s="48">
        <v>1</v>
      </c>
    </row>
    <row r="30" spans="1:10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5"/>
      <c r="H30" s="57">
        <v>4</v>
      </c>
      <c r="I30" s="48">
        <v>10</v>
      </c>
      <c r="J30" s="48">
        <v>10</v>
      </c>
    </row>
    <row r="31" spans="1:10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5"/>
      <c r="H31" s="57">
        <v>4</v>
      </c>
      <c r="I31" s="48">
        <v>7</v>
      </c>
      <c r="J31" s="48">
        <v>7</v>
      </c>
    </row>
    <row r="32" spans="1:10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5"/>
      <c r="H32" s="57">
        <v>3</v>
      </c>
      <c r="I32" s="48">
        <v>14</v>
      </c>
      <c r="J32" s="48">
        <v>17</v>
      </c>
    </row>
    <row r="33" spans="1:10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5"/>
      <c r="H33" s="57">
        <v>3</v>
      </c>
      <c r="I33" s="48">
        <v>5</v>
      </c>
      <c r="J33" s="48">
        <v>5</v>
      </c>
    </row>
    <row r="34" spans="1:10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5"/>
      <c r="H34" s="57">
        <v>5</v>
      </c>
      <c r="I34" s="48">
        <v>2</v>
      </c>
      <c r="J34" s="48">
        <v>2</v>
      </c>
    </row>
    <row r="35" spans="1:10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5"/>
      <c r="H35" s="57">
        <v>5</v>
      </c>
      <c r="I35" s="48">
        <v>12</v>
      </c>
      <c r="J35" s="48">
        <v>12</v>
      </c>
    </row>
    <row r="36" spans="1:10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5"/>
      <c r="H36" s="57">
        <v>5</v>
      </c>
      <c r="I36" s="48">
        <v>3</v>
      </c>
      <c r="J36" s="48">
        <v>3</v>
      </c>
    </row>
    <row r="37" spans="1:10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5"/>
      <c r="H37" s="57">
        <v>5</v>
      </c>
      <c r="I37" s="48">
        <v>0</v>
      </c>
      <c r="J37" s="48">
        <v>0</v>
      </c>
    </row>
    <row r="38" spans="1:10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5"/>
      <c r="H38" s="57">
        <v>5</v>
      </c>
      <c r="I38" s="48">
        <v>2</v>
      </c>
      <c r="J38" s="48">
        <v>3</v>
      </c>
    </row>
    <row r="39" spans="1:10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5"/>
      <c r="H39" s="57">
        <v>3</v>
      </c>
      <c r="I39" s="48">
        <v>1</v>
      </c>
      <c r="J39" s="48">
        <v>1</v>
      </c>
    </row>
    <row r="40" spans="1:10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5"/>
      <c r="H40" s="57">
        <v>3</v>
      </c>
      <c r="I40" s="48">
        <v>4</v>
      </c>
      <c r="J40" s="48">
        <v>4</v>
      </c>
    </row>
    <row r="41" spans="1:10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5"/>
      <c r="H41" s="57">
        <v>3</v>
      </c>
      <c r="I41" s="48">
        <v>4</v>
      </c>
      <c r="J41" s="48">
        <v>4</v>
      </c>
    </row>
    <row r="42" spans="1:10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5"/>
      <c r="H42" s="57">
        <v>3</v>
      </c>
      <c r="I42" s="48">
        <v>1</v>
      </c>
      <c r="J42" s="48">
        <v>1</v>
      </c>
    </row>
    <row r="43" spans="1:10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5"/>
      <c r="H43" s="57">
        <v>3</v>
      </c>
      <c r="I43" s="48">
        <v>2</v>
      </c>
      <c r="J43" s="48">
        <v>2</v>
      </c>
    </row>
    <row r="44" spans="1:10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55"/>
      <c r="H44" s="60">
        <v>4</v>
      </c>
      <c r="I44" s="48">
        <v>9</v>
      </c>
      <c r="J44" s="48">
        <v>18</v>
      </c>
    </row>
    <row r="45" spans="1:10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55"/>
      <c r="H45" s="60">
        <v>3</v>
      </c>
      <c r="I45" s="48">
        <v>11</v>
      </c>
      <c r="J45" s="48">
        <v>11</v>
      </c>
    </row>
    <row r="46" spans="1:10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55"/>
      <c r="H46" s="60">
        <v>5</v>
      </c>
      <c r="I46" s="48">
        <v>7</v>
      </c>
      <c r="J46" s="48">
        <v>10</v>
      </c>
    </row>
    <row r="47" spans="1:10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55"/>
      <c r="H47" s="60">
        <v>5</v>
      </c>
      <c r="I47" s="48">
        <v>8</v>
      </c>
      <c r="J47" s="48">
        <v>9</v>
      </c>
    </row>
    <row r="48" spans="1:10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55"/>
      <c r="H48" s="60">
        <v>5</v>
      </c>
      <c r="I48" s="48">
        <v>3</v>
      </c>
      <c r="J48" s="48">
        <v>3</v>
      </c>
    </row>
    <row r="49" spans="1:10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55"/>
      <c r="H49" s="60">
        <v>5</v>
      </c>
      <c r="I49" s="48">
        <v>5</v>
      </c>
      <c r="J49" s="48">
        <v>9</v>
      </c>
    </row>
    <row r="50" spans="1:10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55"/>
      <c r="H50" s="60">
        <v>5</v>
      </c>
      <c r="I50" s="48">
        <v>1</v>
      </c>
      <c r="J50" s="48">
        <v>1</v>
      </c>
    </row>
    <row r="51" spans="1:10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55"/>
      <c r="H51" s="60">
        <v>3</v>
      </c>
      <c r="I51" s="48">
        <v>4</v>
      </c>
      <c r="J51" s="48">
        <v>7</v>
      </c>
    </row>
    <row r="52" spans="1:10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55"/>
      <c r="H52" s="60">
        <v>3</v>
      </c>
      <c r="I52" s="48">
        <v>2</v>
      </c>
      <c r="J52" s="48">
        <v>4</v>
      </c>
    </row>
    <row r="53" spans="1:10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55"/>
      <c r="H53" s="60">
        <v>3</v>
      </c>
      <c r="I53" s="48">
        <v>6</v>
      </c>
      <c r="J53" s="48">
        <v>12</v>
      </c>
    </row>
    <row r="54" spans="1:10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55"/>
      <c r="H54" s="60">
        <v>3</v>
      </c>
      <c r="I54" s="48">
        <v>4</v>
      </c>
      <c r="J54" s="48">
        <v>15</v>
      </c>
    </row>
    <row r="55" spans="1:10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55"/>
      <c r="H55" s="60">
        <v>3</v>
      </c>
      <c r="I55" s="48">
        <v>0</v>
      </c>
      <c r="J55" s="48">
        <v>0</v>
      </c>
    </row>
    <row r="56" spans="1:10" ht="15.75" customHeight="1" x14ac:dyDescent="0.35">
      <c r="A56" s="55" t="s">
        <v>141</v>
      </c>
      <c r="B56" s="63" t="s">
        <v>186</v>
      </c>
      <c r="C56" s="65">
        <v>75</v>
      </c>
      <c r="D56" s="69">
        <v>0.71899999999999997</v>
      </c>
      <c r="E56" s="65">
        <v>25.8</v>
      </c>
      <c r="F56" s="65">
        <v>0</v>
      </c>
      <c r="G56" s="55"/>
      <c r="H56" s="60">
        <v>6</v>
      </c>
      <c r="I56" s="48">
        <v>0</v>
      </c>
      <c r="J56" s="48">
        <v>0</v>
      </c>
    </row>
    <row r="57" spans="1:10" ht="15.75" customHeight="1" x14ac:dyDescent="0.35">
      <c r="A57" s="55" t="s">
        <v>146</v>
      </c>
      <c r="B57" s="61" t="s">
        <v>176</v>
      </c>
      <c r="C57" s="55">
        <v>99</v>
      </c>
      <c r="D57" s="70">
        <v>0.27700000000000002</v>
      </c>
      <c r="E57" s="55">
        <v>26.4</v>
      </c>
      <c r="F57" s="55">
        <v>0</v>
      </c>
      <c r="G57" s="55">
        <v>100</v>
      </c>
      <c r="H57" s="57">
        <v>4</v>
      </c>
      <c r="I57" s="48">
        <v>6</v>
      </c>
      <c r="J57" s="48">
        <v>22</v>
      </c>
    </row>
    <row r="58" spans="1:10" ht="15.75" customHeight="1" x14ac:dyDescent="0.35">
      <c r="A58" s="55" t="s">
        <v>146</v>
      </c>
      <c r="B58" s="61" t="s">
        <v>177</v>
      </c>
      <c r="C58" s="55">
        <v>92</v>
      </c>
      <c r="D58" s="58">
        <v>0.78</v>
      </c>
      <c r="E58" s="55">
        <v>24.6</v>
      </c>
      <c r="F58" s="55">
        <v>0</v>
      </c>
      <c r="G58" s="55">
        <v>5</v>
      </c>
      <c r="H58" s="57">
        <v>3</v>
      </c>
      <c r="I58" s="48">
        <v>9</v>
      </c>
      <c r="J58" s="48">
        <v>14</v>
      </c>
    </row>
    <row r="59" spans="1:10" ht="15.75" customHeight="1" x14ac:dyDescent="0.35">
      <c r="A59" s="55" t="s">
        <v>146</v>
      </c>
      <c r="B59" s="61" t="s">
        <v>200</v>
      </c>
      <c r="C59" s="55">
        <v>94</v>
      </c>
      <c r="D59" s="70">
        <v>0.50800000000000001</v>
      </c>
      <c r="E59" s="55">
        <v>24.8</v>
      </c>
      <c r="F59" s="55">
        <v>0</v>
      </c>
      <c r="G59" s="55">
        <v>5</v>
      </c>
      <c r="H59" s="57">
        <v>5</v>
      </c>
      <c r="I59" s="48">
        <v>8</v>
      </c>
      <c r="J59" s="48">
        <v>8</v>
      </c>
    </row>
    <row r="60" spans="1:10" ht="15.75" customHeight="1" x14ac:dyDescent="0.35">
      <c r="A60" s="55" t="s">
        <v>146</v>
      </c>
      <c r="B60" s="61" t="s">
        <v>200</v>
      </c>
      <c r="C60" s="55">
        <v>94</v>
      </c>
      <c r="D60" s="70">
        <v>0.5</v>
      </c>
      <c r="E60" s="55">
        <v>24.8</v>
      </c>
      <c r="F60" s="55">
        <v>0</v>
      </c>
      <c r="G60" s="55">
        <v>100</v>
      </c>
      <c r="H60" s="57">
        <v>5</v>
      </c>
      <c r="I60" s="48">
        <v>2</v>
      </c>
      <c r="J60" s="48">
        <v>6</v>
      </c>
    </row>
    <row r="61" spans="1:10" ht="15.75" customHeight="1" x14ac:dyDescent="0.35">
      <c r="A61" s="55" t="s">
        <v>146</v>
      </c>
      <c r="B61" s="61" t="s">
        <v>200</v>
      </c>
      <c r="C61" s="59">
        <v>94</v>
      </c>
      <c r="D61" s="70">
        <v>0.5</v>
      </c>
      <c r="E61" s="55">
        <v>23</v>
      </c>
      <c r="F61" s="55">
        <v>0</v>
      </c>
      <c r="G61" s="55">
        <v>100</v>
      </c>
      <c r="H61" s="57">
        <v>5</v>
      </c>
      <c r="I61" s="48">
        <v>5</v>
      </c>
      <c r="J61" s="48">
        <v>5</v>
      </c>
    </row>
    <row r="62" spans="1:10" ht="15.75" customHeight="1" x14ac:dyDescent="0.35">
      <c r="A62" s="55" t="s">
        <v>146</v>
      </c>
      <c r="B62" s="61" t="s">
        <v>200</v>
      </c>
      <c r="C62" s="59">
        <v>94</v>
      </c>
      <c r="D62" s="70">
        <v>0.5</v>
      </c>
      <c r="E62" s="55">
        <v>22</v>
      </c>
      <c r="F62" s="55">
        <v>0</v>
      </c>
      <c r="G62" s="55">
        <v>100</v>
      </c>
      <c r="H62" s="57">
        <v>5</v>
      </c>
      <c r="I62" s="48">
        <v>1</v>
      </c>
      <c r="J62" s="48">
        <v>1</v>
      </c>
    </row>
    <row r="63" spans="1:10" ht="15.75" customHeight="1" x14ac:dyDescent="0.35">
      <c r="A63" s="55" t="s">
        <v>146</v>
      </c>
      <c r="B63" s="61" t="s">
        <v>181</v>
      </c>
      <c r="C63" s="55">
        <v>99</v>
      </c>
      <c r="D63" s="58">
        <v>7.59</v>
      </c>
      <c r="E63" s="55">
        <v>23.9</v>
      </c>
      <c r="F63" s="55">
        <v>0</v>
      </c>
      <c r="G63" s="55">
        <v>100</v>
      </c>
      <c r="H63" s="57">
        <v>3</v>
      </c>
      <c r="I63" s="48">
        <v>5</v>
      </c>
      <c r="J63" s="48">
        <v>6</v>
      </c>
    </row>
    <row r="64" spans="1:10" ht="15.75" customHeight="1" x14ac:dyDescent="0.35">
      <c r="A64" s="55" t="s">
        <v>146</v>
      </c>
      <c r="B64" s="61" t="s">
        <v>198</v>
      </c>
      <c r="C64" s="55">
        <v>99</v>
      </c>
      <c r="D64" s="58">
        <v>13.05</v>
      </c>
      <c r="E64" s="55">
        <v>25.9</v>
      </c>
      <c r="F64" s="55">
        <v>0.45</v>
      </c>
      <c r="G64" s="55">
        <v>100</v>
      </c>
      <c r="H64" s="57">
        <v>3</v>
      </c>
      <c r="I64" s="48">
        <v>4</v>
      </c>
      <c r="J64" s="48">
        <v>4</v>
      </c>
    </row>
    <row r="65" spans="1:10" ht="15.75" customHeight="1" x14ac:dyDescent="0.35">
      <c r="A65" s="55" t="s">
        <v>146</v>
      </c>
      <c r="B65" s="61" t="s">
        <v>183</v>
      </c>
      <c r="C65" s="55">
        <v>79</v>
      </c>
      <c r="D65" s="58">
        <v>15.5</v>
      </c>
      <c r="E65" s="55">
        <v>28.3</v>
      </c>
      <c r="F65" s="55">
        <v>0</v>
      </c>
      <c r="G65" s="55">
        <v>100</v>
      </c>
      <c r="H65" s="57">
        <v>3</v>
      </c>
      <c r="I65" s="48">
        <v>3</v>
      </c>
      <c r="J65" s="48">
        <v>3</v>
      </c>
    </row>
    <row r="66" spans="1:10" ht="15.75" customHeight="1" x14ac:dyDescent="0.35">
      <c r="A66" s="55" t="s">
        <v>146</v>
      </c>
      <c r="B66" s="61" t="s">
        <v>183</v>
      </c>
      <c r="C66" s="55">
        <v>79</v>
      </c>
      <c r="D66" s="58">
        <v>4.87</v>
      </c>
      <c r="E66" s="55">
        <v>25.2</v>
      </c>
      <c r="F66" s="55">
        <v>0</v>
      </c>
      <c r="G66" s="55">
        <v>100</v>
      </c>
      <c r="H66" s="57">
        <v>3</v>
      </c>
      <c r="I66" s="48">
        <v>0</v>
      </c>
      <c r="J66" s="48">
        <v>0</v>
      </c>
    </row>
    <row r="67" spans="1:10" ht="15.75" customHeight="1" x14ac:dyDescent="0.35">
      <c r="A67" s="55" t="s">
        <v>146</v>
      </c>
      <c r="B67" s="61" t="s">
        <v>186</v>
      </c>
      <c r="C67" s="55">
        <v>79</v>
      </c>
      <c r="D67" s="58">
        <v>0.56999999999999995</v>
      </c>
      <c r="E67" s="55">
        <v>24.8</v>
      </c>
      <c r="F67" s="55">
        <v>0</v>
      </c>
      <c r="G67" s="55">
        <v>100</v>
      </c>
      <c r="H67" s="57">
        <v>6</v>
      </c>
      <c r="I67" s="48">
        <v>3</v>
      </c>
      <c r="J67" s="48">
        <v>4</v>
      </c>
    </row>
    <row r="68" spans="1:10" ht="15.75" customHeight="1" x14ac:dyDescent="0.35">
      <c r="A68" s="55" t="s">
        <v>146</v>
      </c>
      <c r="B68" s="61" t="s">
        <v>186</v>
      </c>
      <c r="C68" s="55">
        <v>96</v>
      </c>
      <c r="D68" s="58">
        <v>15.05</v>
      </c>
      <c r="E68" s="55">
        <v>30.2</v>
      </c>
      <c r="F68" s="55">
        <v>0</v>
      </c>
      <c r="G68" s="55">
        <v>100</v>
      </c>
      <c r="H68" s="57">
        <v>6</v>
      </c>
      <c r="I68" s="48">
        <v>2</v>
      </c>
      <c r="J68" s="48">
        <v>6</v>
      </c>
    </row>
    <row r="69" spans="1:10" ht="15.75" customHeight="1" x14ac:dyDescent="0.35">
      <c r="A69" s="55" t="s">
        <v>146</v>
      </c>
      <c r="B69" s="55" t="s">
        <v>186</v>
      </c>
      <c r="C69" s="55">
        <v>57</v>
      </c>
      <c r="D69" s="58">
        <v>153.19999999999999</v>
      </c>
      <c r="E69" s="55">
        <v>30.2</v>
      </c>
      <c r="F69" s="55">
        <v>0.4</v>
      </c>
      <c r="G69" s="55">
        <v>100</v>
      </c>
      <c r="H69" s="57">
        <v>6</v>
      </c>
      <c r="I69" s="48">
        <v>2</v>
      </c>
      <c r="J69" s="48">
        <v>3</v>
      </c>
    </row>
    <row r="70" spans="1:10" ht="15.75" customHeight="1" x14ac:dyDescent="0.35">
      <c r="A70" s="55" t="s">
        <v>153</v>
      </c>
      <c r="B70" s="61" t="s">
        <v>176</v>
      </c>
      <c r="C70" s="55">
        <v>98</v>
      </c>
      <c r="D70" s="58">
        <v>7.54</v>
      </c>
      <c r="E70" s="55">
        <v>25.8</v>
      </c>
      <c r="F70" s="55">
        <v>0</v>
      </c>
      <c r="G70" s="55">
        <v>100</v>
      </c>
      <c r="H70" s="57">
        <v>4</v>
      </c>
      <c r="I70" s="48">
        <v>5</v>
      </c>
      <c r="J70" s="48">
        <v>7</v>
      </c>
    </row>
    <row r="71" spans="1:10" ht="15.75" customHeight="1" x14ac:dyDescent="0.35">
      <c r="A71" s="55" t="s">
        <v>153</v>
      </c>
      <c r="B71" s="61" t="s">
        <v>176</v>
      </c>
      <c r="C71" s="55">
        <v>99</v>
      </c>
      <c r="D71" s="58">
        <v>6.06</v>
      </c>
      <c r="E71" s="55">
        <v>25.35</v>
      </c>
      <c r="F71" s="55">
        <v>0</v>
      </c>
      <c r="G71" s="55">
        <v>100</v>
      </c>
      <c r="H71" s="57">
        <v>4</v>
      </c>
      <c r="I71" s="48">
        <v>9</v>
      </c>
      <c r="J71" s="48">
        <v>9</v>
      </c>
    </row>
    <row r="72" spans="1:10" ht="15.75" customHeight="1" x14ac:dyDescent="0.35">
      <c r="A72" s="55" t="s">
        <v>153</v>
      </c>
      <c r="B72" s="61" t="s">
        <v>177</v>
      </c>
      <c r="C72" s="55">
        <v>98</v>
      </c>
      <c r="D72" s="58">
        <v>0.77</v>
      </c>
      <c r="E72" s="55">
        <v>22.6</v>
      </c>
      <c r="F72" s="55">
        <v>0</v>
      </c>
      <c r="G72" s="55">
        <v>100</v>
      </c>
      <c r="H72" s="57">
        <v>3</v>
      </c>
      <c r="I72" s="48">
        <v>8</v>
      </c>
      <c r="J72" s="48">
        <v>14</v>
      </c>
    </row>
    <row r="73" spans="1:10" ht="15.75" customHeight="1" x14ac:dyDescent="0.35">
      <c r="A73" s="55" t="s">
        <v>153</v>
      </c>
      <c r="B73" s="61" t="s">
        <v>177</v>
      </c>
      <c r="C73" s="55">
        <v>82</v>
      </c>
      <c r="D73" s="70">
        <v>0.19800000000000001</v>
      </c>
      <c r="E73" s="55">
        <v>24.3</v>
      </c>
      <c r="F73" s="55">
        <v>0</v>
      </c>
      <c r="G73" s="55">
        <v>20</v>
      </c>
      <c r="H73" s="57">
        <v>3</v>
      </c>
      <c r="I73" s="48">
        <v>9</v>
      </c>
      <c r="J73" s="48">
        <v>12</v>
      </c>
    </row>
    <row r="74" spans="1:10" ht="15.75" customHeight="1" x14ac:dyDescent="0.35">
      <c r="A74" s="55" t="s">
        <v>153</v>
      </c>
      <c r="B74" s="61" t="s">
        <v>200</v>
      </c>
      <c r="C74" s="55">
        <v>98</v>
      </c>
      <c r="D74" s="58">
        <v>3.69</v>
      </c>
      <c r="E74" s="55">
        <v>22.35</v>
      </c>
      <c r="F74" s="55">
        <v>0</v>
      </c>
      <c r="G74" s="55">
        <v>0</v>
      </c>
      <c r="H74" s="57">
        <v>5</v>
      </c>
      <c r="I74" s="48">
        <v>3</v>
      </c>
      <c r="J74" s="48">
        <v>7</v>
      </c>
    </row>
    <row r="75" spans="1:10" ht="15.75" customHeight="1" x14ac:dyDescent="0.35">
      <c r="A75" s="55" t="s">
        <v>153</v>
      </c>
      <c r="B75" s="61" t="s">
        <v>200</v>
      </c>
      <c r="C75" s="55">
        <v>98</v>
      </c>
      <c r="D75" s="58">
        <v>3.69</v>
      </c>
      <c r="E75" s="55">
        <v>22.35</v>
      </c>
      <c r="F75" s="55">
        <v>0</v>
      </c>
      <c r="G75" s="55">
        <v>0</v>
      </c>
      <c r="H75" s="57">
        <v>5</v>
      </c>
      <c r="I75" s="48">
        <v>13</v>
      </c>
      <c r="J75" s="48">
        <v>14</v>
      </c>
    </row>
    <row r="76" spans="1:10" ht="15.75" customHeight="1" x14ac:dyDescent="0.35">
      <c r="A76" s="55" t="s">
        <v>153</v>
      </c>
      <c r="B76" s="61" t="s">
        <v>200</v>
      </c>
      <c r="C76" s="55">
        <v>90</v>
      </c>
      <c r="D76" s="70">
        <v>3.5000000000000003E-2</v>
      </c>
      <c r="E76" s="55">
        <v>24.2</v>
      </c>
      <c r="F76" s="55">
        <v>0</v>
      </c>
      <c r="G76" s="55">
        <v>20</v>
      </c>
      <c r="H76" s="57">
        <v>5</v>
      </c>
      <c r="I76" s="48">
        <v>1</v>
      </c>
      <c r="J76" s="48">
        <v>1</v>
      </c>
    </row>
    <row r="77" spans="1:10" ht="15.75" customHeight="1" x14ac:dyDescent="0.35">
      <c r="A77" s="55" t="s">
        <v>153</v>
      </c>
      <c r="B77" s="61" t="s">
        <v>200</v>
      </c>
      <c r="C77" s="55">
        <v>61</v>
      </c>
      <c r="D77" s="70">
        <v>9.4E-2</v>
      </c>
      <c r="E77" s="55">
        <v>25.5</v>
      </c>
      <c r="F77" s="55">
        <v>0</v>
      </c>
      <c r="G77" s="55">
        <v>15</v>
      </c>
      <c r="H77" s="57">
        <v>5</v>
      </c>
      <c r="I77" s="48">
        <v>6</v>
      </c>
      <c r="J77" s="48">
        <v>8</v>
      </c>
    </row>
    <row r="78" spans="1:10" ht="15.75" customHeight="1" x14ac:dyDescent="0.35">
      <c r="A78" s="55" t="s">
        <v>153</v>
      </c>
      <c r="B78" s="61" t="s">
        <v>200</v>
      </c>
      <c r="C78" s="55">
        <v>65</v>
      </c>
      <c r="D78" s="70">
        <v>3.5000000000000003E-2</v>
      </c>
      <c r="E78" s="55">
        <v>25.7</v>
      </c>
      <c r="F78" s="55">
        <v>0</v>
      </c>
      <c r="G78" s="55">
        <v>100</v>
      </c>
      <c r="H78" s="57">
        <v>5</v>
      </c>
      <c r="I78" s="48">
        <v>3</v>
      </c>
      <c r="J78" s="48">
        <v>3</v>
      </c>
    </row>
    <row r="79" spans="1:10" ht="15.75" customHeight="1" x14ac:dyDescent="0.35">
      <c r="A79" s="55" t="s">
        <v>153</v>
      </c>
      <c r="B79" s="61" t="s">
        <v>180</v>
      </c>
      <c r="C79" s="55">
        <v>85</v>
      </c>
      <c r="D79" s="58">
        <v>3.81</v>
      </c>
      <c r="E79" s="55">
        <v>25</v>
      </c>
      <c r="F79" s="55">
        <v>0</v>
      </c>
      <c r="G79" s="55">
        <v>78.33</v>
      </c>
      <c r="H79" s="57">
        <v>5</v>
      </c>
      <c r="I79" s="48">
        <v>3</v>
      </c>
      <c r="J79" s="48">
        <v>3</v>
      </c>
    </row>
    <row r="80" spans="1:10" ht="15.75" customHeight="1" x14ac:dyDescent="0.35">
      <c r="A80" s="55" t="s">
        <v>153</v>
      </c>
      <c r="B80" s="61" t="s">
        <v>180</v>
      </c>
      <c r="C80" s="55">
        <v>61</v>
      </c>
      <c r="D80" s="58">
        <v>4.78</v>
      </c>
      <c r="E80" s="55">
        <v>28.7</v>
      </c>
      <c r="F80" s="55">
        <v>0</v>
      </c>
      <c r="G80" s="55">
        <v>100</v>
      </c>
      <c r="H80" s="57">
        <v>5</v>
      </c>
      <c r="I80" s="48">
        <v>0</v>
      </c>
      <c r="J80" s="48">
        <v>0</v>
      </c>
    </row>
    <row r="81" spans="1:10" ht="15.75" customHeight="1" x14ac:dyDescent="0.35">
      <c r="A81" s="55" t="s">
        <v>153</v>
      </c>
      <c r="B81" s="61" t="s">
        <v>180</v>
      </c>
      <c r="C81" s="55">
        <v>47</v>
      </c>
      <c r="D81" s="70">
        <v>0.74399999999999999</v>
      </c>
      <c r="E81" s="55">
        <v>29.9</v>
      </c>
      <c r="F81" s="55">
        <v>0</v>
      </c>
      <c r="G81" s="55">
        <v>2</v>
      </c>
      <c r="H81" s="57">
        <v>5</v>
      </c>
      <c r="I81" s="48">
        <v>2</v>
      </c>
      <c r="J81" s="48">
        <v>2</v>
      </c>
    </row>
    <row r="82" spans="1:10" ht="15.75" customHeight="1" x14ac:dyDescent="0.35">
      <c r="A82" s="55" t="s">
        <v>153</v>
      </c>
      <c r="B82" s="61" t="s">
        <v>180</v>
      </c>
      <c r="C82" s="55">
        <v>50</v>
      </c>
      <c r="D82" s="70">
        <v>0.7</v>
      </c>
      <c r="E82" s="55">
        <v>26.3</v>
      </c>
      <c r="F82" s="55">
        <v>0</v>
      </c>
      <c r="G82" s="55">
        <v>100</v>
      </c>
      <c r="H82" s="57">
        <v>5</v>
      </c>
      <c r="I82" s="48">
        <v>2</v>
      </c>
      <c r="J82" s="48">
        <v>5</v>
      </c>
    </row>
    <row r="83" spans="1:10" ht="15.75" customHeight="1" x14ac:dyDescent="0.35">
      <c r="A83" s="55" t="s">
        <v>153</v>
      </c>
      <c r="B83" s="61" t="s">
        <v>181</v>
      </c>
      <c r="C83" s="55">
        <v>85</v>
      </c>
      <c r="D83" s="58">
        <v>13.84</v>
      </c>
      <c r="E83" s="55">
        <v>26.7</v>
      </c>
      <c r="F83" s="55">
        <v>0</v>
      </c>
      <c r="G83" s="55">
        <v>100</v>
      </c>
      <c r="H83" s="57">
        <v>3</v>
      </c>
      <c r="I83" s="48">
        <v>4</v>
      </c>
      <c r="J83" s="48">
        <v>6</v>
      </c>
    </row>
    <row r="84" spans="1:10" ht="15.75" customHeight="1" x14ac:dyDescent="0.35">
      <c r="A84" s="55" t="s">
        <v>153</v>
      </c>
      <c r="B84" s="61" t="s">
        <v>181</v>
      </c>
      <c r="C84" s="55">
        <v>55</v>
      </c>
      <c r="D84" s="58">
        <v>55.3</v>
      </c>
      <c r="E84" s="55">
        <v>30.2</v>
      </c>
      <c r="F84" s="55">
        <v>0</v>
      </c>
      <c r="G84" s="55">
        <v>100</v>
      </c>
      <c r="H84" s="57">
        <v>3</v>
      </c>
      <c r="I84" s="48">
        <v>0</v>
      </c>
      <c r="J84" s="48">
        <v>0</v>
      </c>
    </row>
    <row r="85" spans="1:10" ht="15.75" customHeight="1" x14ac:dyDescent="0.35">
      <c r="A85" s="55" t="s">
        <v>153</v>
      </c>
      <c r="B85" s="61" t="s">
        <v>181</v>
      </c>
      <c r="C85" s="55">
        <v>51</v>
      </c>
      <c r="D85" s="58">
        <v>26.78</v>
      </c>
      <c r="E85" s="55">
        <v>30.7</v>
      </c>
      <c r="F85" s="55">
        <v>0</v>
      </c>
      <c r="G85" s="55">
        <v>23.33</v>
      </c>
      <c r="H85" s="57">
        <v>3</v>
      </c>
      <c r="I85" s="48">
        <v>2</v>
      </c>
      <c r="J85" s="48">
        <v>2</v>
      </c>
    </row>
    <row r="86" spans="1:10" ht="15.75" customHeight="1" x14ac:dyDescent="0.35">
      <c r="A86" s="55" t="s">
        <v>153</v>
      </c>
      <c r="B86" s="61" t="s">
        <v>198</v>
      </c>
      <c r="C86" s="55">
        <v>90</v>
      </c>
      <c r="D86" s="58">
        <v>8.44</v>
      </c>
      <c r="E86" s="55">
        <v>27.4</v>
      </c>
      <c r="F86" s="55">
        <v>0.8</v>
      </c>
      <c r="G86" s="55">
        <v>100</v>
      </c>
      <c r="H86" s="57">
        <v>3</v>
      </c>
      <c r="I86" s="48">
        <v>12</v>
      </c>
      <c r="J86" s="48">
        <v>17</v>
      </c>
    </row>
    <row r="87" spans="1:10" ht="15.75" customHeight="1" x14ac:dyDescent="0.35">
      <c r="A87" s="55" t="s">
        <v>153</v>
      </c>
      <c r="B87" s="56" t="s">
        <v>198</v>
      </c>
      <c r="C87" s="55">
        <v>58</v>
      </c>
      <c r="D87" s="58">
        <v>30.1</v>
      </c>
      <c r="E87" s="55">
        <v>29.1</v>
      </c>
      <c r="F87" s="55">
        <v>0</v>
      </c>
      <c r="G87" s="55">
        <v>98.75</v>
      </c>
      <c r="H87" s="57">
        <v>3</v>
      </c>
      <c r="I87" s="48">
        <v>2</v>
      </c>
      <c r="J87" s="48">
        <v>2</v>
      </c>
    </row>
    <row r="88" spans="1:10" ht="15.75" customHeight="1" x14ac:dyDescent="0.35">
      <c r="A88" s="55" t="s">
        <v>153</v>
      </c>
      <c r="B88" s="61" t="s">
        <v>183</v>
      </c>
      <c r="C88" s="55">
        <v>95</v>
      </c>
      <c r="D88" s="58">
        <v>10.69</v>
      </c>
      <c r="E88" s="55">
        <v>22.8</v>
      </c>
      <c r="F88" s="55">
        <v>1.2</v>
      </c>
      <c r="G88" s="55">
        <v>100</v>
      </c>
      <c r="H88" s="57">
        <v>3</v>
      </c>
      <c r="I88" s="48">
        <v>4</v>
      </c>
      <c r="J88" s="48">
        <v>7</v>
      </c>
    </row>
    <row r="89" spans="1:10" ht="15.75" customHeight="1" x14ac:dyDescent="0.35">
      <c r="A89" s="55" t="s">
        <v>153</v>
      </c>
      <c r="B89" s="61" t="s">
        <v>183</v>
      </c>
      <c r="C89" s="55">
        <v>95</v>
      </c>
      <c r="D89" s="58">
        <v>5.99</v>
      </c>
      <c r="E89" s="55">
        <v>25.7</v>
      </c>
      <c r="F89" s="55">
        <v>0</v>
      </c>
      <c r="G89" s="55">
        <v>100</v>
      </c>
      <c r="H89" s="57">
        <v>3</v>
      </c>
      <c r="I89" s="48">
        <v>5</v>
      </c>
      <c r="J89" s="48">
        <v>7</v>
      </c>
    </row>
    <row r="90" spans="1:10" ht="15.75" customHeight="1" x14ac:dyDescent="0.35">
      <c r="A90" s="55" t="s">
        <v>153</v>
      </c>
      <c r="B90" s="56" t="s">
        <v>183</v>
      </c>
      <c r="C90" s="55">
        <v>98</v>
      </c>
      <c r="D90" s="58">
        <v>3.61</v>
      </c>
      <c r="E90" s="55">
        <v>23</v>
      </c>
      <c r="F90" s="55">
        <v>0</v>
      </c>
      <c r="G90" s="55">
        <v>100</v>
      </c>
      <c r="H90" s="57">
        <v>3</v>
      </c>
      <c r="I90" s="48">
        <v>0</v>
      </c>
      <c r="J90" s="48">
        <v>0</v>
      </c>
    </row>
    <row r="91" spans="1:10" ht="15.75" customHeight="1" x14ac:dyDescent="0.35">
      <c r="A91" s="55" t="s">
        <v>153</v>
      </c>
      <c r="B91" s="61" t="s">
        <v>183</v>
      </c>
      <c r="C91" s="55">
        <v>80</v>
      </c>
      <c r="D91" s="58">
        <v>6.89</v>
      </c>
      <c r="E91" s="55">
        <v>24.3</v>
      </c>
      <c r="F91" s="55">
        <v>0.87</v>
      </c>
      <c r="G91" s="55">
        <v>100</v>
      </c>
      <c r="H91" s="57">
        <v>3</v>
      </c>
      <c r="I91" s="48">
        <v>2</v>
      </c>
      <c r="J91" s="48">
        <v>2</v>
      </c>
    </row>
    <row r="92" spans="1:10" ht="15.75" customHeight="1" x14ac:dyDescent="0.35">
      <c r="A92" s="55" t="s">
        <v>153</v>
      </c>
      <c r="B92" s="61" t="s">
        <v>186</v>
      </c>
      <c r="C92" s="55">
        <v>95</v>
      </c>
      <c r="D92" s="58">
        <v>1.44</v>
      </c>
      <c r="E92" s="55">
        <v>25.1</v>
      </c>
      <c r="F92" s="55">
        <v>0</v>
      </c>
      <c r="G92" s="55">
        <v>100</v>
      </c>
      <c r="H92" s="57">
        <v>6</v>
      </c>
      <c r="I92" s="48">
        <v>2</v>
      </c>
      <c r="J92" s="48">
        <v>7</v>
      </c>
    </row>
    <row r="93" spans="1:10" ht="15.75" customHeight="1" x14ac:dyDescent="0.35">
      <c r="A93" s="55" t="s">
        <v>153</v>
      </c>
      <c r="B93" s="61" t="s">
        <v>186</v>
      </c>
      <c r="C93" s="55">
        <v>99</v>
      </c>
      <c r="D93" s="58">
        <v>0.54</v>
      </c>
      <c r="E93" s="55">
        <v>21.9</v>
      </c>
      <c r="F93" s="55">
        <v>0</v>
      </c>
      <c r="G93" s="55">
        <v>100</v>
      </c>
      <c r="H93" s="57">
        <v>6</v>
      </c>
      <c r="I93" s="48">
        <v>3</v>
      </c>
      <c r="J93" s="48">
        <v>3</v>
      </c>
    </row>
    <row r="94" spans="1:10" ht="15.75" customHeight="1" x14ac:dyDescent="0.35">
      <c r="A94" s="55" t="s">
        <v>153</v>
      </c>
      <c r="B94" s="61" t="s">
        <v>186</v>
      </c>
      <c r="C94" s="55">
        <v>99</v>
      </c>
      <c r="D94" s="58">
        <v>0.63</v>
      </c>
      <c r="E94" s="55">
        <v>25.1</v>
      </c>
      <c r="F94" s="55">
        <v>0</v>
      </c>
      <c r="G94" s="55">
        <v>100</v>
      </c>
      <c r="H94" s="57">
        <v>6</v>
      </c>
      <c r="I94" s="48">
        <v>3</v>
      </c>
      <c r="J94" s="48">
        <v>8</v>
      </c>
    </row>
    <row r="95" spans="1:10" ht="15.75" customHeight="1" x14ac:dyDescent="0.35">
      <c r="A95" s="55" t="s">
        <v>153</v>
      </c>
      <c r="B95" s="61" t="s">
        <v>186</v>
      </c>
      <c r="C95" s="55">
        <v>99</v>
      </c>
      <c r="D95" s="58">
        <v>1.67</v>
      </c>
      <c r="E95" s="55">
        <v>25.2</v>
      </c>
      <c r="F95" s="55">
        <v>0</v>
      </c>
      <c r="G95" s="55">
        <v>100</v>
      </c>
      <c r="H95" s="57">
        <v>6</v>
      </c>
      <c r="I95" s="48">
        <v>3</v>
      </c>
      <c r="J95" s="48">
        <v>4</v>
      </c>
    </row>
    <row r="96" spans="1:10" ht="15.75" customHeight="1" x14ac:dyDescent="0.35">
      <c r="A96" s="55" t="s">
        <v>158</v>
      </c>
      <c r="B96" s="61" t="s">
        <v>176</v>
      </c>
      <c r="C96" s="55">
        <v>96</v>
      </c>
      <c r="D96" s="58">
        <v>1.1399999999999999</v>
      </c>
      <c r="E96" s="55">
        <v>26.4</v>
      </c>
      <c r="F96" s="55">
        <v>0</v>
      </c>
      <c r="G96" s="55">
        <v>22</v>
      </c>
      <c r="H96" s="57">
        <v>4</v>
      </c>
      <c r="I96" s="48">
        <v>4</v>
      </c>
      <c r="J96" s="48">
        <v>7</v>
      </c>
    </row>
    <row r="97" spans="1:10" ht="15.75" customHeight="1" x14ac:dyDescent="0.35">
      <c r="A97" s="55" t="s">
        <v>158</v>
      </c>
      <c r="B97" s="61" t="s">
        <v>176</v>
      </c>
      <c r="C97" s="55">
        <v>99</v>
      </c>
      <c r="D97" s="58">
        <v>8.51</v>
      </c>
      <c r="E97" s="55">
        <v>26.5</v>
      </c>
      <c r="F97" s="55">
        <v>0</v>
      </c>
      <c r="G97" s="55">
        <v>36.659999999999997</v>
      </c>
      <c r="H97" s="57">
        <v>4</v>
      </c>
      <c r="I97" s="48">
        <v>9</v>
      </c>
      <c r="J97" s="48">
        <v>9</v>
      </c>
    </row>
    <row r="98" spans="1:10" ht="15.75" customHeight="1" x14ac:dyDescent="0.35">
      <c r="A98" s="55" t="s">
        <v>158</v>
      </c>
      <c r="B98" s="61" t="s">
        <v>176</v>
      </c>
      <c r="C98" s="55">
        <v>99</v>
      </c>
      <c r="D98" s="58">
        <v>8.52</v>
      </c>
      <c r="E98" s="55">
        <v>26.5</v>
      </c>
      <c r="F98" s="55">
        <v>0</v>
      </c>
      <c r="G98" s="55">
        <v>100</v>
      </c>
      <c r="H98" s="57">
        <v>4</v>
      </c>
      <c r="I98" s="48">
        <v>5</v>
      </c>
      <c r="J98" s="48">
        <v>6</v>
      </c>
    </row>
    <row r="99" spans="1:10" ht="15.75" customHeight="1" x14ac:dyDescent="0.35">
      <c r="A99" s="55" t="s">
        <v>158</v>
      </c>
      <c r="B99" s="61" t="s">
        <v>178</v>
      </c>
      <c r="C99" s="55">
        <v>99</v>
      </c>
      <c r="D99" s="58">
        <v>6.93</v>
      </c>
      <c r="E99" s="55">
        <v>23.5</v>
      </c>
      <c r="F99" s="55">
        <v>0</v>
      </c>
      <c r="G99" s="55">
        <v>98</v>
      </c>
      <c r="H99" s="57">
        <v>3</v>
      </c>
      <c r="I99" s="48">
        <v>7</v>
      </c>
      <c r="J99" s="48">
        <v>7</v>
      </c>
    </row>
    <row r="100" spans="1:10" ht="15.75" customHeight="1" x14ac:dyDescent="0.35">
      <c r="A100" s="55" t="s">
        <v>158</v>
      </c>
      <c r="B100" s="61" t="s">
        <v>178</v>
      </c>
      <c r="C100" s="55">
        <v>99</v>
      </c>
      <c r="D100" s="58">
        <v>6.8</v>
      </c>
      <c r="E100" s="55">
        <v>23.5</v>
      </c>
      <c r="F100" s="55">
        <v>0</v>
      </c>
      <c r="G100" s="55">
        <v>100</v>
      </c>
      <c r="H100" s="57">
        <v>3</v>
      </c>
      <c r="I100" s="48">
        <v>1</v>
      </c>
      <c r="J100" s="48">
        <v>1</v>
      </c>
    </row>
    <row r="101" spans="1:10" ht="15.75" customHeight="1" x14ac:dyDescent="0.35">
      <c r="A101" s="55" t="s">
        <v>158</v>
      </c>
      <c r="B101" s="61" t="s">
        <v>200</v>
      </c>
      <c r="C101" s="55">
        <v>89</v>
      </c>
      <c r="D101" s="58">
        <v>2.74</v>
      </c>
      <c r="E101" s="55">
        <v>23.5</v>
      </c>
      <c r="F101" s="55">
        <v>0</v>
      </c>
      <c r="G101" s="55">
        <v>0</v>
      </c>
      <c r="H101" s="57">
        <v>5</v>
      </c>
      <c r="I101" s="48">
        <v>13</v>
      </c>
      <c r="J101" s="48">
        <v>16</v>
      </c>
    </row>
    <row r="102" spans="1:10" ht="15.75" customHeight="1" x14ac:dyDescent="0.35">
      <c r="A102" s="55" t="s">
        <v>158</v>
      </c>
      <c r="B102" s="61" t="s">
        <v>200</v>
      </c>
      <c r="C102" s="55">
        <v>99</v>
      </c>
      <c r="D102" s="58">
        <v>0.32</v>
      </c>
      <c r="E102" s="55">
        <v>21.5</v>
      </c>
      <c r="F102" s="55">
        <v>0</v>
      </c>
      <c r="G102" s="55">
        <v>100</v>
      </c>
      <c r="H102" s="57">
        <v>5</v>
      </c>
      <c r="I102" s="48">
        <v>3</v>
      </c>
      <c r="J102" s="48">
        <v>3</v>
      </c>
    </row>
    <row r="103" spans="1:10" ht="15.75" customHeight="1" x14ac:dyDescent="0.35">
      <c r="A103" s="55" t="s">
        <v>158</v>
      </c>
      <c r="B103" s="61" t="s">
        <v>200</v>
      </c>
      <c r="C103" s="55">
        <v>87</v>
      </c>
      <c r="D103" s="58">
        <v>0.03</v>
      </c>
      <c r="E103" s="55">
        <v>23.2</v>
      </c>
      <c r="F103" s="55">
        <v>0</v>
      </c>
      <c r="G103" s="55">
        <v>100</v>
      </c>
      <c r="H103" s="57">
        <v>5</v>
      </c>
      <c r="I103" s="48">
        <v>3</v>
      </c>
      <c r="J103" s="48">
        <v>3</v>
      </c>
    </row>
    <row r="104" spans="1:10" ht="15.75" customHeight="1" x14ac:dyDescent="0.35">
      <c r="A104" s="55" t="s">
        <v>158</v>
      </c>
      <c r="B104" s="61" t="s">
        <v>200</v>
      </c>
      <c r="C104" s="55">
        <v>85</v>
      </c>
      <c r="D104" s="58">
        <v>0.04</v>
      </c>
      <c r="E104" s="55">
        <v>23.2</v>
      </c>
      <c r="F104" s="55">
        <v>0</v>
      </c>
      <c r="G104" s="55">
        <v>50</v>
      </c>
      <c r="H104" s="57">
        <v>5</v>
      </c>
      <c r="I104" s="48">
        <v>1</v>
      </c>
      <c r="J104" s="48">
        <v>1</v>
      </c>
    </row>
    <row r="105" spans="1:10" ht="15.75" customHeight="1" x14ac:dyDescent="0.35">
      <c r="A105" s="55" t="s">
        <v>158</v>
      </c>
      <c r="B105" s="61" t="s">
        <v>180</v>
      </c>
      <c r="C105" s="55">
        <v>88</v>
      </c>
      <c r="D105" s="58">
        <v>0.69</v>
      </c>
      <c r="E105" s="55">
        <v>23.4</v>
      </c>
      <c r="F105" s="55">
        <v>6</v>
      </c>
      <c r="G105" s="55">
        <v>100</v>
      </c>
      <c r="H105" s="57">
        <v>5</v>
      </c>
      <c r="I105" s="48">
        <v>8</v>
      </c>
      <c r="J105" s="48">
        <v>9</v>
      </c>
    </row>
    <row r="106" spans="1:10" ht="15.75" customHeight="1" x14ac:dyDescent="0.35">
      <c r="A106" s="55" t="s">
        <v>158</v>
      </c>
      <c r="B106" s="61" t="s">
        <v>180</v>
      </c>
      <c r="C106" s="55">
        <v>88</v>
      </c>
      <c r="D106" s="58">
        <v>1.86</v>
      </c>
      <c r="E106" s="55">
        <v>27.2</v>
      </c>
      <c r="F106" s="55">
        <v>0.6</v>
      </c>
      <c r="G106" s="55">
        <v>100</v>
      </c>
      <c r="H106" s="57">
        <v>5</v>
      </c>
      <c r="I106" s="48">
        <v>4</v>
      </c>
      <c r="J106" s="48">
        <v>4</v>
      </c>
    </row>
    <row r="107" spans="1:10" ht="15.75" customHeight="1" x14ac:dyDescent="0.35">
      <c r="A107" s="55" t="s">
        <v>158</v>
      </c>
      <c r="B107" s="61" t="s">
        <v>181</v>
      </c>
      <c r="C107" s="55">
        <v>80</v>
      </c>
      <c r="D107" s="58">
        <v>51.6</v>
      </c>
      <c r="E107" s="55">
        <v>28.7</v>
      </c>
      <c r="F107" s="55">
        <v>2.5</v>
      </c>
      <c r="G107" s="55">
        <v>0</v>
      </c>
      <c r="H107" s="57">
        <v>3</v>
      </c>
      <c r="I107" s="48">
        <v>5</v>
      </c>
      <c r="J107" s="48">
        <v>5</v>
      </c>
    </row>
    <row r="108" spans="1:10" ht="15.75" customHeight="1" x14ac:dyDescent="0.35">
      <c r="A108" s="55" t="s">
        <v>158</v>
      </c>
      <c r="B108" s="61" t="s">
        <v>198</v>
      </c>
      <c r="C108" s="55">
        <v>71</v>
      </c>
      <c r="D108" s="58">
        <v>7.17</v>
      </c>
      <c r="E108" s="55">
        <v>26.1</v>
      </c>
      <c r="F108" s="55">
        <v>1.9</v>
      </c>
      <c r="G108" s="55">
        <v>0</v>
      </c>
      <c r="H108" s="57">
        <v>3</v>
      </c>
      <c r="I108" s="48">
        <v>9</v>
      </c>
      <c r="J108" s="48">
        <v>11</v>
      </c>
    </row>
    <row r="109" spans="1:10" ht="15.75" customHeight="1" x14ac:dyDescent="0.35">
      <c r="A109" s="55" t="s">
        <v>158</v>
      </c>
      <c r="B109" s="61" t="s">
        <v>198</v>
      </c>
      <c r="C109" s="55">
        <v>74</v>
      </c>
      <c r="D109" s="58">
        <v>7.5</v>
      </c>
      <c r="E109" s="55">
        <v>26</v>
      </c>
      <c r="F109" s="55">
        <v>0</v>
      </c>
      <c r="G109" s="55">
        <v>100</v>
      </c>
      <c r="H109" s="57">
        <v>3</v>
      </c>
      <c r="I109" s="48">
        <v>1</v>
      </c>
      <c r="J109" s="48">
        <v>1</v>
      </c>
    </row>
    <row r="110" spans="1:10" ht="15.75" customHeight="1" x14ac:dyDescent="0.35">
      <c r="A110" s="55" t="s">
        <v>158</v>
      </c>
      <c r="B110" s="61" t="s">
        <v>198</v>
      </c>
      <c r="C110" s="55">
        <v>54</v>
      </c>
      <c r="D110" s="58">
        <v>10.85</v>
      </c>
      <c r="E110" s="55">
        <v>28.3</v>
      </c>
      <c r="F110" s="55">
        <v>1.45</v>
      </c>
      <c r="G110" s="55">
        <v>35</v>
      </c>
      <c r="H110" s="57">
        <v>3</v>
      </c>
      <c r="I110" s="48">
        <v>4</v>
      </c>
      <c r="J110" s="48">
        <v>4</v>
      </c>
    </row>
    <row r="111" spans="1:10" ht="15.75" customHeight="1" x14ac:dyDescent="0.35">
      <c r="A111" s="55" t="s">
        <v>158</v>
      </c>
      <c r="B111" s="61" t="s">
        <v>183</v>
      </c>
      <c r="C111" s="55">
        <v>77</v>
      </c>
      <c r="D111" s="58">
        <v>19</v>
      </c>
      <c r="E111" s="55">
        <v>23.9</v>
      </c>
      <c r="F111" s="55">
        <v>0</v>
      </c>
      <c r="G111" s="55">
        <v>100</v>
      </c>
      <c r="H111" s="57">
        <v>3</v>
      </c>
      <c r="I111" s="48">
        <v>4</v>
      </c>
      <c r="J111" s="48">
        <v>13</v>
      </c>
    </row>
    <row r="112" spans="1:10" ht="15.75" customHeight="1" x14ac:dyDescent="0.35">
      <c r="A112" s="55" t="s">
        <v>158</v>
      </c>
      <c r="B112" s="61" t="s">
        <v>183</v>
      </c>
      <c r="C112" s="55">
        <v>99</v>
      </c>
      <c r="D112" s="58">
        <v>29.59</v>
      </c>
      <c r="E112" s="55">
        <v>24.9</v>
      </c>
      <c r="F112" s="55">
        <v>0.65</v>
      </c>
      <c r="G112" s="55">
        <v>99</v>
      </c>
      <c r="H112" s="57">
        <v>3</v>
      </c>
      <c r="I112" s="48">
        <v>4</v>
      </c>
      <c r="J112" s="48">
        <v>7</v>
      </c>
    </row>
    <row r="113" spans="1:10" ht="15.75" customHeight="1" x14ac:dyDescent="0.35">
      <c r="A113" s="55" t="s">
        <v>158</v>
      </c>
      <c r="B113" s="61" t="s">
        <v>183</v>
      </c>
      <c r="C113" s="55">
        <v>74</v>
      </c>
      <c r="D113" s="58">
        <v>1.52</v>
      </c>
      <c r="E113" s="55">
        <v>19.829999999999998</v>
      </c>
      <c r="F113" s="55">
        <v>0.85</v>
      </c>
      <c r="G113" s="55">
        <v>100</v>
      </c>
      <c r="H113" s="57">
        <v>3</v>
      </c>
      <c r="I113" s="48">
        <v>2</v>
      </c>
      <c r="J113" s="48">
        <v>2</v>
      </c>
    </row>
    <row r="114" spans="1:10" ht="15.75" customHeight="1" x14ac:dyDescent="0.35">
      <c r="A114" s="55" t="s">
        <v>158</v>
      </c>
      <c r="B114" s="61" t="s">
        <v>186</v>
      </c>
      <c r="C114" s="55">
        <v>95</v>
      </c>
      <c r="D114" s="58">
        <v>0.4</v>
      </c>
      <c r="E114" s="55">
        <v>17.100000000000001</v>
      </c>
      <c r="F114" s="55">
        <v>0</v>
      </c>
      <c r="G114" s="55">
        <v>0</v>
      </c>
      <c r="H114" s="57">
        <v>6</v>
      </c>
      <c r="I114" s="48">
        <v>10</v>
      </c>
      <c r="J114" s="48">
        <v>33</v>
      </c>
    </row>
    <row r="115" spans="1:10" ht="15.75" customHeight="1" x14ac:dyDescent="0.35">
      <c r="A115" s="55" t="s">
        <v>158</v>
      </c>
      <c r="B115" s="61" t="s">
        <v>186</v>
      </c>
      <c r="C115" s="55">
        <v>95</v>
      </c>
      <c r="D115" s="58">
        <v>0.42</v>
      </c>
      <c r="E115" s="55">
        <v>17.2</v>
      </c>
      <c r="F115" s="55">
        <v>0</v>
      </c>
      <c r="G115" s="55">
        <v>100</v>
      </c>
      <c r="H115" s="57">
        <v>6</v>
      </c>
      <c r="I115" s="48">
        <v>1</v>
      </c>
      <c r="J115" s="48">
        <v>1</v>
      </c>
    </row>
    <row r="116" spans="1:10" ht="15.75" customHeight="1" x14ac:dyDescent="0.35">
      <c r="A116" s="55" t="s">
        <v>158</v>
      </c>
      <c r="B116" s="61" t="s">
        <v>186</v>
      </c>
      <c r="C116" s="55">
        <v>95</v>
      </c>
      <c r="D116" s="58">
        <v>0.41</v>
      </c>
      <c r="E116" s="55">
        <v>17.100000000000001</v>
      </c>
      <c r="F116" s="55">
        <v>0</v>
      </c>
      <c r="G116" s="55">
        <v>100</v>
      </c>
      <c r="H116" s="57">
        <v>6</v>
      </c>
      <c r="I116" s="48">
        <v>8</v>
      </c>
      <c r="J116" s="48">
        <v>11</v>
      </c>
    </row>
    <row r="117" spans="1:10" ht="15.75" customHeight="1" x14ac:dyDescent="0.35">
      <c r="A117" s="55" t="s">
        <v>158</v>
      </c>
      <c r="B117" s="61" t="s">
        <v>186</v>
      </c>
      <c r="C117" s="55">
        <v>87</v>
      </c>
      <c r="D117" s="58">
        <v>0.16</v>
      </c>
      <c r="E117" s="55">
        <v>20.2</v>
      </c>
      <c r="F117" s="55">
        <v>0</v>
      </c>
      <c r="G117" s="55">
        <v>100</v>
      </c>
      <c r="H117" s="57">
        <v>6</v>
      </c>
      <c r="I117" s="48">
        <v>6</v>
      </c>
      <c r="J117" s="48">
        <v>6</v>
      </c>
    </row>
    <row r="118" spans="1:10" ht="15.75" customHeight="1" x14ac:dyDescent="0.35">
      <c r="A118" s="55" t="s">
        <v>164</v>
      </c>
      <c r="B118" s="61" t="s">
        <v>176</v>
      </c>
      <c r="C118" s="55">
        <v>89</v>
      </c>
      <c r="D118" s="58">
        <v>1.36</v>
      </c>
      <c r="E118" s="55">
        <v>23.18</v>
      </c>
      <c r="F118" s="55">
        <v>0</v>
      </c>
      <c r="G118" s="55">
        <v>100</v>
      </c>
      <c r="H118" s="57">
        <v>4</v>
      </c>
      <c r="I118" s="48">
        <v>8</v>
      </c>
      <c r="J118" s="48">
        <v>11</v>
      </c>
    </row>
    <row r="119" spans="1:10" ht="15.75" customHeight="1" x14ac:dyDescent="0.35">
      <c r="A119" s="55" t="s">
        <v>164</v>
      </c>
      <c r="B119" s="61" t="s">
        <v>177</v>
      </c>
      <c r="C119" s="55">
        <v>94</v>
      </c>
      <c r="D119" s="58">
        <v>7.68</v>
      </c>
      <c r="E119" s="55">
        <v>26.7</v>
      </c>
      <c r="F119" s="55">
        <v>0.75</v>
      </c>
      <c r="G119" s="55">
        <v>100</v>
      </c>
      <c r="H119" s="57">
        <v>3</v>
      </c>
      <c r="I119" s="48">
        <v>6</v>
      </c>
      <c r="J119" s="48">
        <v>8</v>
      </c>
    </row>
    <row r="120" spans="1:10" ht="15.75" customHeight="1" x14ac:dyDescent="0.35">
      <c r="A120" s="55" t="s">
        <v>164</v>
      </c>
      <c r="B120" s="61" t="s">
        <v>177</v>
      </c>
      <c r="C120" s="55">
        <v>90</v>
      </c>
      <c r="D120" s="58">
        <v>1.5</v>
      </c>
      <c r="E120" s="55">
        <v>23.4</v>
      </c>
      <c r="F120" s="55">
        <v>0</v>
      </c>
      <c r="G120" s="55">
        <v>100</v>
      </c>
      <c r="H120" s="57">
        <v>3</v>
      </c>
      <c r="I120" s="48">
        <v>1</v>
      </c>
      <c r="J120" s="48">
        <v>1</v>
      </c>
    </row>
    <row r="121" spans="1:10" ht="15.75" customHeight="1" x14ac:dyDescent="0.35">
      <c r="A121" s="55" t="s">
        <v>164</v>
      </c>
      <c r="B121" s="61" t="s">
        <v>200</v>
      </c>
      <c r="C121" s="55">
        <v>91</v>
      </c>
      <c r="D121" s="58">
        <v>1.1499999999999999</v>
      </c>
      <c r="E121" s="55">
        <v>24.4</v>
      </c>
      <c r="F121" s="55">
        <v>0</v>
      </c>
      <c r="G121" s="55">
        <v>100</v>
      </c>
      <c r="H121" s="57">
        <v>5</v>
      </c>
      <c r="I121" s="48">
        <v>8</v>
      </c>
      <c r="J121" s="48">
        <v>8</v>
      </c>
    </row>
    <row r="122" spans="1:10" ht="15.75" customHeight="1" x14ac:dyDescent="0.35">
      <c r="A122" s="55" t="s">
        <v>164</v>
      </c>
      <c r="B122" s="61" t="s">
        <v>200</v>
      </c>
      <c r="C122" s="55">
        <v>94</v>
      </c>
      <c r="D122" s="58">
        <v>1.2</v>
      </c>
      <c r="E122" s="55">
        <v>24.4</v>
      </c>
      <c r="F122" s="55">
        <v>0</v>
      </c>
      <c r="G122" s="55">
        <v>100</v>
      </c>
      <c r="H122" s="57">
        <v>5</v>
      </c>
      <c r="I122" s="48">
        <v>1</v>
      </c>
      <c r="J122" s="48">
        <v>1</v>
      </c>
    </row>
    <row r="123" spans="1:10" ht="15.75" customHeight="1" x14ac:dyDescent="0.35">
      <c r="A123" s="55" t="s">
        <v>164</v>
      </c>
      <c r="B123" s="61" t="s">
        <v>200</v>
      </c>
      <c r="C123" s="55">
        <v>85</v>
      </c>
      <c r="D123" s="58">
        <v>1.3</v>
      </c>
      <c r="E123" s="55">
        <v>24.4</v>
      </c>
      <c r="F123" s="55">
        <v>0</v>
      </c>
      <c r="G123" s="55">
        <v>100</v>
      </c>
      <c r="H123" s="57">
        <v>5</v>
      </c>
      <c r="I123" s="48">
        <v>8</v>
      </c>
      <c r="J123" s="48">
        <v>8</v>
      </c>
    </row>
    <row r="124" spans="1:10" ht="15.75" customHeight="1" x14ac:dyDescent="0.35">
      <c r="A124" s="55" t="s">
        <v>164</v>
      </c>
      <c r="B124" s="61" t="s">
        <v>180</v>
      </c>
      <c r="C124" s="55">
        <v>91</v>
      </c>
      <c r="D124" s="58">
        <v>0.57999999999999996</v>
      </c>
      <c r="E124" s="55">
        <v>26.4</v>
      </c>
      <c r="F124" s="55">
        <v>0</v>
      </c>
      <c r="G124" s="55">
        <v>100</v>
      </c>
      <c r="H124" s="57">
        <v>5</v>
      </c>
      <c r="I124" s="48">
        <v>10</v>
      </c>
      <c r="J124" s="48">
        <v>10</v>
      </c>
    </row>
    <row r="125" spans="1:10" ht="15.75" customHeight="1" x14ac:dyDescent="0.35">
      <c r="A125" s="55" t="s">
        <v>164</v>
      </c>
      <c r="B125" s="61" t="s">
        <v>180</v>
      </c>
      <c r="C125" s="55">
        <v>91</v>
      </c>
      <c r="D125" s="58">
        <v>0.81</v>
      </c>
      <c r="E125" s="55">
        <v>23.28</v>
      </c>
      <c r="F125" s="55">
        <v>0</v>
      </c>
      <c r="G125" s="55">
        <v>100</v>
      </c>
      <c r="H125" s="57">
        <v>5</v>
      </c>
      <c r="I125" s="48">
        <v>5</v>
      </c>
      <c r="J125" s="48">
        <v>5</v>
      </c>
    </row>
    <row r="126" spans="1:10" ht="15.75" customHeight="1" x14ac:dyDescent="0.35">
      <c r="A126" s="55" t="s">
        <v>164</v>
      </c>
      <c r="B126" s="61" t="s">
        <v>181</v>
      </c>
      <c r="C126" s="55">
        <v>91</v>
      </c>
      <c r="D126" s="58">
        <v>0.81</v>
      </c>
      <c r="E126" s="55">
        <v>23.3</v>
      </c>
      <c r="F126" s="55">
        <v>0</v>
      </c>
      <c r="G126" s="55">
        <v>100</v>
      </c>
      <c r="H126" s="57">
        <v>3</v>
      </c>
      <c r="I126" s="48">
        <v>1</v>
      </c>
      <c r="J126" s="48">
        <v>2</v>
      </c>
    </row>
    <row r="127" spans="1:10" ht="15.75" customHeight="1" x14ac:dyDescent="0.35">
      <c r="A127" s="55" t="s">
        <v>164</v>
      </c>
      <c r="B127" s="61" t="s">
        <v>181</v>
      </c>
      <c r="C127" s="55">
        <v>99</v>
      </c>
      <c r="D127" s="58">
        <v>85.6</v>
      </c>
      <c r="E127" s="55">
        <v>28.5</v>
      </c>
      <c r="F127" s="55">
        <v>1.2</v>
      </c>
      <c r="G127" s="55">
        <v>100</v>
      </c>
      <c r="H127" s="57">
        <v>3</v>
      </c>
      <c r="I127" s="48">
        <v>1</v>
      </c>
      <c r="J127" s="48">
        <v>1</v>
      </c>
    </row>
    <row r="128" spans="1:10" ht="15.75" customHeight="1" x14ac:dyDescent="0.35">
      <c r="A128" s="55" t="s">
        <v>164</v>
      </c>
      <c r="B128" s="61" t="s">
        <v>181</v>
      </c>
      <c r="C128" s="55">
        <v>91</v>
      </c>
      <c r="D128" s="58">
        <v>13.15</v>
      </c>
      <c r="E128" s="55">
        <v>26.13</v>
      </c>
      <c r="F128" s="55">
        <v>0</v>
      </c>
      <c r="G128" s="55">
        <v>100</v>
      </c>
      <c r="H128" s="57">
        <v>3</v>
      </c>
      <c r="I128" s="48">
        <v>3</v>
      </c>
      <c r="J128" s="48">
        <v>3</v>
      </c>
    </row>
    <row r="129" spans="1:10" ht="15.75" customHeight="1" x14ac:dyDescent="0.35">
      <c r="A129" s="55" t="s">
        <v>164</v>
      </c>
      <c r="B129" s="61" t="s">
        <v>198</v>
      </c>
      <c r="C129" s="55">
        <v>75</v>
      </c>
      <c r="D129" s="58">
        <v>17.2</v>
      </c>
      <c r="E129" s="55">
        <v>28</v>
      </c>
      <c r="F129" s="55">
        <v>0</v>
      </c>
      <c r="G129" s="55">
        <v>100</v>
      </c>
      <c r="H129" s="57">
        <v>3</v>
      </c>
      <c r="I129" s="48">
        <v>2</v>
      </c>
      <c r="J129" s="48">
        <v>2</v>
      </c>
    </row>
    <row r="130" spans="1:10" s="75" customFormat="1" ht="15.75" customHeight="1" x14ac:dyDescent="0.35">
      <c r="A130" s="71" t="s">
        <v>164</v>
      </c>
      <c r="B130" s="72" t="s">
        <v>198</v>
      </c>
      <c r="C130" s="71">
        <v>93</v>
      </c>
      <c r="D130" s="73">
        <v>14.5</v>
      </c>
      <c r="E130" s="71">
        <v>28.73</v>
      </c>
      <c r="F130" s="71">
        <v>0</v>
      </c>
      <c r="G130" s="71">
        <v>100</v>
      </c>
      <c r="H130" s="74">
        <v>3</v>
      </c>
      <c r="I130" s="75">
        <v>6</v>
      </c>
      <c r="J130" s="75">
        <v>9</v>
      </c>
    </row>
    <row r="131" spans="1:10" ht="15.75" customHeight="1" x14ac:dyDescent="0.35">
      <c r="A131" s="55" t="s">
        <v>164</v>
      </c>
      <c r="B131" s="61" t="s">
        <v>198</v>
      </c>
      <c r="C131" s="55">
        <v>74</v>
      </c>
      <c r="D131" s="58">
        <v>18</v>
      </c>
      <c r="E131" s="55">
        <v>28</v>
      </c>
      <c r="F131" s="55">
        <v>0</v>
      </c>
      <c r="G131" s="55">
        <v>2</v>
      </c>
      <c r="H131" s="57">
        <v>3</v>
      </c>
      <c r="I131" s="48">
        <v>2</v>
      </c>
      <c r="J131" s="48">
        <v>2</v>
      </c>
    </row>
    <row r="132" spans="1:10" ht="15.75" customHeight="1" x14ac:dyDescent="0.35">
      <c r="A132" s="55" t="s">
        <v>164</v>
      </c>
      <c r="B132" s="61" t="s">
        <v>183</v>
      </c>
      <c r="C132" s="55">
        <v>89</v>
      </c>
      <c r="D132" s="58">
        <v>7.61</v>
      </c>
      <c r="E132" s="55">
        <v>23.8</v>
      </c>
      <c r="F132" s="55">
        <v>0.75</v>
      </c>
      <c r="G132" s="55">
        <v>100</v>
      </c>
      <c r="H132" s="57">
        <v>3</v>
      </c>
      <c r="I132" s="48">
        <v>5</v>
      </c>
      <c r="J132" s="48">
        <v>10</v>
      </c>
    </row>
    <row r="133" spans="1:10" ht="15.75" customHeight="1" x14ac:dyDescent="0.35">
      <c r="A133" s="55" t="s">
        <v>164</v>
      </c>
      <c r="B133" s="61" t="s">
        <v>183</v>
      </c>
      <c r="C133" s="55">
        <v>81</v>
      </c>
      <c r="D133" s="58">
        <v>5.23</v>
      </c>
      <c r="E133" s="55">
        <v>27.03</v>
      </c>
      <c r="F133" s="55">
        <v>0</v>
      </c>
      <c r="G133" s="55">
        <v>100</v>
      </c>
      <c r="H133" s="57">
        <v>3</v>
      </c>
      <c r="I133" s="48">
        <v>4</v>
      </c>
      <c r="J133" s="48">
        <v>5</v>
      </c>
    </row>
    <row r="134" spans="1:10" ht="15.75" customHeight="1" x14ac:dyDescent="0.35">
      <c r="A134" s="55" t="s">
        <v>164</v>
      </c>
      <c r="B134" s="61" t="s">
        <v>186</v>
      </c>
      <c r="C134" s="55">
        <v>86</v>
      </c>
      <c r="D134" s="58">
        <v>0.14000000000000001</v>
      </c>
      <c r="E134" s="55">
        <v>18.55</v>
      </c>
      <c r="F134" s="55">
        <v>0</v>
      </c>
      <c r="G134" s="55">
        <v>100</v>
      </c>
      <c r="H134" s="57">
        <v>6</v>
      </c>
      <c r="I134" s="48">
        <v>5</v>
      </c>
      <c r="J134" s="48">
        <v>5</v>
      </c>
    </row>
    <row r="135" spans="1:10" ht="15.75" customHeight="1" x14ac:dyDescent="0.35">
      <c r="A135" s="55" t="s">
        <v>164</v>
      </c>
      <c r="B135" s="61" t="s">
        <v>186</v>
      </c>
      <c r="C135" s="55">
        <v>87</v>
      </c>
      <c r="D135" s="58">
        <v>0.15</v>
      </c>
      <c r="E135" s="55">
        <v>15.2</v>
      </c>
      <c r="F135" s="55">
        <v>0</v>
      </c>
      <c r="G135" s="55">
        <v>100</v>
      </c>
      <c r="H135" s="57">
        <v>6</v>
      </c>
      <c r="I135" s="48">
        <v>3</v>
      </c>
      <c r="J135" s="48">
        <v>3</v>
      </c>
    </row>
    <row r="136" spans="1:10" ht="15.75" customHeight="1" x14ac:dyDescent="0.35">
      <c r="A136" s="55" t="s">
        <v>164</v>
      </c>
      <c r="B136" s="61" t="s">
        <v>186</v>
      </c>
      <c r="C136" s="55">
        <v>83</v>
      </c>
      <c r="D136" s="58">
        <v>0.20499999999999999</v>
      </c>
      <c r="E136" s="55">
        <v>24.8</v>
      </c>
      <c r="F136" s="55">
        <v>0</v>
      </c>
      <c r="G136" s="55">
        <v>100</v>
      </c>
      <c r="H136" s="57">
        <v>6</v>
      </c>
      <c r="I136" s="48">
        <v>0</v>
      </c>
      <c r="J136" s="48">
        <v>0</v>
      </c>
    </row>
    <row r="137" spans="1:10" ht="15.75" customHeight="1" x14ac:dyDescent="0.35">
      <c r="A137" s="55" t="s">
        <v>168</v>
      </c>
      <c r="B137" s="55" t="s">
        <v>176</v>
      </c>
      <c r="C137" s="55">
        <v>92</v>
      </c>
      <c r="D137" s="58">
        <v>0.14000000000000001</v>
      </c>
      <c r="E137" s="55">
        <v>22.5</v>
      </c>
      <c r="F137" s="55">
        <v>0</v>
      </c>
      <c r="G137" s="55">
        <v>100</v>
      </c>
      <c r="H137" s="57">
        <v>4</v>
      </c>
      <c r="I137" s="48">
        <v>6</v>
      </c>
      <c r="J137" s="48">
        <v>11</v>
      </c>
    </row>
    <row r="138" spans="1:10" ht="15.75" customHeight="1" x14ac:dyDescent="0.35">
      <c r="A138" s="55" t="s">
        <v>168</v>
      </c>
      <c r="B138" s="55" t="s">
        <v>176</v>
      </c>
      <c r="C138" s="55">
        <v>92</v>
      </c>
      <c r="D138" s="58">
        <v>0.14000000000000001</v>
      </c>
      <c r="E138" s="55">
        <v>22.5</v>
      </c>
      <c r="F138" s="55">
        <v>0</v>
      </c>
      <c r="G138" s="55">
        <v>60</v>
      </c>
      <c r="H138" s="57">
        <v>4</v>
      </c>
      <c r="I138" s="48">
        <v>1</v>
      </c>
      <c r="J138" s="48">
        <v>2</v>
      </c>
    </row>
    <row r="139" spans="1:10" ht="15.75" customHeight="1" x14ac:dyDescent="0.35">
      <c r="A139" s="55" t="s">
        <v>168</v>
      </c>
      <c r="B139" s="55" t="s">
        <v>177</v>
      </c>
      <c r="C139" s="55">
        <v>97</v>
      </c>
      <c r="D139" s="58">
        <v>4.5999999999999996</v>
      </c>
      <c r="E139" s="55">
        <v>24.3</v>
      </c>
      <c r="F139" s="55">
        <v>0</v>
      </c>
      <c r="G139" s="55">
        <v>100</v>
      </c>
      <c r="H139" s="57">
        <v>3</v>
      </c>
      <c r="I139" s="48">
        <v>17</v>
      </c>
      <c r="J139" s="48">
        <v>24</v>
      </c>
    </row>
    <row r="140" spans="1:10" ht="15.75" customHeight="1" x14ac:dyDescent="0.35">
      <c r="A140" s="55" t="s">
        <v>168</v>
      </c>
      <c r="B140" s="55" t="s">
        <v>200</v>
      </c>
      <c r="C140" s="55">
        <v>99</v>
      </c>
      <c r="D140" s="58">
        <v>24.2</v>
      </c>
      <c r="E140" s="55">
        <v>26.1</v>
      </c>
      <c r="F140" s="55">
        <v>0</v>
      </c>
      <c r="G140" s="55">
        <v>60</v>
      </c>
      <c r="H140" s="57">
        <v>5</v>
      </c>
      <c r="I140" s="48">
        <v>1</v>
      </c>
      <c r="J140" s="48">
        <v>1</v>
      </c>
    </row>
    <row r="141" spans="1:10" ht="15.75" customHeight="1" x14ac:dyDescent="0.35">
      <c r="A141" s="55" t="s">
        <v>168</v>
      </c>
      <c r="B141" s="55" t="s">
        <v>200</v>
      </c>
      <c r="C141" s="55">
        <v>99</v>
      </c>
      <c r="D141" s="58">
        <v>24.2</v>
      </c>
      <c r="E141" s="55">
        <v>26.1</v>
      </c>
      <c r="F141" s="55">
        <v>0</v>
      </c>
      <c r="G141" s="55">
        <v>35</v>
      </c>
      <c r="H141" s="57">
        <v>5</v>
      </c>
      <c r="I141" s="48">
        <v>11</v>
      </c>
      <c r="J141" s="48">
        <v>11</v>
      </c>
    </row>
    <row r="142" spans="1:10" ht="15.75" customHeight="1" x14ac:dyDescent="0.35">
      <c r="A142" s="55" t="s">
        <v>168</v>
      </c>
      <c r="B142" s="55" t="s">
        <v>200</v>
      </c>
      <c r="C142" s="55">
        <v>84</v>
      </c>
      <c r="D142" s="58">
        <v>0.17</v>
      </c>
      <c r="E142" s="55">
        <v>24</v>
      </c>
      <c r="F142" s="55">
        <v>0</v>
      </c>
      <c r="G142" s="55">
        <v>100</v>
      </c>
      <c r="H142" s="57">
        <v>5</v>
      </c>
      <c r="I142" s="48">
        <v>2</v>
      </c>
      <c r="J142" s="48">
        <v>2</v>
      </c>
    </row>
    <row r="143" spans="1:10" ht="15.75" customHeight="1" x14ac:dyDescent="0.35">
      <c r="A143" s="55" t="s">
        <v>168</v>
      </c>
      <c r="B143" s="55" t="s">
        <v>180</v>
      </c>
      <c r="C143" s="55">
        <v>97</v>
      </c>
      <c r="D143" s="58">
        <v>1.08</v>
      </c>
      <c r="E143" s="55">
        <v>25.4</v>
      </c>
      <c r="F143" s="55">
        <v>0</v>
      </c>
      <c r="G143" s="55">
        <v>100</v>
      </c>
      <c r="H143" s="57">
        <v>5</v>
      </c>
      <c r="I143" s="48">
        <v>6</v>
      </c>
      <c r="J143" s="48">
        <v>8</v>
      </c>
    </row>
    <row r="144" spans="1:10" ht="15.75" customHeight="1" x14ac:dyDescent="0.35">
      <c r="A144" s="55" t="s">
        <v>168</v>
      </c>
      <c r="B144" s="55" t="s">
        <v>180</v>
      </c>
      <c r="C144" s="55">
        <v>97</v>
      </c>
      <c r="D144" s="58">
        <v>1.08</v>
      </c>
      <c r="E144" s="55">
        <v>25.4</v>
      </c>
      <c r="F144" s="55">
        <v>0</v>
      </c>
      <c r="G144" s="55">
        <v>65</v>
      </c>
      <c r="H144" s="57">
        <v>5</v>
      </c>
      <c r="I144" s="48">
        <v>9</v>
      </c>
      <c r="J144" s="48">
        <v>9</v>
      </c>
    </row>
    <row r="145" spans="1:10" ht="15.75" customHeight="1" x14ac:dyDescent="0.35">
      <c r="A145" s="55" t="s">
        <v>168</v>
      </c>
      <c r="B145" s="48" t="s">
        <v>180</v>
      </c>
      <c r="C145" s="48">
        <v>80</v>
      </c>
      <c r="D145" s="76">
        <v>0.04</v>
      </c>
      <c r="E145" s="48">
        <v>25.3</v>
      </c>
      <c r="F145" s="48">
        <v>0</v>
      </c>
      <c r="G145" s="48">
        <v>100</v>
      </c>
      <c r="H145" s="49">
        <v>5</v>
      </c>
      <c r="I145" s="48">
        <v>0</v>
      </c>
      <c r="J145" s="48">
        <v>0</v>
      </c>
    </row>
    <row r="146" spans="1:10" ht="15.75" customHeight="1" x14ac:dyDescent="0.35">
      <c r="A146" s="55" t="s">
        <v>168</v>
      </c>
      <c r="B146" s="48" t="s">
        <v>181</v>
      </c>
      <c r="C146" s="48">
        <v>87</v>
      </c>
      <c r="D146" s="76">
        <v>9.8000000000000007</v>
      </c>
      <c r="E146" s="48">
        <v>34.5</v>
      </c>
      <c r="F146" s="48">
        <v>0</v>
      </c>
      <c r="G146" s="48">
        <v>90</v>
      </c>
      <c r="H146" s="49">
        <v>3</v>
      </c>
      <c r="I146" s="48">
        <v>4</v>
      </c>
      <c r="J146" s="48">
        <v>4</v>
      </c>
    </row>
    <row r="147" spans="1:10" ht="15.75" customHeight="1" x14ac:dyDescent="0.35">
      <c r="A147" s="55" t="s">
        <v>168</v>
      </c>
      <c r="B147" s="48" t="s">
        <v>181</v>
      </c>
      <c r="C147" s="48">
        <v>87</v>
      </c>
      <c r="D147" s="76">
        <v>9.8000000000000007</v>
      </c>
      <c r="E147" s="48">
        <v>34.5</v>
      </c>
      <c r="F147" s="48">
        <v>0</v>
      </c>
      <c r="G147" s="48">
        <v>0</v>
      </c>
      <c r="H147" s="49">
        <v>3</v>
      </c>
      <c r="I147" s="48">
        <v>3</v>
      </c>
      <c r="J147" s="48">
        <v>3</v>
      </c>
    </row>
    <row r="148" spans="1:10" ht="15.75" customHeight="1" x14ac:dyDescent="0.35">
      <c r="A148" s="55" t="s">
        <v>168</v>
      </c>
      <c r="B148" s="48" t="s">
        <v>181</v>
      </c>
      <c r="C148" s="48">
        <v>80</v>
      </c>
      <c r="D148" s="76">
        <v>1.5</v>
      </c>
      <c r="E148" s="48">
        <v>26.9</v>
      </c>
      <c r="F148" s="48">
        <v>0</v>
      </c>
      <c r="G148" s="48">
        <v>100</v>
      </c>
      <c r="H148" s="49">
        <v>3</v>
      </c>
      <c r="I148" s="48">
        <v>3</v>
      </c>
      <c r="J148" s="48">
        <v>4</v>
      </c>
    </row>
    <row r="149" spans="1:10" ht="15.75" customHeight="1" x14ac:dyDescent="0.35">
      <c r="A149" s="55" t="s">
        <v>168</v>
      </c>
      <c r="B149" s="48" t="s">
        <v>198</v>
      </c>
      <c r="C149" s="48">
        <v>81</v>
      </c>
      <c r="D149" s="76">
        <v>36.6</v>
      </c>
      <c r="E149" s="48">
        <v>31.4</v>
      </c>
      <c r="F149" s="48">
        <v>0.8</v>
      </c>
      <c r="G149" s="48">
        <v>96</v>
      </c>
      <c r="H149" s="49">
        <v>3</v>
      </c>
      <c r="I149" s="48">
        <v>7</v>
      </c>
      <c r="J149" s="48">
        <v>7</v>
      </c>
    </row>
    <row r="150" spans="1:10" ht="15.75" customHeight="1" x14ac:dyDescent="0.35">
      <c r="A150" s="55" t="s">
        <v>168</v>
      </c>
      <c r="B150" s="48" t="s">
        <v>198</v>
      </c>
      <c r="C150" s="48">
        <v>79</v>
      </c>
      <c r="D150" s="76">
        <v>13.35</v>
      </c>
      <c r="E150" s="48">
        <v>29.2</v>
      </c>
      <c r="F150" s="48">
        <v>0</v>
      </c>
      <c r="G150" s="48">
        <v>100</v>
      </c>
      <c r="H150" s="49">
        <v>3</v>
      </c>
      <c r="I150" s="48">
        <v>2</v>
      </c>
      <c r="J150" s="48">
        <v>2</v>
      </c>
    </row>
    <row r="151" spans="1:10" ht="15.75" customHeight="1" x14ac:dyDescent="0.35">
      <c r="A151" s="55" t="s">
        <v>168</v>
      </c>
      <c r="B151" s="48" t="s">
        <v>183</v>
      </c>
      <c r="C151" s="48">
        <v>89</v>
      </c>
      <c r="D151" s="76">
        <v>1.1000000000000001</v>
      </c>
      <c r="E151" s="48">
        <v>22.3</v>
      </c>
      <c r="F151" s="48">
        <v>0</v>
      </c>
      <c r="G151" s="48">
        <v>2</v>
      </c>
      <c r="H151" s="49">
        <v>3</v>
      </c>
      <c r="I151" s="48">
        <v>7</v>
      </c>
      <c r="J151" s="48">
        <v>10</v>
      </c>
    </row>
    <row r="152" spans="1:10" ht="15.75" customHeight="1" x14ac:dyDescent="0.35">
      <c r="A152" s="55" t="s">
        <v>168</v>
      </c>
      <c r="B152" s="48" t="s">
        <v>183</v>
      </c>
      <c r="C152" s="48">
        <v>89</v>
      </c>
      <c r="D152" s="76">
        <v>1</v>
      </c>
      <c r="E152" s="48">
        <v>22.2</v>
      </c>
      <c r="F152" s="48">
        <v>0</v>
      </c>
      <c r="G152" s="48">
        <v>100</v>
      </c>
      <c r="H152" s="49">
        <v>3</v>
      </c>
      <c r="I152" s="48">
        <v>4</v>
      </c>
      <c r="J152" s="48">
        <v>4</v>
      </c>
    </row>
    <row r="153" spans="1:10" ht="15.75" customHeight="1" x14ac:dyDescent="0.35">
      <c r="A153" s="55" t="s">
        <v>168</v>
      </c>
      <c r="B153" s="48" t="s">
        <v>183</v>
      </c>
      <c r="C153" s="48">
        <v>72</v>
      </c>
      <c r="D153" s="48">
        <v>0.75</v>
      </c>
      <c r="E153" s="48">
        <v>25</v>
      </c>
      <c r="F153" s="48">
        <v>0.9</v>
      </c>
      <c r="G153" s="48">
        <v>100</v>
      </c>
      <c r="H153" s="49">
        <v>3</v>
      </c>
      <c r="I153" s="48">
        <v>2</v>
      </c>
      <c r="J153" s="48">
        <v>3</v>
      </c>
    </row>
    <row r="154" spans="1:10" ht="15.75" customHeight="1" x14ac:dyDescent="0.35">
      <c r="A154" s="55" t="s">
        <v>168</v>
      </c>
      <c r="B154" s="48" t="s">
        <v>186</v>
      </c>
      <c r="C154" s="48">
        <v>76</v>
      </c>
      <c r="D154" s="76">
        <v>1.53</v>
      </c>
      <c r="E154" s="48">
        <v>25.4</v>
      </c>
      <c r="F154" s="48">
        <v>0</v>
      </c>
      <c r="G154" s="48">
        <v>100</v>
      </c>
      <c r="H154" s="49">
        <v>6</v>
      </c>
      <c r="I154" s="48">
        <v>4</v>
      </c>
      <c r="J154" s="48">
        <v>5</v>
      </c>
    </row>
    <row r="155" spans="1:10" ht="15.75" customHeight="1" x14ac:dyDescent="0.35">
      <c r="A155" s="48" t="s">
        <v>172</v>
      </c>
      <c r="B155" s="48" t="s">
        <v>176</v>
      </c>
      <c r="C155" s="48">
        <v>81</v>
      </c>
      <c r="D155" s="76">
        <v>1.6</v>
      </c>
      <c r="E155" s="48">
        <v>26.5</v>
      </c>
      <c r="F155" s="48">
        <v>0</v>
      </c>
      <c r="G155" s="48">
        <v>30</v>
      </c>
      <c r="H155" s="49">
        <v>4</v>
      </c>
      <c r="I155" s="48">
        <v>12</v>
      </c>
      <c r="J155" s="48">
        <v>18</v>
      </c>
    </row>
    <row r="156" spans="1:10" ht="15.75" customHeight="1" x14ac:dyDescent="0.35">
      <c r="A156" s="48" t="s">
        <v>172</v>
      </c>
      <c r="B156" s="48" t="s">
        <v>177</v>
      </c>
      <c r="C156" s="48">
        <v>96</v>
      </c>
      <c r="D156" s="76">
        <v>1.1299999999999999</v>
      </c>
      <c r="E156" s="48">
        <v>26.4</v>
      </c>
      <c r="F156" s="48">
        <v>0</v>
      </c>
      <c r="G156" s="48">
        <v>100</v>
      </c>
      <c r="H156" s="49">
        <v>3</v>
      </c>
      <c r="I156" s="48">
        <v>5</v>
      </c>
      <c r="J156" s="48">
        <v>5</v>
      </c>
    </row>
    <row r="157" spans="1:10" ht="15.75" customHeight="1" x14ac:dyDescent="0.35">
      <c r="A157" s="48" t="s">
        <v>172</v>
      </c>
      <c r="B157" s="48" t="s">
        <v>200</v>
      </c>
      <c r="C157" s="48">
        <v>99</v>
      </c>
      <c r="D157" s="76">
        <v>0.28000000000000003</v>
      </c>
      <c r="E157" s="48">
        <v>23.5</v>
      </c>
      <c r="F157" s="48">
        <v>0</v>
      </c>
      <c r="G157" s="48">
        <v>100</v>
      </c>
      <c r="H157" s="49">
        <v>5</v>
      </c>
      <c r="I157" s="48">
        <v>7</v>
      </c>
      <c r="J157" s="48">
        <v>10</v>
      </c>
    </row>
    <row r="158" spans="1:10" ht="15.75" customHeight="1" x14ac:dyDescent="0.35">
      <c r="A158" s="48" t="s">
        <v>172</v>
      </c>
      <c r="B158" s="48" t="s">
        <v>180</v>
      </c>
      <c r="C158" s="48">
        <v>96</v>
      </c>
      <c r="D158" s="76">
        <v>0.64</v>
      </c>
      <c r="E158" s="48">
        <v>24.9</v>
      </c>
      <c r="F158" s="48">
        <v>0</v>
      </c>
      <c r="G158" s="48">
        <v>100</v>
      </c>
      <c r="H158" s="49">
        <v>5</v>
      </c>
      <c r="I158" s="48">
        <v>9</v>
      </c>
      <c r="J158" s="48">
        <v>9</v>
      </c>
    </row>
    <row r="159" spans="1:10" ht="15.75" customHeight="1" x14ac:dyDescent="0.35">
      <c r="A159" s="48" t="s">
        <v>172</v>
      </c>
      <c r="B159" s="48" t="s">
        <v>181</v>
      </c>
      <c r="C159" s="48">
        <v>98</v>
      </c>
      <c r="D159" s="76">
        <v>2.2799999999999998</v>
      </c>
      <c r="E159" s="48">
        <v>23.7</v>
      </c>
      <c r="F159" s="48">
        <v>0</v>
      </c>
      <c r="G159" s="48">
        <v>100</v>
      </c>
      <c r="H159" s="49">
        <v>3</v>
      </c>
      <c r="I159" s="48">
        <v>4</v>
      </c>
      <c r="J159" s="48">
        <v>4</v>
      </c>
    </row>
    <row r="160" spans="1:10" ht="15.75" customHeight="1" x14ac:dyDescent="0.35">
      <c r="A160" s="48" t="s">
        <v>172</v>
      </c>
      <c r="B160" s="48" t="s">
        <v>198</v>
      </c>
      <c r="C160" s="48">
        <v>99</v>
      </c>
      <c r="D160" s="76">
        <v>7.2350000000000003</v>
      </c>
      <c r="E160" s="48">
        <v>24.6</v>
      </c>
      <c r="F160" s="48">
        <v>1.4</v>
      </c>
      <c r="G160" s="48">
        <v>100</v>
      </c>
      <c r="H160" s="49">
        <v>3</v>
      </c>
      <c r="I160" s="48">
        <v>10</v>
      </c>
      <c r="J160" s="48">
        <v>16</v>
      </c>
    </row>
    <row r="161" spans="1:10" ht="15.75" customHeight="1" x14ac:dyDescent="0.35">
      <c r="A161" s="48" t="s">
        <v>172</v>
      </c>
      <c r="B161" s="48" t="s">
        <v>183</v>
      </c>
      <c r="C161" s="48">
        <v>92</v>
      </c>
      <c r="D161" s="76">
        <v>44.68</v>
      </c>
      <c r="E161" s="48">
        <v>23.2</v>
      </c>
      <c r="F161" s="48">
        <v>0.6</v>
      </c>
      <c r="G161" s="48">
        <v>0</v>
      </c>
      <c r="H161" s="49">
        <v>3</v>
      </c>
      <c r="I161" s="48">
        <v>8</v>
      </c>
      <c r="J161" s="48">
        <v>9</v>
      </c>
    </row>
    <row r="162" spans="1:10" ht="15.75" customHeight="1" x14ac:dyDescent="0.35">
      <c r="A162" s="48" t="s">
        <v>172</v>
      </c>
      <c r="B162" s="48" t="s">
        <v>183</v>
      </c>
      <c r="C162" s="48">
        <v>84</v>
      </c>
      <c r="D162" s="76">
        <v>0.5</v>
      </c>
      <c r="E162" s="48">
        <v>25.9</v>
      </c>
      <c r="F162" s="48">
        <v>0</v>
      </c>
      <c r="G162" s="48">
        <v>100</v>
      </c>
      <c r="H162" s="49">
        <v>3</v>
      </c>
      <c r="I162" s="48">
        <v>4</v>
      </c>
      <c r="J162" s="48">
        <v>4</v>
      </c>
    </row>
    <row r="163" spans="1:10" ht="15.75" customHeight="1" x14ac:dyDescent="0.35">
      <c r="A163" s="48" t="s">
        <v>172</v>
      </c>
      <c r="B163" s="48" t="s">
        <v>186</v>
      </c>
      <c r="C163" s="48">
        <v>83</v>
      </c>
      <c r="D163" s="76">
        <v>1.1299999999999999</v>
      </c>
      <c r="E163" s="48">
        <v>25.5</v>
      </c>
      <c r="F163" s="48">
        <v>0</v>
      </c>
      <c r="G163" s="48">
        <v>100</v>
      </c>
      <c r="H163" s="49">
        <v>6</v>
      </c>
      <c r="I163" s="48">
        <v>9</v>
      </c>
      <c r="J163" s="48">
        <v>19</v>
      </c>
    </row>
    <row r="164" spans="1:10" ht="15.75" customHeight="1" x14ac:dyDescent="0.35">
      <c r="D164" s="76"/>
    </row>
    <row r="165" spans="1:10" ht="15.75" customHeight="1" x14ac:dyDescent="0.35">
      <c r="D165" s="76"/>
    </row>
    <row r="166" spans="1:10" ht="15.75" customHeight="1" x14ac:dyDescent="0.35">
      <c r="D166" s="76"/>
    </row>
    <row r="167" spans="1:10" ht="15.75" customHeight="1" x14ac:dyDescent="0.35">
      <c r="D167" s="76"/>
    </row>
    <row r="168" spans="1:10" ht="15.75" customHeight="1" x14ac:dyDescent="0.35">
      <c r="D168" s="76"/>
    </row>
    <row r="169" spans="1:10" ht="15.75" customHeight="1" x14ac:dyDescent="0.35">
      <c r="D169" s="76"/>
    </row>
    <row r="170" spans="1:10" ht="15.75" customHeight="1" x14ac:dyDescent="0.35">
      <c r="D170" s="76"/>
    </row>
    <row r="171" spans="1:10" ht="15.75" customHeight="1" x14ac:dyDescent="0.35">
      <c r="D171" s="76"/>
    </row>
    <row r="172" spans="1:10" ht="15.75" customHeight="1" x14ac:dyDescent="0.35">
      <c r="D172" s="76"/>
    </row>
    <row r="173" spans="1:10" ht="15.75" customHeight="1" x14ac:dyDescent="0.35">
      <c r="D173" s="76"/>
    </row>
    <row r="174" spans="1:10" ht="15.75" customHeight="1" x14ac:dyDescent="0.35">
      <c r="D174" s="76"/>
    </row>
    <row r="175" spans="1:10" ht="15.75" customHeight="1" x14ac:dyDescent="0.35">
      <c r="D175" s="76"/>
    </row>
    <row r="176" spans="1:10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/>
    <row r="237" spans="4:4" ht="15.75" customHeight="1" x14ac:dyDescent="0.35"/>
    <row r="238" spans="4:4" ht="15.75" customHeight="1" x14ac:dyDescent="0.35"/>
    <row r="239" spans="4:4" ht="15.75" customHeight="1" x14ac:dyDescent="0.35"/>
    <row r="240" spans="4: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autoFilter ref="A2:J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1"/>
  <sheetViews>
    <sheetView topLeftCell="E2" zoomScale="80" workbookViewId="0">
      <selection activeCell="W2" sqref="M2:W2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120" x14ac:dyDescent="0.35">
      <c r="A2" s="51" t="s">
        <v>196</v>
      </c>
      <c r="B2" s="51" t="s">
        <v>187</v>
      </c>
      <c r="C2" s="52" t="s">
        <v>188</v>
      </c>
      <c r="D2" s="54" t="s">
        <v>189</v>
      </c>
      <c r="E2" s="52" t="s">
        <v>190</v>
      </c>
      <c r="F2" s="52" t="s">
        <v>191</v>
      </c>
      <c r="G2" s="52" t="s">
        <v>192</v>
      </c>
      <c r="H2" s="53" t="s">
        <v>194</v>
      </c>
      <c r="I2" s="48" t="s">
        <v>195</v>
      </c>
      <c r="J2" s="48" t="s">
        <v>175</v>
      </c>
    </row>
    <row r="3" spans="1:10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7">
        <v>4</v>
      </c>
      <c r="I3" s="48">
        <v>6</v>
      </c>
      <c r="J3" s="48">
        <v>22</v>
      </c>
    </row>
    <row r="4" spans="1:10" ht="15.75" customHeight="1" x14ac:dyDescent="0.35">
      <c r="A4" s="55" t="s">
        <v>146</v>
      </c>
      <c r="B4" s="61" t="s">
        <v>177</v>
      </c>
      <c r="C4" s="55">
        <v>92</v>
      </c>
      <c r="D4" s="58">
        <v>0.78</v>
      </c>
      <c r="E4" s="55">
        <v>24.6</v>
      </c>
      <c r="F4" s="55">
        <v>0</v>
      </c>
      <c r="G4" s="55">
        <v>5</v>
      </c>
      <c r="H4" s="57">
        <v>3</v>
      </c>
      <c r="I4" s="48">
        <v>9</v>
      </c>
      <c r="J4" s="48">
        <v>14</v>
      </c>
    </row>
    <row r="5" spans="1:10" ht="15.75" customHeight="1" x14ac:dyDescent="0.35">
      <c r="A5" s="55" t="s">
        <v>146</v>
      </c>
      <c r="B5" s="61" t="s">
        <v>200</v>
      </c>
      <c r="C5" s="55">
        <v>94</v>
      </c>
      <c r="D5" s="70">
        <v>0.50800000000000001</v>
      </c>
      <c r="E5" s="55">
        <v>24.8</v>
      </c>
      <c r="F5" s="55">
        <v>0</v>
      </c>
      <c r="G5" s="55">
        <v>5</v>
      </c>
      <c r="H5" s="57">
        <v>5</v>
      </c>
      <c r="I5" s="48">
        <v>8</v>
      </c>
      <c r="J5" s="48">
        <v>8</v>
      </c>
    </row>
    <row r="6" spans="1:10" ht="15.75" customHeight="1" x14ac:dyDescent="0.35">
      <c r="A6" s="55" t="s">
        <v>146</v>
      </c>
      <c r="B6" s="61" t="s">
        <v>200</v>
      </c>
      <c r="C6" s="55">
        <v>94</v>
      </c>
      <c r="D6" s="70">
        <v>0.5</v>
      </c>
      <c r="E6" s="55">
        <v>24.8</v>
      </c>
      <c r="F6" s="55">
        <v>0</v>
      </c>
      <c r="G6" s="55">
        <v>100</v>
      </c>
      <c r="H6" s="57">
        <v>5</v>
      </c>
      <c r="I6" s="48">
        <v>2</v>
      </c>
      <c r="J6" s="48">
        <v>6</v>
      </c>
    </row>
    <row r="7" spans="1:10" ht="15.75" customHeight="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23</v>
      </c>
      <c r="F7" s="55">
        <v>0</v>
      </c>
      <c r="G7" s="55">
        <v>100</v>
      </c>
      <c r="H7" s="57">
        <v>5</v>
      </c>
      <c r="I7" s="48">
        <v>5</v>
      </c>
      <c r="J7" s="48">
        <v>5</v>
      </c>
    </row>
    <row r="8" spans="1:10" ht="15.75" customHeight="1" x14ac:dyDescent="0.35">
      <c r="A8" s="55" t="s">
        <v>146</v>
      </c>
      <c r="B8" s="61" t="s">
        <v>200</v>
      </c>
      <c r="C8" s="59">
        <v>94</v>
      </c>
      <c r="D8" s="70">
        <v>0.5</v>
      </c>
      <c r="E8" s="55">
        <v>22</v>
      </c>
      <c r="F8" s="55">
        <v>0</v>
      </c>
      <c r="G8" s="55">
        <v>100</v>
      </c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146</v>
      </c>
      <c r="B9" s="61" t="s">
        <v>181</v>
      </c>
      <c r="C9" s="55">
        <v>99</v>
      </c>
      <c r="D9" s="58">
        <v>7.59</v>
      </c>
      <c r="E9" s="55">
        <v>23.9</v>
      </c>
      <c r="F9" s="55">
        <v>0</v>
      </c>
      <c r="G9" s="55">
        <v>100</v>
      </c>
      <c r="H9" s="57">
        <v>3</v>
      </c>
      <c r="I9" s="48">
        <v>5</v>
      </c>
      <c r="J9" s="48">
        <v>6</v>
      </c>
    </row>
    <row r="10" spans="1:10" ht="15.75" customHeight="1" x14ac:dyDescent="0.35">
      <c r="A10" s="55" t="s">
        <v>146</v>
      </c>
      <c r="B10" s="61" t="s">
        <v>198</v>
      </c>
      <c r="C10" s="55">
        <v>99</v>
      </c>
      <c r="D10" s="58">
        <v>13.05</v>
      </c>
      <c r="E10" s="55">
        <v>25.9</v>
      </c>
      <c r="F10" s="55">
        <v>0.45</v>
      </c>
      <c r="G10" s="55">
        <v>100</v>
      </c>
      <c r="H10" s="57">
        <v>3</v>
      </c>
      <c r="I10" s="48">
        <v>4</v>
      </c>
      <c r="J10" s="48">
        <v>4</v>
      </c>
    </row>
    <row r="11" spans="1:10" ht="15.75" customHeight="1" x14ac:dyDescent="0.35">
      <c r="A11" s="55" t="s">
        <v>146</v>
      </c>
      <c r="B11" s="61" t="s">
        <v>183</v>
      </c>
      <c r="C11" s="55">
        <v>79</v>
      </c>
      <c r="D11" s="58">
        <v>15.5</v>
      </c>
      <c r="E11" s="55">
        <v>28.3</v>
      </c>
      <c r="F11" s="55">
        <v>0</v>
      </c>
      <c r="G11" s="55">
        <v>100</v>
      </c>
      <c r="H11" s="57">
        <v>3</v>
      </c>
      <c r="I11" s="48">
        <v>3</v>
      </c>
      <c r="J11" s="48">
        <v>3</v>
      </c>
    </row>
    <row r="12" spans="1:10" ht="15.75" customHeight="1" x14ac:dyDescent="0.35">
      <c r="A12" s="55" t="s">
        <v>146</v>
      </c>
      <c r="B12" s="61" t="s">
        <v>183</v>
      </c>
      <c r="C12" s="55">
        <v>79</v>
      </c>
      <c r="D12" s="58">
        <v>4.87</v>
      </c>
      <c r="E12" s="55">
        <v>25.2</v>
      </c>
      <c r="F12" s="55">
        <v>0</v>
      </c>
      <c r="G12" s="55">
        <v>100</v>
      </c>
      <c r="H12" s="57">
        <v>3</v>
      </c>
      <c r="I12" s="48">
        <v>0</v>
      </c>
      <c r="J12" s="48">
        <v>0</v>
      </c>
    </row>
    <row r="13" spans="1:10" ht="15.75" customHeight="1" x14ac:dyDescent="0.35">
      <c r="A13" s="55" t="s">
        <v>146</v>
      </c>
      <c r="B13" s="61" t="s">
        <v>186</v>
      </c>
      <c r="C13" s="55">
        <v>79</v>
      </c>
      <c r="D13" s="58">
        <v>0.56999999999999995</v>
      </c>
      <c r="E13" s="55">
        <v>24.8</v>
      </c>
      <c r="F13" s="55">
        <v>0</v>
      </c>
      <c r="G13" s="55">
        <v>100</v>
      </c>
      <c r="H13" s="57">
        <v>6</v>
      </c>
      <c r="I13" s="48">
        <v>3</v>
      </c>
      <c r="J13" s="48">
        <v>4</v>
      </c>
    </row>
    <row r="14" spans="1:10" ht="15.75" customHeight="1" x14ac:dyDescent="0.35">
      <c r="A14" s="55" t="s">
        <v>146</v>
      </c>
      <c r="B14" s="61" t="s">
        <v>186</v>
      </c>
      <c r="C14" s="55">
        <v>96</v>
      </c>
      <c r="D14" s="58">
        <v>15.05</v>
      </c>
      <c r="E14" s="55">
        <v>30.2</v>
      </c>
      <c r="F14" s="55">
        <v>0</v>
      </c>
      <c r="G14" s="55">
        <v>100</v>
      </c>
      <c r="H14" s="57">
        <v>6</v>
      </c>
      <c r="I14" s="48">
        <v>2</v>
      </c>
      <c r="J14" s="48">
        <v>6</v>
      </c>
    </row>
    <row r="15" spans="1:10" ht="15.75" customHeight="1" x14ac:dyDescent="0.35">
      <c r="A15" s="55" t="s">
        <v>146</v>
      </c>
      <c r="B15" s="55" t="s">
        <v>186</v>
      </c>
      <c r="C15" s="55">
        <v>57</v>
      </c>
      <c r="D15" s="58">
        <v>153.19999999999999</v>
      </c>
      <c r="E15" s="55">
        <v>30.2</v>
      </c>
      <c r="F15" s="55">
        <v>0.4</v>
      </c>
      <c r="G15" s="55">
        <v>100</v>
      </c>
      <c r="H15" s="57">
        <v>6</v>
      </c>
      <c r="I15" s="48">
        <v>2</v>
      </c>
      <c r="J15" s="48">
        <v>3</v>
      </c>
    </row>
    <row r="16" spans="1:10" ht="15.75" customHeight="1" x14ac:dyDescent="0.35">
      <c r="A16" s="55" t="s">
        <v>153</v>
      </c>
      <c r="B16" s="61" t="s">
        <v>176</v>
      </c>
      <c r="C16" s="55">
        <v>98</v>
      </c>
      <c r="D16" s="58">
        <v>7.54</v>
      </c>
      <c r="E16" s="55">
        <v>25.8</v>
      </c>
      <c r="F16" s="55">
        <v>0</v>
      </c>
      <c r="G16" s="55">
        <v>100</v>
      </c>
      <c r="H16" s="57">
        <v>4</v>
      </c>
      <c r="I16" s="48">
        <v>5</v>
      </c>
      <c r="J16" s="48">
        <v>7</v>
      </c>
    </row>
    <row r="17" spans="1:10" ht="15.75" customHeight="1" x14ac:dyDescent="0.35">
      <c r="A17" s="55" t="s">
        <v>153</v>
      </c>
      <c r="B17" s="61" t="s">
        <v>176</v>
      </c>
      <c r="C17" s="55">
        <v>99</v>
      </c>
      <c r="D17" s="58">
        <v>6.06</v>
      </c>
      <c r="E17" s="55">
        <v>25.35</v>
      </c>
      <c r="F17" s="55">
        <v>0</v>
      </c>
      <c r="G17" s="55">
        <v>100</v>
      </c>
      <c r="H17" s="57">
        <v>4</v>
      </c>
      <c r="I17" s="48">
        <v>9</v>
      </c>
      <c r="J17" s="48">
        <v>9</v>
      </c>
    </row>
    <row r="18" spans="1:10" ht="15.75" customHeight="1" x14ac:dyDescent="0.35">
      <c r="A18" s="55" t="s">
        <v>153</v>
      </c>
      <c r="B18" s="61" t="s">
        <v>177</v>
      </c>
      <c r="C18" s="55">
        <v>98</v>
      </c>
      <c r="D18" s="58">
        <v>0.77</v>
      </c>
      <c r="E18" s="55">
        <v>22.6</v>
      </c>
      <c r="F18" s="55">
        <v>0</v>
      </c>
      <c r="G18" s="55">
        <v>100</v>
      </c>
      <c r="H18" s="57">
        <v>3</v>
      </c>
      <c r="I18" s="48">
        <v>8</v>
      </c>
      <c r="J18" s="48">
        <v>14</v>
      </c>
    </row>
    <row r="19" spans="1:10" ht="15.75" customHeight="1" x14ac:dyDescent="0.35">
      <c r="A19" s="55" t="s">
        <v>153</v>
      </c>
      <c r="B19" s="61" t="s">
        <v>177</v>
      </c>
      <c r="C19" s="55">
        <v>82</v>
      </c>
      <c r="D19" s="70">
        <v>0.19800000000000001</v>
      </c>
      <c r="E19" s="55">
        <v>24.3</v>
      </c>
      <c r="F19" s="55">
        <v>0</v>
      </c>
      <c r="G19" s="55">
        <v>20</v>
      </c>
      <c r="H19" s="57">
        <v>3</v>
      </c>
      <c r="I19" s="48">
        <v>9</v>
      </c>
      <c r="J19" s="48">
        <v>12</v>
      </c>
    </row>
    <row r="20" spans="1:10" ht="15.75" customHeight="1" x14ac:dyDescent="0.35">
      <c r="A20" s="55" t="s">
        <v>153</v>
      </c>
      <c r="B20" s="61" t="s">
        <v>200</v>
      </c>
      <c r="C20" s="55">
        <v>98</v>
      </c>
      <c r="D20" s="58">
        <v>3.69</v>
      </c>
      <c r="E20" s="55">
        <v>22.35</v>
      </c>
      <c r="F20" s="55">
        <v>0</v>
      </c>
      <c r="G20" s="55">
        <v>0</v>
      </c>
      <c r="H20" s="57">
        <v>5</v>
      </c>
      <c r="I20" s="48">
        <v>3</v>
      </c>
      <c r="J20" s="48">
        <v>7</v>
      </c>
    </row>
    <row r="21" spans="1:10" ht="15.75" customHeight="1" x14ac:dyDescent="0.35">
      <c r="A21" s="55" t="s">
        <v>153</v>
      </c>
      <c r="B21" s="61" t="s">
        <v>200</v>
      </c>
      <c r="C21" s="55">
        <v>98</v>
      </c>
      <c r="D21" s="58">
        <v>3.69</v>
      </c>
      <c r="E21" s="55">
        <v>22.35</v>
      </c>
      <c r="F21" s="55">
        <v>0</v>
      </c>
      <c r="G21" s="55">
        <v>0</v>
      </c>
      <c r="H21" s="57">
        <v>5</v>
      </c>
      <c r="I21" s="48">
        <v>13</v>
      </c>
      <c r="J21" s="48">
        <v>14</v>
      </c>
    </row>
    <row r="22" spans="1:10" ht="15.75" customHeight="1" x14ac:dyDescent="0.35">
      <c r="A22" s="55" t="s">
        <v>153</v>
      </c>
      <c r="B22" s="61" t="s">
        <v>200</v>
      </c>
      <c r="C22" s="55">
        <v>90</v>
      </c>
      <c r="D22" s="70">
        <v>3.5000000000000003E-2</v>
      </c>
      <c r="E22" s="55">
        <v>24.2</v>
      </c>
      <c r="F22" s="55">
        <v>0</v>
      </c>
      <c r="G22" s="55">
        <v>20</v>
      </c>
      <c r="H22" s="57">
        <v>5</v>
      </c>
      <c r="I22" s="48">
        <v>1</v>
      </c>
      <c r="J22" s="48">
        <v>1</v>
      </c>
    </row>
    <row r="23" spans="1:10" ht="15.75" customHeight="1" x14ac:dyDescent="0.35">
      <c r="A23" s="55" t="s">
        <v>153</v>
      </c>
      <c r="B23" s="61" t="s">
        <v>200</v>
      </c>
      <c r="C23" s="55">
        <v>61</v>
      </c>
      <c r="D23" s="70">
        <v>9.4E-2</v>
      </c>
      <c r="E23" s="55">
        <v>25.5</v>
      </c>
      <c r="F23" s="55">
        <v>0</v>
      </c>
      <c r="G23" s="55">
        <v>15</v>
      </c>
      <c r="H23" s="57">
        <v>5</v>
      </c>
      <c r="I23" s="48">
        <v>6</v>
      </c>
      <c r="J23" s="48">
        <v>8</v>
      </c>
    </row>
    <row r="24" spans="1:10" ht="15.75" customHeight="1" x14ac:dyDescent="0.35">
      <c r="A24" s="55" t="s">
        <v>153</v>
      </c>
      <c r="B24" s="61" t="s">
        <v>200</v>
      </c>
      <c r="C24" s="55">
        <v>65</v>
      </c>
      <c r="D24" s="70">
        <v>3.5000000000000003E-2</v>
      </c>
      <c r="E24" s="55">
        <v>25.7</v>
      </c>
      <c r="F24" s="55">
        <v>0</v>
      </c>
      <c r="G24" s="55">
        <v>100</v>
      </c>
      <c r="H24" s="57">
        <v>5</v>
      </c>
      <c r="I24" s="48">
        <v>3</v>
      </c>
      <c r="J24" s="48">
        <v>3</v>
      </c>
    </row>
    <row r="25" spans="1:10" ht="15.75" customHeight="1" x14ac:dyDescent="0.35">
      <c r="A25" s="55" t="s">
        <v>153</v>
      </c>
      <c r="B25" s="61" t="s">
        <v>180</v>
      </c>
      <c r="C25" s="55">
        <v>85</v>
      </c>
      <c r="D25" s="58">
        <v>3.81</v>
      </c>
      <c r="E25" s="55">
        <v>25</v>
      </c>
      <c r="F25" s="55">
        <v>0</v>
      </c>
      <c r="G25" s="55">
        <v>78.33</v>
      </c>
      <c r="H25" s="57">
        <v>5</v>
      </c>
      <c r="I25" s="48">
        <v>3</v>
      </c>
      <c r="J25" s="48">
        <v>3</v>
      </c>
    </row>
    <row r="26" spans="1:10" ht="15.75" customHeight="1" x14ac:dyDescent="0.35">
      <c r="A26" s="55" t="s">
        <v>153</v>
      </c>
      <c r="B26" s="61" t="s">
        <v>180</v>
      </c>
      <c r="C26" s="55">
        <v>61</v>
      </c>
      <c r="D26" s="58">
        <v>4.78</v>
      </c>
      <c r="E26" s="55">
        <v>28.7</v>
      </c>
      <c r="F26" s="55">
        <v>0</v>
      </c>
      <c r="G26" s="55">
        <v>100</v>
      </c>
      <c r="H26" s="57">
        <v>5</v>
      </c>
      <c r="I26" s="48">
        <v>0</v>
      </c>
      <c r="J26" s="48">
        <v>0</v>
      </c>
    </row>
    <row r="27" spans="1:10" ht="15.75" customHeight="1" x14ac:dyDescent="0.35">
      <c r="A27" s="55" t="s">
        <v>153</v>
      </c>
      <c r="B27" s="61" t="s">
        <v>180</v>
      </c>
      <c r="C27" s="55">
        <v>47</v>
      </c>
      <c r="D27" s="70">
        <v>0.74399999999999999</v>
      </c>
      <c r="E27" s="55">
        <v>29.9</v>
      </c>
      <c r="F27" s="55">
        <v>0</v>
      </c>
      <c r="G27" s="55">
        <v>2</v>
      </c>
      <c r="H27" s="57">
        <v>5</v>
      </c>
      <c r="I27" s="48">
        <v>2</v>
      </c>
      <c r="J27" s="48">
        <v>2</v>
      </c>
    </row>
    <row r="28" spans="1:10" ht="15.75" customHeight="1" x14ac:dyDescent="0.35">
      <c r="A28" s="55" t="s">
        <v>153</v>
      </c>
      <c r="B28" s="61" t="s">
        <v>180</v>
      </c>
      <c r="C28" s="55">
        <v>50</v>
      </c>
      <c r="D28" s="70">
        <v>0.7</v>
      </c>
      <c r="E28" s="55">
        <v>26.3</v>
      </c>
      <c r="F28" s="55">
        <v>0</v>
      </c>
      <c r="G28" s="55">
        <v>100</v>
      </c>
      <c r="H28" s="57">
        <v>5</v>
      </c>
      <c r="I28" s="48">
        <v>2</v>
      </c>
      <c r="J28" s="48">
        <v>5</v>
      </c>
    </row>
    <row r="29" spans="1:10" ht="15.75" customHeight="1" x14ac:dyDescent="0.35">
      <c r="A29" s="55" t="s">
        <v>153</v>
      </c>
      <c r="B29" s="61" t="s">
        <v>181</v>
      </c>
      <c r="C29" s="55">
        <v>85</v>
      </c>
      <c r="D29" s="58">
        <v>13.84</v>
      </c>
      <c r="E29" s="55">
        <v>26.7</v>
      </c>
      <c r="F29" s="55">
        <v>0</v>
      </c>
      <c r="G29" s="55">
        <v>100</v>
      </c>
      <c r="H29" s="57">
        <v>3</v>
      </c>
      <c r="I29" s="48">
        <v>4</v>
      </c>
      <c r="J29" s="48">
        <v>6</v>
      </c>
    </row>
    <row r="30" spans="1:10" ht="15.75" customHeight="1" x14ac:dyDescent="0.35">
      <c r="A30" s="55" t="s">
        <v>153</v>
      </c>
      <c r="B30" s="61" t="s">
        <v>181</v>
      </c>
      <c r="C30" s="55">
        <v>55</v>
      </c>
      <c r="D30" s="58">
        <v>55.3</v>
      </c>
      <c r="E30" s="55">
        <v>30.2</v>
      </c>
      <c r="F30" s="55">
        <v>0</v>
      </c>
      <c r="G30" s="55">
        <v>100</v>
      </c>
      <c r="H30" s="57">
        <v>3</v>
      </c>
      <c r="I30" s="48">
        <v>0</v>
      </c>
      <c r="J30" s="48">
        <v>0</v>
      </c>
    </row>
    <row r="31" spans="1:10" ht="15.75" customHeight="1" x14ac:dyDescent="0.35">
      <c r="A31" s="55" t="s">
        <v>153</v>
      </c>
      <c r="B31" s="61" t="s">
        <v>181</v>
      </c>
      <c r="C31" s="55">
        <v>51</v>
      </c>
      <c r="D31" s="58">
        <v>26.78</v>
      </c>
      <c r="E31" s="55">
        <v>30.7</v>
      </c>
      <c r="F31" s="55">
        <v>0</v>
      </c>
      <c r="G31" s="55">
        <v>23.33</v>
      </c>
      <c r="H31" s="57">
        <v>3</v>
      </c>
      <c r="I31" s="48">
        <v>2</v>
      </c>
      <c r="J31" s="48">
        <v>2</v>
      </c>
    </row>
    <row r="32" spans="1:10" ht="15.75" customHeight="1" x14ac:dyDescent="0.35">
      <c r="A32" s="55" t="s">
        <v>153</v>
      </c>
      <c r="B32" s="61" t="s">
        <v>198</v>
      </c>
      <c r="C32" s="55">
        <v>90</v>
      </c>
      <c r="D32" s="58">
        <v>8.44</v>
      </c>
      <c r="E32" s="55">
        <v>27.4</v>
      </c>
      <c r="F32" s="55">
        <v>0.8</v>
      </c>
      <c r="G32" s="55">
        <v>100</v>
      </c>
      <c r="H32" s="57">
        <v>3</v>
      </c>
      <c r="I32" s="48">
        <v>12</v>
      </c>
      <c r="J32" s="48">
        <v>17</v>
      </c>
    </row>
    <row r="33" spans="1:10" ht="15.75" customHeight="1" x14ac:dyDescent="0.35">
      <c r="A33" s="55" t="s">
        <v>153</v>
      </c>
      <c r="B33" s="56" t="s">
        <v>198</v>
      </c>
      <c r="C33" s="55">
        <v>58</v>
      </c>
      <c r="D33" s="58">
        <v>30.1</v>
      </c>
      <c r="E33" s="55">
        <v>29.1</v>
      </c>
      <c r="F33" s="55">
        <v>0</v>
      </c>
      <c r="G33" s="55">
        <v>98.75</v>
      </c>
      <c r="H33" s="57">
        <v>3</v>
      </c>
      <c r="I33" s="48">
        <v>2</v>
      </c>
      <c r="J33" s="48">
        <v>2</v>
      </c>
    </row>
    <row r="34" spans="1:10" ht="15.75" customHeight="1" x14ac:dyDescent="0.35">
      <c r="A34" s="55" t="s">
        <v>153</v>
      </c>
      <c r="B34" s="61" t="s">
        <v>183</v>
      </c>
      <c r="C34" s="55">
        <v>95</v>
      </c>
      <c r="D34" s="58">
        <v>10.69</v>
      </c>
      <c r="E34" s="55">
        <v>22.8</v>
      </c>
      <c r="F34" s="55">
        <v>1.2</v>
      </c>
      <c r="G34" s="55">
        <v>100</v>
      </c>
      <c r="H34" s="57">
        <v>3</v>
      </c>
      <c r="I34" s="48">
        <v>4</v>
      </c>
      <c r="J34" s="48">
        <v>7</v>
      </c>
    </row>
    <row r="35" spans="1:10" ht="15.75" customHeight="1" x14ac:dyDescent="0.35">
      <c r="A35" s="55" t="s">
        <v>153</v>
      </c>
      <c r="B35" s="61" t="s">
        <v>183</v>
      </c>
      <c r="C35" s="55">
        <v>95</v>
      </c>
      <c r="D35" s="58">
        <v>5.99</v>
      </c>
      <c r="E35" s="55">
        <v>25.7</v>
      </c>
      <c r="F35" s="55">
        <v>0</v>
      </c>
      <c r="G35" s="55">
        <v>100</v>
      </c>
      <c r="H35" s="57">
        <v>3</v>
      </c>
      <c r="I35" s="48">
        <v>5</v>
      </c>
      <c r="J35" s="48">
        <v>7</v>
      </c>
    </row>
    <row r="36" spans="1:10" ht="15.75" customHeight="1" x14ac:dyDescent="0.35">
      <c r="A36" s="55" t="s">
        <v>153</v>
      </c>
      <c r="B36" s="56" t="s">
        <v>183</v>
      </c>
      <c r="C36" s="55">
        <v>98</v>
      </c>
      <c r="D36" s="58">
        <v>3.61</v>
      </c>
      <c r="E36" s="55">
        <v>23</v>
      </c>
      <c r="F36" s="55">
        <v>0</v>
      </c>
      <c r="G36" s="55">
        <v>100</v>
      </c>
      <c r="H36" s="57">
        <v>3</v>
      </c>
      <c r="I36" s="48">
        <v>0</v>
      </c>
      <c r="J36" s="48">
        <v>0</v>
      </c>
    </row>
    <row r="37" spans="1:10" ht="15.75" customHeight="1" x14ac:dyDescent="0.35">
      <c r="A37" s="55" t="s">
        <v>153</v>
      </c>
      <c r="B37" s="61" t="s">
        <v>183</v>
      </c>
      <c r="C37" s="55">
        <v>80</v>
      </c>
      <c r="D37" s="58">
        <v>6.89</v>
      </c>
      <c r="E37" s="55">
        <v>24.3</v>
      </c>
      <c r="F37" s="55">
        <v>0.87</v>
      </c>
      <c r="G37" s="55">
        <v>100</v>
      </c>
      <c r="H37" s="57">
        <v>3</v>
      </c>
      <c r="I37" s="48">
        <v>2</v>
      </c>
      <c r="J37" s="48">
        <v>2</v>
      </c>
    </row>
    <row r="38" spans="1:10" ht="15.75" customHeight="1" x14ac:dyDescent="0.35">
      <c r="A38" s="55" t="s">
        <v>153</v>
      </c>
      <c r="B38" s="61" t="s">
        <v>186</v>
      </c>
      <c r="C38" s="55">
        <v>95</v>
      </c>
      <c r="D38" s="58">
        <v>1.44</v>
      </c>
      <c r="E38" s="55">
        <v>25.1</v>
      </c>
      <c r="F38" s="55">
        <v>0</v>
      </c>
      <c r="G38" s="55">
        <v>100</v>
      </c>
      <c r="H38" s="57">
        <v>6</v>
      </c>
      <c r="I38" s="48">
        <v>2</v>
      </c>
      <c r="J38" s="48">
        <v>7</v>
      </c>
    </row>
    <row r="39" spans="1:10" ht="15.75" customHeight="1" x14ac:dyDescent="0.35">
      <c r="A39" s="55" t="s">
        <v>153</v>
      </c>
      <c r="B39" s="61" t="s">
        <v>186</v>
      </c>
      <c r="C39" s="55">
        <v>99</v>
      </c>
      <c r="D39" s="58">
        <v>0.54</v>
      </c>
      <c r="E39" s="55">
        <v>21.9</v>
      </c>
      <c r="F39" s="55">
        <v>0</v>
      </c>
      <c r="G39" s="55">
        <v>100</v>
      </c>
      <c r="H39" s="57">
        <v>6</v>
      </c>
      <c r="I39" s="48">
        <v>3</v>
      </c>
      <c r="J39" s="48">
        <v>3</v>
      </c>
    </row>
    <row r="40" spans="1:10" ht="15.75" customHeight="1" x14ac:dyDescent="0.35">
      <c r="A40" s="55" t="s">
        <v>153</v>
      </c>
      <c r="B40" s="61" t="s">
        <v>186</v>
      </c>
      <c r="C40" s="55">
        <v>99</v>
      </c>
      <c r="D40" s="58">
        <v>0.63</v>
      </c>
      <c r="E40" s="55">
        <v>25.1</v>
      </c>
      <c r="F40" s="55">
        <v>0</v>
      </c>
      <c r="G40" s="55">
        <v>100</v>
      </c>
      <c r="H40" s="57">
        <v>6</v>
      </c>
      <c r="I40" s="48">
        <v>3</v>
      </c>
      <c r="J40" s="48">
        <v>8</v>
      </c>
    </row>
    <row r="41" spans="1:10" ht="15.75" customHeight="1" x14ac:dyDescent="0.35">
      <c r="A41" s="55" t="s">
        <v>153</v>
      </c>
      <c r="B41" s="61" t="s">
        <v>186</v>
      </c>
      <c r="C41" s="55">
        <v>99</v>
      </c>
      <c r="D41" s="58">
        <v>1.67</v>
      </c>
      <c r="E41" s="55">
        <v>25.2</v>
      </c>
      <c r="F41" s="55">
        <v>0</v>
      </c>
      <c r="G41" s="55">
        <v>100</v>
      </c>
      <c r="H41" s="57">
        <v>6</v>
      </c>
      <c r="I41" s="48">
        <v>3</v>
      </c>
      <c r="J41" s="48">
        <v>4</v>
      </c>
    </row>
    <row r="42" spans="1:10" ht="15.75" customHeight="1" x14ac:dyDescent="0.35">
      <c r="A42" s="55" t="s">
        <v>158</v>
      </c>
      <c r="B42" s="61" t="s">
        <v>176</v>
      </c>
      <c r="C42" s="55">
        <v>96</v>
      </c>
      <c r="D42" s="58">
        <v>1.1399999999999999</v>
      </c>
      <c r="E42" s="55">
        <v>26.4</v>
      </c>
      <c r="F42" s="55">
        <v>0</v>
      </c>
      <c r="G42" s="55">
        <v>22</v>
      </c>
      <c r="H42" s="57">
        <v>4</v>
      </c>
      <c r="I42" s="48">
        <v>4</v>
      </c>
      <c r="J42" s="48">
        <v>7</v>
      </c>
    </row>
    <row r="43" spans="1:10" ht="15.75" customHeight="1" x14ac:dyDescent="0.35">
      <c r="A43" s="55" t="s">
        <v>158</v>
      </c>
      <c r="B43" s="61" t="s">
        <v>176</v>
      </c>
      <c r="C43" s="55">
        <v>99</v>
      </c>
      <c r="D43" s="58">
        <v>8.51</v>
      </c>
      <c r="E43" s="55">
        <v>26.5</v>
      </c>
      <c r="F43" s="55">
        <v>0</v>
      </c>
      <c r="G43" s="55">
        <v>36.659999999999997</v>
      </c>
      <c r="H43" s="57">
        <v>4</v>
      </c>
      <c r="I43" s="48">
        <v>9</v>
      </c>
      <c r="J43" s="48">
        <v>9</v>
      </c>
    </row>
    <row r="44" spans="1:10" ht="15.75" customHeight="1" x14ac:dyDescent="0.35">
      <c r="A44" s="55" t="s">
        <v>158</v>
      </c>
      <c r="B44" s="61" t="s">
        <v>176</v>
      </c>
      <c r="C44" s="55">
        <v>99</v>
      </c>
      <c r="D44" s="58">
        <v>8.52</v>
      </c>
      <c r="E44" s="55">
        <v>26.5</v>
      </c>
      <c r="F44" s="55">
        <v>0</v>
      </c>
      <c r="G44" s="55">
        <v>100</v>
      </c>
      <c r="H44" s="57">
        <v>4</v>
      </c>
      <c r="I44" s="48">
        <v>5</v>
      </c>
      <c r="J44" s="48">
        <v>6</v>
      </c>
    </row>
    <row r="45" spans="1:10" ht="15.75" customHeight="1" x14ac:dyDescent="0.35">
      <c r="A45" s="55" t="s">
        <v>158</v>
      </c>
      <c r="B45" s="61" t="s">
        <v>178</v>
      </c>
      <c r="C45" s="55">
        <v>99</v>
      </c>
      <c r="D45" s="58">
        <v>6.93</v>
      </c>
      <c r="E45" s="55">
        <v>23.5</v>
      </c>
      <c r="F45" s="55">
        <v>0</v>
      </c>
      <c r="G45" s="55">
        <v>98</v>
      </c>
      <c r="H45" s="57">
        <v>3</v>
      </c>
      <c r="I45" s="48">
        <v>7</v>
      </c>
      <c r="J45" s="48">
        <v>7</v>
      </c>
    </row>
    <row r="46" spans="1:10" ht="15.75" customHeight="1" x14ac:dyDescent="0.35">
      <c r="A46" s="55" t="s">
        <v>158</v>
      </c>
      <c r="B46" s="61" t="s">
        <v>178</v>
      </c>
      <c r="C46" s="55">
        <v>99</v>
      </c>
      <c r="D46" s="58">
        <v>6.8</v>
      </c>
      <c r="E46" s="55">
        <v>23.5</v>
      </c>
      <c r="F46" s="55">
        <v>0</v>
      </c>
      <c r="G46" s="55">
        <v>100</v>
      </c>
      <c r="H46" s="57">
        <v>3</v>
      </c>
      <c r="I46" s="48">
        <v>1</v>
      </c>
      <c r="J46" s="48">
        <v>1</v>
      </c>
    </row>
    <row r="47" spans="1:10" ht="15.75" customHeight="1" x14ac:dyDescent="0.35">
      <c r="A47" s="55" t="s">
        <v>158</v>
      </c>
      <c r="B47" s="61" t="s">
        <v>200</v>
      </c>
      <c r="C47" s="55">
        <v>89</v>
      </c>
      <c r="D47" s="58">
        <v>2.74</v>
      </c>
      <c r="E47" s="55">
        <v>23.5</v>
      </c>
      <c r="F47" s="55">
        <v>0</v>
      </c>
      <c r="G47" s="55">
        <v>0</v>
      </c>
      <c r="H47" s="57">
        <v>5</v>
      </c>
      <c r="I47" s="48">
        <v>13</v>
      </c>
      <c r="J47" s="48">
        <v>16</v>
      </c>
    </row>
    <row r="48" spans="1:10" ht="15.75" customHeight="1" x14ac:dyDescent="0.35">
      <c r="A48" s="55" t="s">
        <v>158</v>
      </c>
      <c r="B48" s="61" t="s">
        <v>200</v>
      </c>
      <c r="C48" s="55">
        <v>99</v>
      </c>
      <c r="D48" s="58">
        <v>0.32</v>
      </c>
      <c r="E48" s="55">
        <v>21.5</v>
      </c>
      <c r="F48" s="55">
        <v>0</v>
      </c>
      <c r="G48" s="55">
        <v>100</v>
      </c>
      <c r="H48" s="57">
        <v>5</v>
      </c>
      <c r="I48" s="48">
        <v>3</v>
      </c>
      <c r="J48" s="48">
        <v>3</v>
      </c>
    </row>
    <row r="49" spans="1:10" ht="15.75" customHeight="1" x14ac:dyDescent="0.35">
      <c r="A49" s="55" t="s">
        <v>158</v>
      </c>
      <c r="B49" s="61" t="s">
        <v>200</v>
      </c>
      <c r="C49" s="55">
        <v>87</v>
      </c>
      <c r="D49" s="58">
        <v>0.03</v>
      </c>
      <c r="E49" s="55">
        <v>23.2</v>
      </c>
      <c r="F49" s="55">
        <v>0</v>
      </c>
      <c r="G49" s="55">
        <v>100</v>
      </c>
      <c r="H49" s="57">
        <v>5</v>
      </c>
      <c r="I49" s="48">
        <v>3</v>
      </c>
      <c r="J49" s="48">
        <v>3</v>
      </c>
    </row>
    <row r="50" spans="1:10" ht="15.75" customHeight="1" x14ac:dyDescent="0.35">
      <c r="A50" s="55" t="s">
        <v>158</v>
      </c>
      <c r="B50" s="61" t="s">
        <v>200</v>
      </c>
      <c r="C50" s="55">
        <v>85</v>
      </c>
      <c r="D50" s="58">
        <v>0.04</v>
      </c>
      <c r="E50" s="55">
        <v>23.2</v>
      </c>
      <c r="F50" s="55">
        <v>0</v>
      </c>
      <c r="G50" s="55">
        <v>50</v>
      </c>
      <c r="H50" s="57">
        <v>5</v>
      </c>
      <c r="I50" s="48">
        <v>1</v>
      </c>
      <c r="J50" s="48">
        <v>1</v>
      </c>
    </row>
    <row r="51" spans="1:10" ht="15.75" customHeight="1" x14ac:dyDescent="0.35">
      <c r="A51" s="55" t="s">
        <v>158</v>
      </c>
      <c r="B51" s="61" t="s">
        <v>180</v>
      </c>
      <c r="C51" s="55">
        <v>88</v>
      </c>
      <c r="D51" s="58">
        <v>0.69</v>
      </c>
      <c r="E51" s="55">
        <v>23.4</v>
      </c>
      <c r="F51" s="55">
        <v>6</v>
      </c>
      <c r="G51" s="55">
        <v>100</v>
      </c>
      <c r="H51" s="57">
        <v>5</v>
      </c>
      <c r="I51" s="48">
        <v>8</v>
      </c>
      <c r="J51" s="48">
        <v>9</v>
      </c>
    </row>
    <row r="52" spans="1:10" ht="15.75" customHeight="1" x14ac:dyDescent="0.35">
      <c r="A52" s="55" t="s">
        <v>158</v>
      </c>
      <c r="B52" s="61" t="s">
        <v>180</v>
      </c>
      <c r="C52" s="55">
        <v>88</v>
      </c>
      <c r="D52" s="58">
        <v>1.86</v>
      </c>
      <c r="E52" s="55">
        <v>27.2</v>
      </c>
      <c r="F52" s="55">
        <v>0.6</v>
      </c>
      <c r="G52" s="55">
        <v>100</v>
      </c>
      <c r="H52" s="57">
        <v>5</v>
      </c>
      <c r="I52" s="48">
        <v>4</v>
      </c>
      <c r="J52" s="48">
        <v>4</v>
      </c>
    </row>
    <row r="53" spans="1:10" ht="15.75" customHeight="1" x14ac:dyDescent="0.35">
      <c r="A53" s="55" t="s">
        <v>158</v>
      </c>
      <c r="B53" s="61" t="s">
        <v>181</v>
      </c>
      <c r="C53" s="55">
        <v>80</v>
      </c>
      <c r="D53" s="58">
        <v>51.6</v>
      </c>
      <c r="E53" s="55">
        <v>28.7</v>
      </c>
      <c r="F53" s="55">
        <v>2.5</v>
      </c>
      <c r="G53" s="55">
        <v>0</v>
      </c>
      <c r="H53" s="57">
        <v>3</v>
      </c>
      <c r="I53" s="48">
        <v>5</v>
      </c>
      <c r="J53" s="48">
        <v>5</v>
      </c>
    </row>
    <row r="54" spans="1:10" ht="15.75" customHeight="1" x14ac:dyDescent="0.35">
      <c r="A54" s="55" t="s">
        <v>158</v>
      </c>
      <c r="B54" s="61" t="s">
        <v>198</v>
      </c>
      <c r="C54" s="55">
        <v>71</v>
      </c>
      <c r="D54" s="58">
        <v>7.17</v>
      </c>
      <c r="E54" s="55">
        <v>26.1</v>
      </c>
      <c r="F54" s="55">
        <v>1.9</v>
      </c>
      <c r="G54" s="55">
        <v>0</v>
      </c>
      <c r="H54" s="57">
        <v>3</v>
      </c>
      <c r="I54" s="48">
        <v>9</v>
      </c>
      <c r="J54" s="48">
        <v>11</v>
      </c>
    </row>
    <row r="55" spans="1:10" ht="15.75" customHeight="1" x14ac:dyDescent="0.35">
      <c r="A55" s="55" t="s">
        <v>158</v>
      </c>
      <c r="B55" s="61" t="s">
        <v>198</v>
      </c>
      <c r="C55" s="55">
        <v>74</v>
      </c>
      <c r="D55" s="58">
        <v>7.5</v>
      </c>
      <c r="E55" s="55">
        <v>26</v>
      </c>
      <c r="F55" s="55">
        <v>0</v>
      </c>
      <c r="G55" s="55">
        <v>100</v>
      </c>
      <c r="H55" s="57">
        <v>3</v>
      </c>
      <c r="I55" s="48">
        <v>1</v>
      </c>
      <c r="J55" s="48">
        <v>1</v>
      </c>
    </row>
    <row r="56" spans="1:10" ht="15.75" customHeight="1" x14ac:dyDescent="0.35">
      <c r="A56" s="55" t="s">
        <v>158</v>
      </c>
      <c r="B56" s="61" t="s">
        <v>198</v>
      </c>
      <c r="C56" s="55">
        <v>54</v>
      </c>
      <c r="D56" s="58">
        <v>10.85</v>
      </c>
      <c r="E56" s="55">
        <v>28.3</v>
      </c>
      <c r="F56" s="55">
        <v>1.45</v>
      </c>
      <c r="G56" s="55">
        <v>35</v>
      </c>
      <c r="H56" s="57">
        <v>3</v>
      </c>
      <c r="I56" s="48">
        <v>4</v>
      </c>
      <c r="J56" s="48">
        <v>4</v>
      </c>
    </row>
    <row r="57" spans="1:10" ht="15.75" customHeight="1" x14ac:dyDescent="0.35">
      <c r="A57" s="55" t="s">
        <v>158</v>
      </c>
      <c r="B57" s="61" t="s">
        <v>183</v>
      </c>
      <c r="C57" s="55">
        <v>77</v>
      </c>
      <c r="D57" s="58">
        <v>19</v>
      </c>
      <c r="E57" s="55">
        <v>23.9</v>
      </c>
      <c r="F57" s="55">
        <v>0</v>
      </c>
      <c r="G57" s="55">
        <v>100</v>
      </c>
      <c r="H57" s="57">
        <v>3</v>
      </c>
      <c r="I57" s="48">
        <v>4</v>
      </c>
      <c r="J57" s="48">
        <v>13</v>
      </c>
    </row>
    <row r="58" spans="1:10" ht="15.75" customHeight="1" x14ac:dyDescent="0.35">
      <c r="A58" s="55" t="s">
        <v>158</v>
      </c>
      <c r="B58" s="61" t="s">
        <v>183</v>
      </c>
      <c r="C58" s="55">
        <v>99</v>
      </c>
      <c r="D58" s="58">
        <v>29.59</v>
      </c>
      <c r="E58" s="55">
        <v>24.9</v>
      </c>
      <c r="F58" s="55">
        <v>0.65</v>
      </c>
      <c r="G58" s="55">
        <v>99</v>
      </c>
      <c r="H58" s="57">
        <v>3</v>
      </c>
      <c r="I58" s="48">
        <v>4</v>
      </c>
      <c r="J58" s="48">
        <v>7</v>
      </c>
    </row>
    <row r="59" spans="1:10" ht="15.75" customHeight="1" x14ac:dyDescent="0.35">
      <c r="A59" s="55" t="s">
        <v>158</v>
      </c>
      <c r="B59" s="61" t="s">
        <v>183</v>
      </c>
      <c r="C59" s="55">
        <v>74</v>
      </c>
      <c r="D59" s="58">
        <v>1.52</v>
      </c>
      <c r="E59" s="55">
        <v>19.829999999999998</v>
      </c>
      <c r="F59" s="55">
        <v>0.85</v>
      </c>
      <c r="G59" s="55">
        <v>100</v>
      </c>
      <c r="H59" s="57">
        <v>3</v>
      </c>
      <c r="I59" s="48">
        <v>2</v>
      </c>
      <c r="J59" s="48">
        <v>2</v>
      </c>
    </row>
    <row r="60" spans="1:10" ht="15.75" customHeight="1" x14ac:dyDescent="0.35">
      <c r="A60" s="55" t="s">
        <v>158</v>
      </c>
      <c r="B60" s="61" t="s">
        <v>186</v>
      </c>
      <c r="C60" s="55">
        <v>95</v>
      </c>
      <c r="D60" s="58">
        <v>0.4</v>
      </c>
      <c r="E60" s="55">
        <v>17.100000000000001</v>
      </c>
      <c r="F60" s="55">
        <v>0</v>
      </c>
      <c r="G60" s="55">
        <v>0</v>
      </c>
      <c r="H60" s="57">
        <v>6</v>
      </c>
      <c r="I60" s="48">
        <v>10</v>
      </c>
      <c r="J60" s="48">
        <v>33</v>
      </c>
    </row>
    <row r="61" spans="1:10" ht="15.75" customHeight="1" x14ac:dyDescent="0.35">
      <c r="A61" s="55" t="s">
        <v>158</v>
      </c>
      <c r="B61" s="61" t="s">
        <v>186</v>
      </c>
      <c r="C61" s="55">
        <v>95</v>
      </c>
      <c r="D61" s="58">
        <v>0.42</v>
      </c>
      <c r="E61" s="55">
        <v>17.2</v>
      </c>
      <c r="F61" s="55">
        <v>0</v>
      </c>
      <c r="G61" s="55">
        <v>100</v>
      </c>
      <c r="H61" s="57">
        <v>6</v>
      </c>
      <c r="I61" s="48">
        <v>1</v>
      </c>
      <c r="J61" s="48">
        <v>1</v>
      </c>
    </row>
    <row r="62" spans="1:10" ht="15.75" customHeight="1" x14ac:dyDescent="0.35">
      <c r="A62" s="55" t="s">
        <v>158</v>
      </c>
      <c r="B62" s="61" t="s">
        <v>186</v>
      </c>
      <c r="C62" s="55">
        <v>95</v>
      </c>
      <c r="D62" s="58">
        <v>0.41</v>
      </c>
      <c r="E62" s="55">
        <v>17.100000000000001</v>
      </c>
      <c r="F62" s="55">
        <v>0</v>
      </c>
      <c r="G62" s="55">
        <v>100</v>
      </c>
      <c r="H62" s="57">
        <v>6</v>
      </c>
      <c r="I62" s="48">
        <v>8</v>
      </c>
      <c r="J62" s="48">
        <v>11</v>
      </c>
    </row>
    <row r="63" spans="1:10" ht="15.75" customHeight="1" x14ac:dyDescent="0.35">
      <c r="A63" s="55" t="s">
        <v>158</v>
      </c>
      <c r="B63" s="61" t="s">
        <v>186</v>
      </c>
      <c r="C63" s="55">
        <v>87</v>
      </c>
      <c r="D63" s="58">
        <v>0.16</v>
      </c>
      <c r="E63" s="55">
        <v>20.2</v>
      </c>
      <c r="F63" s="55">
        <v>0</v>
      </c>
      <c r="G63" s="55">
        <v>100</v>
      </c>
      <c r="H63" s="57">
        <v>6</v>
      </c>
      <c r="I63" s="48">
        <v>6</v>
      </c>
      <c r="J63" s="48">
        <v>6</v>
      </c>
    </row>
    <row r="64" spans="1:10" ht="15.75" customHeight="1" x14ac:dyDescent="0.35">
      <c r="A64" s="55" t="s">
        <v>164</v>
      </c>
      <c r="B64" s="61" t="s">
        <v>176</v>
      </c>
      <c r="C64" s="55">
        <v>89</v>
      </c>
      <c r="D64" s="58">
        <v>1.36</v>
      </c>
      <c r="E64" s="55">
        <v>23.18</v>
      </c>
      <c r="F64" s="55">
        <v>0</v>
      </c>
      <c r="G64" s="55">
        <v>100</v>
      </c>
      <c r="H64" s="57">
        <v>4</v>
      </c>
      <c r="I64" s="48">
        <v>8</v>
      </c>
      <c r="J64" s="48">
        <v>11</v>
      </c>
    </row>
    <row r="65" spans="1:10" ht="15.75" customHeight="1" x14ac:dyDescent="0.35">
      <c r="A65" s="55" t="s">
        <v>164</v>
      </c>
      <c r="B65" s="61" t="s">
        <v>177</v>
      </c>
      <c r="C65" s="55">
        <v>94</v>
      </c>
      <c r="D65" s="58">
        <v>7.68</v>
      </c>
      <c r="E65" s="55">
        <v>26.7</v>
      </c>
      <c r="F65" s="55">
        <v>0.75</v>
      </c>
      <c r="G65" s="55">
        <v>100</v>
      </c>
      <c r="H65" s="57">
        <v>3</v>
      </c>
      <c r="I65" s="48">
        <v>6</v>
      </c>
      <c r="J65" s="48">
        <v>8</v>
      </c>
    </row>
    <row r="66" spans="1:10" ht="15.75" customHeight="1" x14ac:dyDescent="0.35">
      <c r="A66" s="55" t="s">
        <v>164</v>
      </c>
      <c r="B66" s="61" t="s">
        <v>177</v>
      </c>
      <c r="C66" s="55">
        <v>90</v>
      </c>
      <c r="D66" s="58">
        <v>1.5</v>
      </c>
      <c r="E66" s="55">
        <v>23.4</v>
      </c>
      <c r="F66" s="55">
        <v>0</v>
      </c>
      <c r="G66" s="55">
        <v>100</v>
      </c>
      <c r="H66" s="57">
        <v>3</v>
      </c>
      <c r="I66" s="48">
        <v>1</v>
      </c>
      <c r="J66" s="48">
        <v>1</v>
      </c>
    </row>
    <row r="67" spans="1:10" ht="15.75" customHeight="1" x14ac:dyDescent="0.35">
      <c r="A67" s="55" t="s">
        <v>164</v>
      </c>
      <c r="B67" s="61" t="s">
        <v>200</v>
      </c>
      <c r="C67" s="55">
        <v>91</v>
      </c>
      <c r="D67" s="58">
        <v>1.1499999999999999</v>
      </c>
      <c r="E67" s="55">
        <v>24.4</v>
      </c>
      <c r="F67" s="55">
        <v>0</v>
      </c>
      <c r="G67" s="55">
        <v>100</v>
      </c>
      <c r="H67" s="57">
        <v>5</v>
      </c>
      <c r="I67" s="48">
        <v>8</v>
      </c>
      <c r="J67" s="48">
        <v>8</v>
      </c>
    </row>
    <row r="68" spans="1:10" ht="15.75" customHeight="1" x14ac:dyDescent="0.35">
      <c r="A68" s="55" t="s">
        <v>164</v>
      </c>
      <c r="B68" s="61" t="s">
        <v>200</v>
      </c>
      <c r="C68" s="55">
        <v>94</v>
      </c>
      <c r="D68" s="58">
        <v>1.2</v>
      </c>
      <c r="E68" s="55">
        <v>24.4</v>
      </c>
      <c r="F68" s="55">
        <v>0</v>
      </c>
      <c r="G68" s="55">
        <v>100</v>
      </c>
      <c r="H68" s="57">
        <v>5</v>
      </c>
      <c r="I68" s="48">
        <v>1</v>
      </c>
      <c r="J68" s="48">
        <v>1</v>
      </c>
    </row>
    <row r="69" spans="1:10" ht="15.75" customHeight="1" x14ac:dyDescent="0.35">
      <c r="A69" s="55" t="s">
        <v>164</v>
      </c>
      <c r="B69" s="61" t="s">
        <v>200</v>
      </c>
      <c r="C69" s="55">
        <v>85</v>
      </c>
      <c r="D69" s="58">
        <v>1.3</v>
      </c>
      <c r="E69" s="55">
        <v>24.4</v>
      </c>
      <c r="F69" s="55">
        <v>0</v>
      </c>
      <c r="G69" s="55">
        <v>100</v>
      </c>
      <c r="H69" s="57">
        <v>5</v>
      </c>
      <c r="I69" s="48">
        <v>8</v>
      </c>
      <c r="J69" s="48">
        <v>8</v>
      </c>
    </row>
    <row r="70" spans="1:10" ht="15.75" customHeight="1" x14ac:dyDescent="0.35">
      <c r="A70" s="55" t="s">
        <v>164</v>
      </c>
      <c r="B70" s="61" t="s">
        <v>180</v>
      </c>
      <c r="C70" s="55">
        <v>91</v>
      </c>
      <c r="D70" s="58">
        <v>0.57999999999999996</v>
      </c>
      <c r="E70" s="55">
        <v>26.4</v>
      </c>
      <c r="F70" s="55">
        <v>0</v>
      </c>
      <c r="G70" s="55">
        <v>100</v>
      </c>
      <c r="H70" s="57">
        <v>5</v>
      </c>
      <c r="I70" s="48">
        <v>10</v>
      </c>
      <c r="J70" s="48">
        <v>10</v>
      </c>
    </row>
    <row r="71" spans="1:10" ht="15.75" customHeight="1" x14ac:dyDescent="0.35">
      <c r="A71" s="55" t="s">
        <v>164</v>
      </c>
      <c r="B71" s="61" t="s">
        <v>180</v>
      </c>
      <c r="C71" s="55">
        <v>91</v>
      </c>
      <c r="D71" s="58">
        <v>0.81</v>
      </c>
      <c r="E71" s="55">
        <v>23.28</v>
      </c>
      <c r="F71" s="55">
        <v>0</v>
      </c>
      <c r="G71" s="55">
        <v>100</v>
      </c>
      <c r="H71" s="57">
        <v>5</v>
      </c>
      <c r="I71" s="48">
        <v>5</v>
      </c>
      <c r="J71" s="48">
        <v>5</v>
      </c>
    </row>
    <row r="72" spans="1:10" ht="15.75" customHeight="1" x14ac:dyDescent="0.35">
      <c r="A72" s="55" t="s">
        <v>164</v>
      </c>
      <c r="B72" s="61" t="s">
        <v>181</v>
      </c>
      <c r="C72" s="55">
        <v>91</v>
      </c>
      <c r="D72" s="58">
        <v>0.81</v>
      </c>
      <c r="E72" s="55">
        <v>23.3</v>
      </c>
      <c r="F72" s="55">
        <v>0</v>
      </c>
      <c r="G72" s="55">
        <v>100</v>
      </c>
      <c r="H72" s="57">
        <v>3</v>
      </c>
      <c r="I72" s="48">
        <v>1</v>
      </c>
      <c r="J72" s="48">
        <v>2</v>
      </c>
    </row>
    <row r="73" spans="1:10" ht="15.75" customHeight="1" x14ac:dyDescent="0.35">
      <c r="A73" s="55" t="s">
        <v>164</v>
      </c>
      <c r="B73" s="61" t="s">
        <v>181</v>
      </c>
      <c r="C73" s="55">
        <v>99</v>
      </c>
      <c r="D73" s="58">
        <v>85.6</v>
      </c>
      <c r="E73" s="55">
        <v>28.5</v>
      </c>
      <c r="F73" s="55">
        <v>1.2</v>
      </c>
      <c r="G73" s="55">
        <v>100</v>
      </c>
      <c r="H73" s="57">
        <v>3</v>
      </c>
      <c r="I73" s="48">
        <v>1</v>
      </c>
      <c r="J73" s="48">
        <v>1</v>
      </c>
    </row>
    <row r="74" spans="1:10" ht="15.75" customHeight="1" x14ac:dyDescent="0.35">
      <c r="A74" s="55" t="s">
        <v>164</v>
      </c>
      <c r="B74" s="61" t="s">
        <v>181</v>
      </c>
      <c r="C74" s="55">
        <v>91</v>
      </c>
      <c r="D74" s="58">
        <v>13.15</v>
      </c>
      <c r="E74" s="55">
        <v>26.13</v>
      </c>
      <c r="F74" s="55">
        <v>0</v>
      </c>
      <c r="G74" s="55">
        <v>100</v>
      </c>
      <c r="H74" s="57">
        <v>3</v>
      </c>
      <c r="I74" s="48">
        <v>3</v>
      </c>
      <c r="J74" s="48">
        <v>3</v>
      </c>
    </row>
    <row r="75" spans="1:10" ht="15.75" customHeight="1" x14ac:dyDescent="0.35">
      <c r="A75" s="55" t="s">
        <v>164</v>
      </c>
      <c r="B75" s="61" t="s">
        <v>198</v>
      </c>
      <c r="C75" s="55">
        <v>75</v>
      </c>
      <c r="D75" s="58">
        <v>17.2</v>
      </c>
      <c r="E75" s="55">
        <v>28</v>
      </c>
      <c r="F75" s="55">
        <v>0</v>
      </c>
      <c r="G75" s="55">
        <v>100</v>
      </c>
      <c r="H75" s="57">
        <v>3</v>
      </c>
      <c r="I75" s="48">
        <v>2</v>
      </c>
      <c r="J75" s="48">
        <v>2</v>
      </c>
    </row>
    <row r="76" spans="1:10" s="75" customFormat="1" ht="15.75" customHeight="1" x14ac:dyDescent="0.35">
      <c r="A76" s="71" t="s">
        <v>164</v>
      </c>
      <c r="B76" s="72" t="s">
        <v>198</v>
      </c>
      <c r="C76" s="71">
        <v>93</v>
      </c>
      <c r="D76" s="73">
        <v>14.5</v>
      </c>
      <c r="E76" s="71">
        <v>28.73</v>
      </c>
      <c r="F76" s="71">
        <v>0</v>
      </c>
      <c r="G76" s="71">
        <v>100</v>
      </c>
      <c r="H76" s="74">
        <v>3</v>
      </c>
      <c r="I76" s="75">
        <v>6</v>
      </c>
      <c r="J76" s="75">
        <v>9</v>
      </c>
    </row>
    <row r="77" spans="1:10" ht="15.75" customHeight="1" x14ac:dyDescent="0.35">
      <c r="A77" s="55" t="s">
        <v>164</v>
      </c>
      <c r="B77" s="61" t="s">
        <v>198</v>
      </c>
      <c r="C77" s="55">
        <v>74</v>
      </c>
      <c r="D77" s="58">
        <v>18</v>
      </c>
      <c r="E77" s="55">
        <v>28</v>
      </c>
      <c r="F77" s="55">
        <v>0</v>
      </c>
      <c r="G77" s="55">
        <v>2</v>
      </c>
      <c r="H77" s="57">
        <v>3</v>
      </c>
      <c r="I77" s="48">
        <v>2</v>
      </c>
      <c r="J77" s="48">
        <v>2</v>
      </c>
    </row>
    <row r="78" spans="1:10" ht="15.75" customHeight="1" x14ac:dyDescent="0.35">
      <c r="A78" s="55" t="s">
        <v>164</v>
      </c>
      <c r="B78" s="61" t="s">
        <v>183</v>
      </c>
      <c r="C78" s="55">
        <v>89</v>
      </c>
      <c r="D78" s="58">
        <v>7.61</v>
      </c>
      <c r="E78" s="55">
        <v>23.8</v>
      </c>
      <c r="F78" s="55">
        <v>0.75</v>
      </c>
      <c r="G78" s="55">
        <v>100</v>
      </c>
      <c r="H78" s="57">
        <v>3</v>
      </c>
      <c r="I78" s="48">
        <v>5</v>
      </c>
      <c r="J78" s="48">
        <v>10</v>
      </c>
    </row>
    <row r="79" spans="1:10" ht="15.75" customHeight="1" x14ac:dyDescent="0.35">
      <c r="A79" s="55" t="s">
        <v>164</v>
      </c>
      <c r="B79" s="61" t="s">
        <v>183</v>
      </c>
      <c r="C79" s="55">
        <v>81</v>
      </c>
      <c r="D79" s="58">
        <v>5.23</v>
      </c>
      <c r="E79" s="55">
        <v>27.03</v>
      </c>
      <c r="F79" s="55">
        <v>0</v>
      </c>
      <c r="G79" s="55">
        <v>100</v>
      </c>
      <c r="H79" s="57">
        <v>3</v>
      </c>
      <c r="I79" s="48">
        <v>4</v>
      </c>
      <c r="J79" s="48">
        <v>5</v>
      </c>
    </row>
    <row r="80" spans="1:10" ht="15.75" customHeight="1" x14ac:dyDescent="0.35">
      <c r="A80" s="55" t="s">
        <v>164</v>
      </c>
      <c r="B80" s="61" t="s">
        <v>186</v>
      </c>
      <c r="C80" s="55">
        <v>86</v>
      </c>
      <c r="D80" s="58">
        <v>0.14000000000000001</v>
      </c>
      <c r="E80" s="55">
        <v>18.55</v>
      </c>
      <c r="F80" s="55">
        <v>0</v>
      </c>
      <c r="G80" s="55">
        <v>100</v>
      </c>
      <c r="H80" s="57">
        <v>6</v>
      </c>
      <c r="I80" s="48">
        <v>5</v>
      </c>
      <c r="J80" s="48">
        <v>5</v>
      </c>
    </row>
    <row r="81" spans="1:10" ht="15.75" customHeight="1" x14ac:dyDescent="0.35">
      <c r="A81" s="55" t="s">
        <v>164</v>
      </c>
      <c r="B81" s="61" t="s">
        <v>186</v>
      </c>
      <c r="C81" s="55">
        <v>87</v>
      </c>
      <c r="D81" s="58">
        <v>0.15</v>
      </c>
      <c r="E81" s="55">
        <v>15.2</v>
      </c>
      <c r="F81" s="55">
        <v>0</v>
      </c>
      <c r="G81" s="55">
        <v>100</v>
      </c>
      <c r="H81" s="57">
        <v>6</v>
      </c>
      <c r="I81" s="48">
        <v>3</v>
      </c>
      <c r="J81" s="48">
        <v>3</v>
      </c>
    </row>
    <row r="82" spans="1:10" ht="15.75" customHeight="1" x14ac:dyDescent="0.35">
      <c r="A82" s="55" t="s">
        <v>164</v>
      </c>
      <c r="B82" s="61" t="s">
        <v>186</v>
      </c>
      <c r="C82" s="55">
        <v>83</v>
      </c>
      <c r="D82" s="58">
        <v>0.20499999999999999</v>
      </c>
      <c r="E82" s="55">
        <v>24.8</v>
      </c>
      <c r="F82" s="55">
        <v>0</v>
      </c>
      <c r="G82" s="55">
        <v>100</v>
      </c>
      <c r="H82" s="57">
        <v>6</v>
      </c>
      <c r="I82" s="48">
        <v>0</v>
      </c>
      <c r="J82" s="48">
        <v>0</v>
      </c>
    </row>
    <row r="83" spans="1:10" ht="15.75" customHeight="1" x14ac:dyDescent="0.35">
      <c r="A83" s="55" t="s">
        <v>168</v>
      </c>
      <c r="B83" s="55" t="s">
        <v>176</v>
      </c>
      <c r="C83" s="55">
        <v>92</v>
      </c>
      <c r="D83" s="58">
        <v>0.14000000000000001</v>
      </c>
      <c r="E83" s="55">
        <v>22.5</v>
      </c>
      <c r="F83" s="55">
        <v>0</v>
      </c>
      <c r="G83" s="55">
        <v>100</v>
      </c>
      <c r="H83" s="57">
        <v>4</v>
      </c>
      <c r="I83" s="48">
        <v>6</v>
      </c>
      <c r="J83" s="48">
        <v>11</v>
      </c>
    </row>
    <row r="84" spans="1:10" ht="15.75" customHeight="1" x14ac:dyDescent="0.35">
      <c r="A84" s="55" t="s">
        <v>168</v>
      </c>
      <c r="B84" s="55" t="s">
        <v>176</v>
      </c>
      <c r="C84" s="55">
        <v>92</v>
      </c>
      <c r="D84" s="58">
        <v>0.14000000000000001</v>
      </c>
      <c r="E84" s="55">
        <v>22.5</v>
      </c>
      <c r="F84" s="55">
        <v>0</v>
      </c>
      <c r="G84" s="55">
        <v>60</v>
      </c>
      <c r="H84" s="57">
        <v>4</v>
      </c>
      <c r="I84" s="48">
        <v>1</v>
      </c>
      <c r="J84" s="48">
        <v>2</v>
      </c>
    </row>
    <row r="85" spans="1:10" ht="15.75" customHeight="1" x14ac:dyDescent="0.35">
      <c r="A85" s="55" t="s">
        <v>168</v>
      </c>
      <c r="B85" s="55" t="s">
        <v>177</v>
      </c>
      <c r="C85" s="55">
        <v>97</v>
      </c>
      <c r="D85" s="58">
        <v>4.5999999999999996</v>
      </c>
      <c r="E85" s="55">
        <v>24.3</v>
      </c>
      <c r="F85" s="55">
        <v>0</v>
      </c>
      <c r="G85" s="55">
        <v>100</v>
      </c>
      <c r="H85" s="57">
        <v>3</v>
      </c>
      <c r="I85" s="48">
        <v>17</v>
      </c>
      <c r="J85" s="48">
        <v>24</v>
      </c>
    </row>
    <row r="86" spans="1:10" ht="15.75" customHeight="1" x14ac:dyDescent="0.35">
      <c r="A86" s="55" t="s">
        <v>168</v>
      </c>
      <c r="B86" s="55" t="s">
        <v>200</v>
      </c>
      <c r="C86" s="55">
        <v>99</v>
      </c>
      <c r="D86" s="58">
        <v>24.2</v>
      </c>
      <c r="E86" s="55">
        <v>26.1</v>
      </c>
      <c r="F86" s="55">
        <v>0</v>
      </c>
      <c r="G86" s="55">
        <v>60</v>
      </c>
      <c r="H86" s="57">
        <v>5</v>
      </c>
      <c r="I86" s="48">
        <v>1</v>
      </c>
      <c r="J86" s="48">
        <v>1</v>
      </c>
    </row>
    <row r="87" spans="1:10" ht="15.75" customHeight="1" x14ac:dyDescent="0.35">
      <c r="A87" s="55" t="s">
        <v>168</v>
      </c>
      <c r="B87" s="55" t="s">
        <v>200</v>
      </c>
      <c r="C87" s="55">
        <v>99</v>
      </c>
      <c r="D87" s="58">
        <v>24.2</v>
      </c>
      <c r="E87" s="55">
        <v>26.1</v>
      </c>
      <c r="F87" s="55">
        <v>0</v>
      </c>
      <c r="G87" s="55">
        <v>35</v>
      </c>
      <c r="H87" s="57">
        <v>5</v>
      </c>
      <c r="I87" s="48">
        <v>11</v>
      </c>
      <c r="J87" s="48">
        <v>11</v>
      </c>
    </row>
    <row r="88" spans="1:10" ht="15.75" customHeight="1" x14ac:dyDescent="0.35">
      <c r="A88" s="55" t="s">
        <v>168</v>
      </c>
      <c r="B88" s="55" t="s">
        <v>200</v>
      </c>
      <c r="C88" s="55">
        <v>84</v>
      </c>
      <c r="D88" s="58">
        <v>0.17</v>
      </c>
      <c r="E88" s="55">
        <v>24</v>
      </c>
      <c r="F88" s="55">
        <v>0</v>
      </c>
      <c r="G88" s="55">
        <v>100</v>
      </c>
      <c r="H88" s="57">
        <v>5</v>
      </c>
      <c r="I88" s="48">
        <v>2</v>
      </c>
      <c r="J88" s="48">
        <v>2</v>
      </c>
    </row>
    <row r="89" spans="1:10" ht="15.75" customHeight="1" x14ac:dyDescent="0.35">
      <c r="A89" s="55" t="s">
        <v>168</v>
      </c>
      <c r="B89" s="55" t="s">
        <v>180</v>
      </c>
      <c r="C89" s="55">
        <v>97</v>
      </c>
      <c r="D89" s="58">
        <v>1.08</v>
      </c>
      <c r="E89" s="55">
        <v>25.4</v>
      </c>
      <c r="F89" s="55">
        <v>0</v>
      </c>
      <c r="G89" s="55">
        <v>100</v>
      </c>
      <c r="H89" s="57">
        <v>5</v>
      </c>
      <c r="I89" s="48">
        <v>6</v>
      </c>
      <c r="J89" s="48">
        <v>8</v>
      </c>
    </row>
    <row r="90" spans="1:10" ht="15.75" customHeight="1" x14ac:dyDescent="0.35">
      <c r="A90" s="55" t="s">
        <v>168</v>
      </c>
      <c r="B90" s="55" t="s">
        <v>180</v>
      </c>
      <c r="C90" s="55">
        <v>97</v>
      </c>
      <c r="D90" s="58">
        <v>1.08</v>
      </c>
      <c r="E90" s="55">
        <v>25.4</v>
      </c>
      <c r="F90" s="55">
        <v>0</v>
      </c>
      <c r="G90" s="55">
        <v>65</v>
      </c>
      <c r="H90" s="57">
        <v>5</v>
      </c>
      <c r="I90" s="48">
        <v>9</v>
      </c>
      <c r="J90" s="48">
        <v>9</v>
      </c>
    </row>
    <row r="91" spans="1:10" ht="15.75" customHeight="1" x14ac:dyDescent="0.35">
      <c r="A91" s="55" t="s">
        <v>168</v>
      </c>
      <c r="B91" s="48" t="s">
        <v>180</v>
      </c>
      <c r="C91" s="48">
        <v>80</v>
      </c>
      <c r="D91" s="76">
        <v>0.04</v>
      </c>
      <c r="E91" s="48">
        <v>25.3</v>
      </c>
      <c r="F91" s="48">
        <v>0</v>
      </c>
      <c r="G91" s="48">
        <v>100</v>
      </c>
      <c r="H91" s="49">
        <v>5</v>
      </c>
      <c r="I91" s="48">
        <v>0</v>
      </c>
      <c r="J91" s="48">
        <v>0</v>
      </c>
    </row>
    <row r="92" spans="1:10" ht="15.75" customHeight="1" x14ac:dyDescent="0.35">
      <c r="A92" s="55" t="s">
        <v>168</v>
      </c>
      <c r="B92" s="48" t="s">
        <v>181</v>
      </c>
      <c r="C92" s="48">
        <v>87</v>
      </c>
      <c r="D92" s="76">
        <v>9.8000000000000007</v>
      </c>
      <c r="E92" s="48">
        <v>34.5</v>
      </c>
      <c r="F92" s="48">
        <v>0</v>
      </c>
      <c r="G92" s="48">
        <v>90</v>
      </c>
      <c r="H92" s="49">
        <v>3</v>
      </c>
      <c r="I92" s="48">
        <v>4</v>
      </c>
      <c r="J92" s="48">
        <v>4</v>
      </c>
    </row>
    <row r="93" spans="1:10" ht="15.75" customHeight="1" x14ac:dyDescent="0.35">
      <c r="A93" s="55" t="s">
        <v>168</v>
      </c>
      <c r="B93" s="48" t="s">
        <v>181</v>
      </c>
      <c r="C93" s="48">
        <v>87</v>
      </c>
      <c r="D93" s="76">
        <v>9.8000000000000007</v>
      </c>
      <c r="E93" s="48">
        <v>34.5</v>
      </c>
      <c r="F93" s="48">
        <v>0</v>
      </c>
      <c r="G93" s="48">
        <v>0</v>
      </c>
      <c r="H93" s="49">
        <v>3</v>
      </c>
      <c r="I93" s="48">
        <v>3</v>
      </c>
      <c r="J93" s="48">
        <v>3</v>
      </c>
    </row>
    <row r="94" spans="1:10" ht="15.75" customHeight="1" x14ac:dyDescent="0.35">
      <c r="A94" s="55" t="s">
        <v>168</v>
      </c>
      <c r="B94" s="48" t="s">
        <v>181</v>
      </c>
      <c r="C94" s="48">
        <v>80</v>
      </c>
      <c r="D94" s="76">
        <v>1.5</v>
      </c>
      <c r="E94" s="48">
        <v>26.9</v>
      </c>
      <c r="F94" s="48">
        <v>0</v>
      </c>
      <c r="G94" s="48">
        <v>100</v>
      </c>
      <c r="H94" s="49">
        <v>3</v>
      </c>
      <c r="I94" s="48">
        <v>3</v>
      </c>
      <c r="J94" s="48">
        <v>4</v>
      </c>
    </row>
    <row r="95" spans="1:10" ht="15.75" customHeight="1" x14ac:dyDescent="0.35">
      <c r="A95" s="55" t="s">
        <v>168</v>
      </c>
      <c r="B95" s="48" t="s">
        <v>198</v>
      </c>
      <c r="C95" s="48">
        <v>81</v>
      </c>
      <c r="D95" s="76">
        <v>36.6</v>
      </c>
      <c r="E95" s="48">
        <v>31.4</v>
      </c>
      <c r="F95" s="48">
        <v>0.8</v>
      </c>
      <c r="G95" s="48">
        <v>96</v>
      </c>
      <c r="H95" s="49">
        <v>3</v>
      </c>
      <c r="I95" s="48">
        <v>7</v>
      </c>
      <c r="J95" s="48">
        <v>7</v>
      </c>
    </row>
    <row r="96" spans="1:10" ht="15.75" customHeight="1" x14ac:dyDescent="0.35">
      <c r="A96" s="55" t="s">
        <v>168</v>
      </c>
      <c r="B96" s="48" t="s">
        <v>198</v>
      </c>
      <c r="C96" s="48">
        <v>79</v>
      </c>
      <c r="D96" s="76">
        <v>13.35</v>
      </c>
      <c r="E96" s="48">
        <v>29.2</v>
      </c>
      <c r="F96" s="48">
        <v>0</v>
      </c>
      <c r="G96" s="48">
        <v>100</v>
      </c>
      <c r="H96" s="49">
        <v>3</v>
      </c>
      <c r="I96" s="48">
        <v>2</v>
      </c>
      <c r="J96" s="48">
        <v>2</v>
      </c>
    </row>
    <row r="97" spans="1:10" ht="15.75" customHeight="1" x14ac:dyDescent="0.35">
      <c r="A97" s="55" t="s">
        <v>168</v>
      </c>
      <c r="B97" s="48" t="s">
        <v>183</v>
      </c>
      <c r="C97" s="48">
        <v>89</v>
      </c>
      <c r="D97" s="76">
        <v>1.1000000000000001</v>
      </c>
      <c r="E97" s="48">
        <v>22.3</v>
      </c>
      <c r="F97" s="48">
        <v>0</v>
      </c>
      <c r="G97" s="48">
        <v>2</v>
      </c>
      <c r="H97" s="49">
        <v>3</v>
      </c>
      <c r="I97" s="48">
        <v>7</v>
      </c>
      <c r="J97" s="48">
        <v>10</v>
      </c>
    </row>
    <row r="98" spans="1:10" ht="15.75" customHeight="1" x14ac:dyDescent="0.35">
      <c r="A98" s="55" t="s">
        <v>168</v>
      </c>
      <c r="B98" s="48" t="s">
        <v>183</v>
      </c>
      <c r="C98" s="48">
        <v>89</v>
      </c>
      <c r="D98" s="76">
        <v>1</v>
      </c>
      <c r="E98" s="48">
        <v>22.2</v>
      </c>
      <c r="F98" s="48">
        <v>0</v>
      </c>
      <c r="G98" s="48">
        <v>100</v>
      </c>
      <c r="H98" s="49">
        <v>3</v>
      </c>
      <c r="I98" s="48">
        <v>4</v>
      </c>
      <c r="J98" s="48">
        <v>4</v>
      </c>
    </row>
    <row r="99" spans="1:10" ht="15.75" customHeight="1" x14ac:dyDescent="0.35">
      <c r="A99" s="55" t="s">
        <v>168</v>
      </c>
      <c r="B99" s="48" t="s">
        <v>183</v>
      </c>
      <c r="C99" s="48">
        <v>72</v>
      </c>
      <c r="D99" s="48">
        <v>0.75</v>
      </c>
      <c r="E99" s="48">
        <v>25</v>
      </c>
      <c r="F99" s="48">
        <v>0.9</v>
      </c>
      <c r="G99" s="48">
        <v>100</v>
      </c>
      <c r="H99" s="49">
        <v>3</v>
      </c>
      <c r="I99" s="48">
        <v>2</v>
      </c>
      <c r="J99" s="48">
        <v>3</v>
      </c>
    </row>
    <row r="100" spans="1:10" ht="15.75" customHeight="1" x14ac:dyDescent="0.35">
      <c r="A100" s="55" t="s">
        <v>168</v>
      </c>
      <c r="B100" s="48" t="s">
        <v>186</v>
      </c>
      <c r="C100" s="48">
        <v>76</v>
      </c>
      <c r="D100" s="76">
        <v>1.53</v>
      </c>
      <c r="E100" s="48">
        <v>25.4</v>
      </c>
      <c r="F100" s="48">
        <v>0</v>
      </c>
      <c r="G100" s="48">
        <v>100</v>
      </c>
      <c r="H100" s="49">
        <v>6</v>
      </c>
      <c r="I100" s="48">
        <v>4</v>
      </c>
      <c r="J100" s="48">
        <v>5</v>
      </c>
    </row>
    <row r="101" spans="1:10" ht="15.75" customHeight="1" x14ac:dyDescent="0.35">
      <c r="A101" s="48" t="s">
        <v>172</v>
      </c>
      <c r="B101" s="48" t="s">
        <v>176</v>
      </c>
      <c r="C101" s="48">
        <v>81</v>
      </c>
      <c r="D101" s="76">
        <v>1.6</v>
      </c>
      <c r="E101" s="48">
        <v>26.5</v>
      </c>
      <c r="F101" s="48">
        <v>0</v>
      </c>
      <c r="G101" s="48">
        <v>30</v>
      </c>
      <c r="H101" s="49">
        <v>4</v>
      </c>
      <c r="I101" s="48">
        <v>12</v>
      </c>
      <c r="J101" s="48">
        <v>18</v>
      </c>
    </row>
    <row r="102" spans="1:10" ht="15.75" customHeight="1" x14ac:dyDescent="0.35">
      <c r="A102" s="48" t="s">
        <v>172</v>
      </c>
      <c r="B102" s="48" t="s">
        <v>177</v>
      </c>
      <c r="C102" s="48">
        <v>96</v>
      </c>
      <c r="D102" s="76">
        <v>1.1299999999999999</v>
      </c>
      <c r="E102" s="48">
        <v>26.4</v>
      </c>
      <c r="F102" s="48">
        <v>0</v>
      </c>
      <c r="G102" s="48">
        <v>100</v>
      </c>
      <c r="H102" s="49">
        <v>3</v>
      </c>
      <c r="I102" s="48">
        <v>5</v>
      </c>
      <c r="J102" s="48">
        <v>5</v>
      </c>
    </row>
    <row r="103" spans="1:10" ht="15.75" customHeight="1" x14ac:dyDescent="0.35">
      <c r="A103" s="48" t="s">
        <v>172</v>
      </c>
      <c r="B103" s="48" t="s">
        <v>200</v>
      </c>
      <c r="C103" s="48">
        <v>99</v>
      </c>
      <c r="D103" s="76">
        <v>0.28000000000000003</v>
      </c>
      <c r="E103" s="48">
        <v>23.5</v>
      </c>
      <c r="F103" s="48">
        <v>0</v>
      </c>
      <c r="G103" s="48">
        <v>100</v>
      </c>
      <c r="H103" s="49">
        <v>5</v>
      </c>
      <c r="I103" s="48">
        <v>7</v>
      </c>
      <c r="J103" s="48">
        <v>10</v>
      </c>
    </row>
    <row r="104" spans="1:10" ht="15.75" customHeight="1" x14ac:dyDescent="0.35">
      <c r="A104" s="48" t="s">
        <v>172</v>
      </c>
      <c r="B104" s="48" t="s">
        <v>180</v>
      </c>
      <c r="C104" s="48">
        <v>96</v>
      </c>
      <c r="D104" s="76">
        <v>0.64</v>
      </c>
      <c r="E104" s="48">
        <v>24.9</v>
      </c>
      <c r="F104" s="48">
        <v>0</v>
      </c>
      <c r="G104" s="48">
        <v>100</v>
      </c>
      <c r="H104" s="49">
        <v>5</v>
      </c>
      <c r="I104" s="48">
        <v>9</v>
      </c>
      <c r="J104" s="48">
        <v>9</v>
      </c>
    </row>
    <row r="105" spans="1:10" ht="15.75" customHeight="1" x14ac:dyDescent="0.35">
      <c r="A105" s="48" t="s">
        <v>172</v>
      </c>
      <c r="B105" s="48" t="s">
        <v>181</v>
      </c>
      <c r="C105" s="48">
        <v>98</v>
      </c>
      <c r="D105" s="76">
        <v>2.2799999999999998</v>
      </c>
      <c r="E105" s="48">
        <v>23.7</v>
      </c>
      <c r="F105" s="48">
        <v>0</v>
      </c>
      <c r="G105" s="48">
        <v>100</v>
      </c>
      <c r="H105" s="49">
        <v>3</v>
      </c>
      <c r="I105" s="48">
        <v>4</v>
      </c>
      <c r="J105" s="48">
        <v>4</v>
      </c>
    </row>
    <row r="106" spans="1:10" ht="15.75" customHeight="1" x14ac:dyDescent="0.35">
      <c r="A106" s="48" t="s">
        <v>172</v>
      </c>
      <c r="B106" s="48" t="s">
        <v>198</v>
      </c>
      <c r="C106" s="48">
        <v>99</v>
      </c>
      <c r="D106" s="76">
        <v>7.2350000000000003</v>
      </c>
      <c r="E106" s="48">
        <v>24.6</v>
      </c>
      <c r="F106" s="48">
        <v>1.4</v>
      </c>
      <c r="G106" s="48">
        <v>100</v>
      </c>
      <c r="H106" s="49">
        <v>3</v>
      </c>
      <c r="I106" s="48">
        <v>10</v>
      </c>
      <c r="J106" s="48">
        <v>16</v>
      </c>
    </row>
    <row r="107" spans="1:10" ht="15.75" customHeight="1" x14ac:dyDescent="0.35">
      <c r="A107" s="48" t="s">
        <v>172</v>
      </c>
      <c r="B107" s="48" t="s">
        <v>183</v>
      </c>
      <c r="C107" s="48">
        <v>92</v>
      </c>
      <c r="D107" s="76">
        <v>44.68</v>
      </c>
      <c r="E107" s="48">
        <v>23.2</v>
      </c>
      <c r="F107" s="48">
        <v>0.6</v>
      </c>
      <c r="G107" s="48">
        <v>0</v>
      </c>
      <c r="H107" s="49">
        <v>3</v>
      </c>
      <c r="I107" s="48">
        <v>8</v>
      </c>
      <c r="J107" s="48">
        <v>9</v>
      </c>
    </row>
    <row r="108" spans="1:10" ht="15.75" customHeight="1" x14ac:dyDescent="0.35">
      <c r="A108" s="48" t="s">
        <v>172</v>
      </c>
      <c r="B108" s="48" t="s">
        <v>183</v>
      </c>
      <c r="C108" s="48">
        <v>84</v>
      </c>
      <c r="D108" s="76">
        <v>0.5</v>
      </c>
      <c r="E108" s="48">
        <v>25.9</v>
      </c>
      <c r="F108" s="48">
        <v>0</v>
      </c>
      <c r="G108" s="48">
        <v>100</v>
      </c>
      <c r="H108" s="49">
        <v>3</v>
      </c>
      <c r="I108" s="48">
        <v>4</v>
      </c>
      <c r="J108" s="48">
        <v>4</v>
      </c>
    </row>
    <row r="109" spans="1:10" ht="15.75" customHeight="1" x14ac:dyDescent="0.35">
      <c r="A109" s="48" t="s">
        <v>172</v>
      </c>
      <c r="B109" s="48" t="s">
        <v>186</v>
      </c>
      <c r="C109" s="48">
        <v>83</v>
      </c>
      <c r="D109" s="76">
        <v>1.1299999999999999</v>
      </c>
      <c r="E109" s="48">
        <v>25.5</v>
      </c>
      <c r="F109" s="48">
        <v>0</v>
      </c>
      <c r="G109" s="48">
        <v>100</v>
      </c>
      <c r="H109" s="49">
        <v>6</v>
      </c>
      <c r="I109" s="48">
        <v>9</v>
      </c>
      <c r="J109" s="48">
        <v>19</v>
      </c>
    </row>
    <row r="110" spans="1:10" ht="15.75" customHeight="1" x14ac:dyDescent="0.35">
      <c r="D110" s="76"/>
    </row>
    <row r="111" spans="1:10" ht="15.75" customHeight="1" x14ac:dyDescent="0.35">
      <c r="D111" s="76"/>
    </row>
    <row r="112" spans="1:10" ht="15.75" customHeight="1" x14ac:dyDescent="0.35">
      <c r="D112" s="76"/>
    </row>
    <row r="113" spans="4:4" ht="15.75" customHeight="1" x14ac:dyDescent="0.35">
      <c r="D113" s="76"/>
    </row>
    <row r="114" spans="4:4" ht="15.75" customHeight="1" x14ac:dyDescent="0.35">
      <c r="D114" s="76"/>
    </row>
    <row r="115" spans="4:4" ht="15.75" customHeight="1" x14ac:dyDescent="0.35">
      <c r="D115" s="76"/>
    </row>
    <row r="116" spans="4:4" ht="15.75" customHeight="1" x14ac:dyDescent="0.35">
      <c r="D116" s="76"/>
    </row>
    <row r="117" spans="4:4" ht="15.75" customHeight="1" x14ac:dyDescent="0.35">
      <c r="D117" s="76"/>
    </row>
    <row r="118" spans="4:4" ht="15.75" customHeight="1" x14ac:dyDescent="0.35">
      <c r="D118" s="76"/>
    </row>
    <row r="119" spans="4:4" ht="15.75" customHeight="1" x14ac:dyDescent="0.35">
      <c r="D119" s="76"/>
    </row>
    <row r="120" spans="4:4" ht="15.75" customHeight="1" x14ac:dyDescent="0.35">
      <c r="D120" s="76"/>
    </row>
    <row r="121" spans="4:4" ht="15.75" customHeight="1" x14ac:dyDescent="0.35">
      <c r="D121" s="76"/>
    </row>
    <row r="122" spans="4:4" ht="15.75" customHeight="1" x14ac:dyDescent="0.35">
      <c r="D122" s="76"/>
    </row>
    <row r="123" spans="4:4" ht="15.75" customHeight="1" x14ac:dyDescent="0.35">
      <c r="D123" s="76"/>
    </row>
    <row r="124" spans="4:4" ht="15.75" customHeight="1" x14ac:dyDescent="0.35">
      <c r="D124" s="76"/>
    </row>
    <row r="125" spans="4:4" ht="15.75" customHeight="1" x14ac:dyDescent="0.35">
      <c r="D125" s="76"/>
    </row>
    <row r="126" spans="4:4" ht="15.75" customHeight="1" x14ac:dyDescent="0.35">
      <c r="D126" s="76"/>
    </row>
    <row r="127" spans="4:4" ht="15.75" customHeight="1" x14ac:dyDescent="0.35">
      <c r="D127" s="76"/>
    </row>
    <row r="128" spans="4:4" ht="15.75" customHeight="1" x14ac:dyDescent="0.35">
      <c r="D128" s="76"/>
    </row>
    <row r="129" spans="4:4" ht="15.75" customHeight="1" x14ac:dyDescent="0.35">
      <c r="D129" s="76"/>
    </row>
    <row r="130" spans="4:4" ht="15.75" customHeight="1" x14ac:dyDescent="0.35">
      <c r="D130" s="76"/>
    </row>
    <row r="131" spans="4:4" ht="15.75" customHeight="1" x14ac:dyDescent="0.35">
      <c r="D131" s="76"/>
    </row>
    <row r="132" spans="4:4" ht="15.75" customHeight="1" x14ac:dyDescent="0.35">
      <c r="D132" s="76"/>
    </row>
    <row r="133" spans="4:4" ht="15.75" customHeight="1" x14ac:dyDescent="0.35">
      <c r="D133" s="76"/>
    </row>
    <row r="134" spans="4:4" ht="15.75" customHeight="1" x14ac:dyDescent="0.35">
      <c r="D134" s="76"/>
    </row>
    <row r="135" spans="4:4" ht="15.75" customHeight="1" x14ac:dyDescent="0.35">
      <c r="D135" s="76"/>
    </row>
    <row r="136" spans="4:4" ht="15.75" customHeight="1" x14ac:dyDescent="0.35">
      <c r="D136" s="76"/>
    </row>
    <row r="137" spans="4:4" ht="15.75" customHeight="1" x14ac:dyDescent="0.35">
      <c r="D137" s="76"/>
    </row>
    <row r="138" spans="4:4" ht="15.75" customHeight="1" x14ac:dyDescent="0.35">
      <c r="D138" s="76"/>
    </row>
    <row r="139" spans="4:4" ht="15.75" customHeight="1" x14ac:dyDescent="0.35">
      <c r="D139" s="76"/>
    </row>
    <row r="140" spans="4:4" ht="15.75" customHeight="1" x14ac:dyDescent="0.35">
      <c r="D140" s="76"/>
    </row>
    <row r="141" spans="4:4" ht="15.75" customHeight="1" x14ac:dyDescent="0.35">
      <c r="D141" s="76"/>
    </row>
    <row r="142" spans="4:4" ht="15.75" customHeight="1" x14ac:dyDescent="0.35">
      <c r="D142" s="76"/>
    </row>
    <row r="143" spans="4:4" ht="15.75" customHeight="1" x14ac:dyDescent="0.35">
      <c r="D143" s="76"/>
    </row>
    <row r="144" spans="4:4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>
      <c r="D169" s="76"/>
    </row>
    <row r="170" spans="4:4" ht="15.75" customHeight="1" x14ac:dyDescent="0.35">
      <c r="D170" s="76"/>
    </row>
    <row r="171" spans="4:4" ht="15.75" customHeight="1" x14ac:dyDescent="0.35">
      <c r="D171" s="76"/>
    </row>
    <row r="172" spans="4:4" ht="15.75" customHeight="1" x14ac:dyDescent="0.35">
      <c r="D172" s="76"/>
    </row>
    <row r="173" spans="4:4" ht="15.75" customHeight="1" x14ac:dyDescent="0.35">
      <c r="D173" s="76"/>
    </row>
    <row r="174" spans="4:4" ht="15.75" customHeight="1" x14ac:dyDescent="0.35">
      <c r="D174" s="76"/>
    </row>
    <row r="175" spans="4:4" ht="15.75" customHeight="1" x14ac:dyDescent="0.35">
      <c r="D175" s="76"/>
    </row>
    <row r="176" spans="4:4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/>
    <row r="183" spans="4:4" ht="15.75" customHeight="1" x14ac:dyDescent="0.35"/>
    <row r="184" spans="4:4" ht="15.75" customHeight="1" x14ac:dyDescent="0.35"/>
    <row r="185" spans="4:4" ht="15.75" customHeight="1" x14ac:dyDescent="0.35"/>
    <row r="186" spans="4:4" ht="15.75" customHeight="1" x14ac:dyDescent="0.35"/>
    <row r="187" spans="4:4" ht="15.75" customHeight="1" x14ac:dyDescent="0.35"/>
    <row r="188" spans="4:4" ht="15.75" customHeight="1" x14ac:dyDescent="0.35"/>
    <row r="189" spans="4:4" ht="15.75" customHeight="1" x14ac:dyDescent="0.35"/>
    <row r="190" spans="4:4" ht="15.75" customHeight="1" x14ac:dyDescent="0.35"/>
    <row r="191" spans="4:4" ht="15.75" customHeight="1" x14ac:dyDescent="0.35"/>
    <row r="192" spans="4:4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3"/>
  <sheetViews>
    <sheetView topLeftCell="A2" zoomScale="80" workbookViewId="0">
      <selection activeCell="M58" sqref="M58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1.453125" style="49" customWidth="1"/>
    <col min="8" max="16384" width="12.7265625" style="48"/>
  </cols>
  <sheetData>
    <row r="1" spans="1:9" ht="15" hidden="1" customHeight="1" x14ac:dyDescent="0.35">
      <c r="G1" s="50"/>
    </row>
    <row r="2" spans="1:9" ht="120" x14ac:dyDescent="0.35">
      <c r="A2" s="51" t="s">
        <v>196</v>
      </c>
      <c r="B2" s="51" t="s">
        <v>187</v>
      </c>
      <c r="C2" s="52" t="s">
        <v>188</v>
      </c>
      <c r="D2" s="54" t="s">
        <v>189</v>
      </c>
      <c r="E2" s="52" t="s">
        <v>190</v>
      </c>
      <c r="F2" s="52" t="s">
        <v>191</v>
      </c>
      <c r="G2" s="53" t="s">
        <v>194</v>
      </c>
      <c r="H2" s="48" t="s">
        <v>195</v>
      </c>
      <c r="I2" s="48" t="s">
        <v>175</v>
      </c>
    </row>
    <row r="3" spans="1:9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7">
        <v>3</v>
      </c>
      <c r="H3" s="48">
        <v>7</v>
      </c>
      <c r="I3" s="48">
        <v>14</v>
      </c>
    </row>
    <row r="4" spans="1:9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7">
        <v>5</v>
      </c>
      <c r="H4" s="48">
        <v>3</v>
      </c>
      <c r="I4" s="48">
        <v>3</v>
      </c>
    </row>
    <row r="5" spans="1:9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7">
        <v>5</v>
      </c>
      <c r="H5" s="48">
        <v>1</v>
      </c>
      <c r="I5" s="48">
        <v>1</v>
      </c>
    </row>
    <row r="6" spans="1:9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7">
        <v>5</v>
      </c>
      <c r="H6" s="48">
        <v>1</v>
      </c>
      <c r="I6" s="48">
        <v>1</v>
      </c>
    </row>
    <row r="7" spans="1:9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7">
        <v>5</v>
      </c>
      <c r="H7" s="48">
        <v>2</v>
      </c>
      <c r="I7" s="48">
        <v>2</v>
      </c>
    </row>
    <row r="8" spans="1:9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7">
        <v>5</v>
      </c>
      <c r="H8" s="48">
        <v>1</v>
      </c>
      <c r="I8" s="48">
        <v>1</v>
      </c>
    </row>
    <row r="9" spans="1:9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7">
        <v>5</v>
      </c>
      <c r="H9" s="48">
        <v>3</v>
      </c>
      <c r="I9" s="48">
        <v>3</v>
      </c>
    </row>
    <row r="10" spans="1:9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7">
        <v>5</v>
      </c>
      <c r="H10" s="48">
        <v>1</v>
      </c>
      <c r="I10" s="48">
        <v>1</v>
      </c>
    </row>
    <row r="11" spans="1:9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7">
        <v>5</v>
      </c>
      <c r="H11" s="48">
        <v>3</v>
      </c>
      <c r="I11" s="48">
        <v>3</v>
      </c>
    </row>
    <row r="12" spans="1:9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7">
        <v>5</v>
      </c>
      <c r="H12" s="48">
        <v>3</v>
      </c>
      <c r="I12" s="48">
        <v>3</v>
      </c>
    </row>
    <row r="13" spans="1:9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7">
        <v>5</v>
      </c>
      <c r="H13" s="48">
        <v>1</v>
      </c>
      <c r="I13" s="48">
        <v>1</v>
      </c>
    </row>
    <row r="14" spans="1:9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7">
        <v>3</v>
      </c>
      <c r="H14" s="48">
        <v>3</v>
      </c>
      <c r="I14" s="48">
        <v>3</v>
      </c>
    </row>
    <row r="15" spans="1:9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7">
        <v>3</v>
      </c>
      <c r="H15" s="48">
        <v>3</v>
      </c>
      <c r="I15" s="48">
        <v>3</v>
      </c>
    </row>
    <row r="16" spans="1:9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7">
        <v>3</v>
      </c>
      <c r="H16" s="48">
        <v>2</v>
      </c>
      <c r="I16" s="48">
        <v>2</v>
      </c>
    </row>
    <row r="17" spans="1:9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7">
        <v>3</v>
      </c>
      <c r="H17" s="48">
        <v>4</v>
      </c>
      <c r="I17" s="48">
        <v>4</v>
      </c>
    </row>
    <row r="18" spans="1:9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7">
        <v>3</v>
      </c>
      <c r="H18" s="48">
        <v>1</v>
      </c>
      <c r="I18" s="48">
        <v>1</v>
      </c>
    </row>
    <row r="19" spans="1:9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7">
        <v>3</v>
      </c>
      <c r="H19" s="48">
        <v>1</v>
      </c>
      <c r="I19" s="48">
        <v>1</v>
      </c>
    </row>
    <row r="20" spans="1:9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7">
        <v>3</v>
      </c>
      <c r="H20" s="48">
        <v>5</v>
      </c>
      <c r="I20" s="48">
        <v>5</v>
      </c>
    </row>
    <row r="21" spans="1:9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7">
        <v>3</v>
      </c>
      <c r="H21" s="48">
        <v>2</v>
      </c>
      <c r="I21" s="48">
        <v>2</v>
      </c>
    </row>
    <row r="22" spans="1:9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7">
        <v>3</v>
      </c>
      <c r="H22" s="48">
        <v>1</v>
      </c>
      <c r="I22" s="48">
        <v>1</v>
      </c>
    </row>
    <row r="23" spans="1:9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7">
        <v>3</v>
      </c>
      <c r="H23" s="48">
        <v>1</v>
      </c>
      <c r="I23" s="48">
        <v>1</v>
      </c>
    </row>
    <row r="24" spans="1:9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7">
        <v>3</v>
      </c>
      <c r="H24" s="48">
        <v>1</v>
      </c>
      <c r="I24" s="48">
        <v>1</v>
      </c>
    </row>
    <row r="25" spans="1:9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7">
        <v>3</v>
      </c>
      <c r="H25" s="48">
        <v>1</v>
      </c>
      <c r="I25" s="48">
        <v>1</v>
      </c>
    </row>
    <row r="26" spans="1:9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7">
        <v>3</v>
      </c>
      <c r="H26" s="48">
        <v>1</v>
      </c>
      <c r="I26" s="48">
        <v>1</v>
      </c>
    </row>
    <row r="27" spans="1:9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7">
        <v>3</v>
      </c>
      <c r="H27" s="48">
        <v>1</v>
      </c>
      <c r="I27" s="48">
        <v>1</v>
      </c>
    </row>
    <row r="28" spans="1:9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60">
        <v>3</v>
      </c>
      <c r="H28" s="48">
        <v>3</v>
      </c>
      <c r="I28" s="48">
        <v>3</v>
      </c>
    </row>
    <row r="29" spans="1:9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60">
        <v>3</v>
      </c>
      <c r="H29" s="48">
        <v>1</v>
      </c>
      <c r="I29" s="48">
        <v>1</v>
      </c>
    </row>
    <row r="30" spans="1:9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7">
        <v>4</v>
      </c>
      <c r="H30" s="48">
        <v>10</v>
      </c>
      <c r="I30" s="48">
        <v>10</v>
      </c>
    </row>
    <row r="31" spans="1:9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7">
        <v>4</v>
      </c>
      <c r="H31" s="48">
        <v>7</v>
      </c>
      <c r="I31" s="48">
        <v>7</v>
      </c>
    </row>
    <row r="32" spans="1:9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7">
        <v>3</v>
      </c>
      <c r="H32" s="48">
        <v>14</v>
      </c>
      <c r="I32" s="48">
        <v>17</v>
      </c>
    </row>
    <row r="33" spans="1:9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7">
        <v>3</v>
      </c>
      <c r="H33" s="48">
        <v>5</v>
      </c>
      <c r="I33" s="48">
        <v>5</v>
      </c>
    </row>
    <row r="34" spans="1:9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7">
        <v>5</v>
      </c>
      <c r="H34" s="48">
        <v>2</v>
      </c>
      <c r="I34" s="48">
        <v>2</v>
      </c>
    </row>
    <row r="35" spans="1:9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7">
        <v>5</v>
      </c>
      <c r="H35" s="48">
        <v>12</v>
      </c>
      <c r="I35" s="48">
        <v>12</v>
      </c>
    </row>
    <row r="36" spans="1:9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7">
        <v>5</v>
      </c>
      <c r="H36" s="48">
        <v>3</v>
      </c>
      <c r="I36" s="48">
        <v>3</v>
      </c>
    </row>
    <row r="37" spans="1:9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7">
        <v>5</v>
      </c>
      <c r="H37" s="48">
        <v>0</v>
      </c>
      <c r="I37" s="48">
        <v>0</v>
      </c>
    </row>
    <row r="38" spans="1:9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7">
        <v>5</v>
      </c>
      <c r="H38" s="48">
        <v>2</v>
      </c>
      <c r="I38" s="48">
        <v>3</v>
      </c>
    </row>
    <row r="39" spans="1:9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7">
        <v>3</v>
      </c>
      <c r="H39" s="48">
        <v>1</v>
      </c>
      <c r="I39" s="48">
        <v>1</v>
      </c>
    </row>
    <row r="40" spans="1:9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7">
        <v>3</v>
      </c>
      <c r="H40" s="48">
        <v>4</v>
      </c>
      <c r="I40" s="48">
        <v>4</v>
      </c>
    </row>
    <row r="41" spans="1:9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7">
        <v>3</v>
      </c>
      <c r="H41" s="48">
        <v>4</v>
      </c>
      <c r="I41" s="48">
        <v>4</v>
      </c>
    </row>
    <row r="42" spans="1:9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7">
        <v>3</v>
      </c>
      <c r="H42" s="48">
        <v>1</v>
      </c>
      <c r="I42" s="48">
        <v>1</v>
      </c>
    </row>
    <row r="43" spans="1:9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7">
        <v>3</v>
      </c>
      <c r="H43" s="48">
        <v>2</v>
      </c>
      <c r="I43" s="48">
        <v>2</v>
      </c>
    </row>
    <row r="44" spans="1:9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60">
        <v>4</v>
      </c>
      <c r="H44" s="48">
        <v>9</v>
      </c>
      <c r="I44" s="48">
        <v>18</v>
      </c>
    </row>
    <row r="45" spans="1:9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60">
        <v>3</v>
      </c>
      <c r="H45" s="48">
        <v>11</v>
      </c>
      <c r="I45" s="48">
        <v>11</v>
      </c>
    </row>
    <row r="46" spans="1:9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60">
        <v>5</v>
      </c>
      <c r="H46" s="48">
        <v>7</v>
      </c>
      <c r="I46" s="48">
        <v>10</v>
      </c>
    </row>
    <row r="47" spans="1:9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60">
        <v>5</v>
      </c>
      <c r="H47" s="48">
        <v>8</v>
      </c>
      <c r="I47" s="48">
        <v>9</v>
      </c>
    </row>
    <row r="48" spans="1:9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60">
        <v>5</v>
      </c>
      <c r="H48" s="48">
        <v>3</v>
      </c>
      <c r="I48" s="48">
        <v>3</v>
      </c>
    </row>
    <row r="49" spans="1:9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60">
        <v>5</v>
      </c>
      <c r="H49" s="48">
        <v>5</v>
      </c>
      <c r="I49" s="48">
        <v>9</v>
      </c>
    </row>
    <row r="50" spans="1:9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60">
        <v>5</v>
      </c>
      <c r="H50" s="48">
        <v>1</v>
      </c>
      <c r="I50" s="48">
        <v>1</v>
      </c>
    </row>
    <row r="51" spans="1:9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60">
        <v>3</v>
      </c>
      <c r="H51" s="48">
        <v>4</v>
      </c>
      <c r="I51" s="48">
        <v>7</v>
      </c>
    </row>
    <row r="52" spans="1:9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60">
        <v>3</v>
      </c>
      <c r="H52" s="48">
        <v>2</v>
      </c>
      <c r="I52" s="48">
        <v>4</v>
      </c>
    </row>
    <row r="53" spans="1:9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60">
        <v>3</v>
      </c>
      <c r="H53" s="48">
        <v>6</v>
      </c>
      <c r="I53" s="48">
        <v>12</v>
      </c>
    </row>
    <row r="54" spans="1:9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60">
        <v>3</v>
      </c>
      <c r="H54" s="48">
        <v>4</v>
      </c>
      <c r="I54" s="48">
        <v>15</v>
      </c>
    </row>
    <row r="55" spans="1:9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60">
        <v>3</v>
      </c>
      <c r="H55" s="48">
        <v>0</v>
      </c>
      <c r="I55" s="48">
        <v>0</v>
      </c>
    </row>
    <row r="56" spans="1:9" ht="15.75" customHeight="1" x14ac:dyDescent="0.35">
      <c r="A56" s="55" t="s">
        <v>141</v>
      </c>
      <c r="B56" s="63" t="s">
        <v>185</v>
      </c>
      <c r="C56" s="67">
        <v>73</v>
      </c>
      <c r="D56" s="64">
        <v>50.3</v>
      </c>
      <c r="E56" s="65">
        <v>17</v>
      </c>
      <c r="F56" s="65">
        <v>0</v>
      </c>
      <c r="G56" s="60">
        <v>1</v>
      </c>
      <c r="H56" s="48">
        <v>2</v>
      </c>
      <c r="I56" s="48">
        <v>2</v>
      </c>
    </row>
    <row r="57" spans="1:9" ht="15.75" customHeight="1" x14ac:dyDescent="0.35">
      <c r="A57" s="55" t="s">
        <v>141</v>
      </c>
      <c r="B57" s="63" t="s">
        <v>185</v>
      </c>
      <c r="C57" s="65">
        <v>72</v>
      </c>
      <c r="D57" s="64">
        <v>50.4</v>
      </c>
      <c r="E57" s="65">
        <v>30.4</v>
      </c>
      <c r="F57" s="65">
        <v>0</v>
      </c>
      <c r="G57" s="60">
        <v>1</v>
      </c>
      <c r="H57" s="48">
        <v>3</v>
      </c>
      <c r="I57" s="48">
        <v>7</v>
      </c>
    </row>
    <row r="58" spans="1:9" ht="15.75" customHeight="1" x14ac:dyDescent="0.35">
      <c r="A58" s="55" t="s">
        <v>141</v>
      </c>
      <c r="B58" s="63" t="s">
        <v>186</v>
      </c>
      <c r="C58" s="65">
        <v>75</v>
      </c>
      <c r="D58" s="69">
        <v>0.71899999999999997</v>
      </c>
      <c r="E58" s="65">
        <v>25.8</v>
      </c>
      <c r="F58" s="65">
        <v>0</v>
      </c>
      <c r="G58" s="60">
        <v>6</v>
      </c>
      <c r="H58" s="48">
        <v>0</v>
      </c>
      <c r="I58" s="48">
        <v>0</v>
      </c>
    </row>
    <row r="59" spans="1:9" ht="15.75" customHeight="1" x14ac:dyDescent="0.35">
      <c r="A59" s="55" t="s">
        <v>146</v>
      </c>
      <c r="B59" s="61" t="s">
        <v>176</v>
      </c>
      <c r="C59" s="55">
        <v>99</v>
      </c>
      <c r="D59" s="70">
        <v>0.27700000000000002</v>
      </c>
      <c r="E59" s="55">
        <v>26.4</v>
      </c>
      <c r="F59" s="55">
        <v>0</v>
      </c>
      <c r="G59" s="57">
        <v>4</v>
      </c>
      <c r="H59" s="48">
        <v>6</v>
      </c>
      <c r="I59" s="48">
        <v>22</v>
      </c>
    </row>
    <row r="60" spans="1:9" ht="15.75" customHeight="1" x14ac:dyDescent="0.35">
      <c r="A60" s="55" t="s">
        <v>146</v>
      </c>
      <c r="B60" s="61" t="s">
        <v>177</v>
      </c>
      <c r="C60" s="55">
        <v>92</v>
      </c>
      <c r="D60" s="58">
        <v>0.78</v>
      </c>
      <c r="E60" s="55">
        <v>24.6</v>
      </c>
      <c r="F60" s="55">
        <v>0</v>
      </c>
      <c r="G60" s="57">
        <v>3</v>
      </c>
      <c r="H60" s="48">
        <v>9</v>
      </c>
      <c r="I60" s="48">
        <v>14</v>
      </c>
    </row>
    <row r="61" spans="1:9" ht="15.75" customHeight="1" x14ac:dyDescent="0.35">
      <c r="A61" s="55" t="s">
        <v>146</v>
      </c>
      <c r="B61" s="61" t="s">
        <v>200</v>
      </c>
      <c r="C61" s="55">
        <v>94</v>
      </c>
      <c r="D61" s="70">
        <v>0.50800000000000001</v>
      </c>
      <c r="E61" s="55">
        <v>24.8</v>
      </c>
      <c r="F61" s="55">
        <v>0</v>
      </c>
      <c r="G61" s="57">
        <v>5</v>
      </c>
      <c r="H61" s="48">
        <v>8</v>
      </c>
      <c r="I61" s="48">
        <v>8</v>
      </c>
    </row>
    <row r="62" spans="1:9" ht="15.75" customHeight="1" x14ac:dyDescent="0.35">
      <c r="A62" s="55" t="s">
        <v>146</v>
      </c>
      <c r="B62" s="61" t="s">
        <v>200</v>
      </c>
      <c r="C62" s="55">
        <v>94</v>
      </c>
      <c r="D62" s="70">
        <v>0.5</v>
      </c>
      <c r="E62" s="55">
        <v>24.8</v>
      </c>
      <c r="F62" s="55">
        <v>0</v>
      </c>
      <c r="G62" s="57">
        <v>5</v>
      </c>
      <c r="H62" s="48">
        <v>2</v>
      </c>
      <c r="I62" s="48">
        <v>6</v>
      </c>
    </row>
    <row r="63" spans="1:9" ht="15.75" customHeight="1" x14ac:dyDescent="0.35">
      <c r="A63" s="55" t="s">
        <v>146</v>
      </c>
      <c r="B63" s="61" t="s">
        <v>200</v>
      </c>
      <c r="C63" s="59">
        <v>94</v>
      </c>
      <c r="D63" s="70">
        <v>0.5</v>
      </c>
      <c r="E63" s="55">
        <v>23</v>
      </c>
      <c r="F63" s="55">
        <v>0</v>
      </c>
      <c r="G63" s="57">
        <v>5</v>
      </c>
      <c r="H63" s="48">
        <v>5</v>
      </c>
      <c r="I63" s="48">
        <v>5</v>
      </c>
    </row>
    <row r="64" spans="1:9" ht="15.75" customHeight="1" x14ac:dyDescent="0.35">
      <c r="A64" s="55" t="s">
        <v>146</v>
      </c>
      <c r="B64" s="61" t="s">
        <v>200</v>
      </c>
      <c r="C64" s="59">
        <v>94</v>
      </c>
      <c r="D64" s="70">
        <v>0.5</v>
      </c>
      <c r="E64" s="55">
        <v>22</v>
      </c>
      <c r="F64" s="55">
        <v>0</v>
      </c>
      <c r="G64" s="57">
        <v>5</v>
      </c>
      <c r="H64" s="48">
        <v>1</v>
      </c>
      <c r="I64" s="48">
        <v>1</v>
      </c>
    </row>
    <row r="65" spans="1:9" ht="15.75" customHeight="1" x14ac:dyDescent="0.35">
      <c r="A65" s="55" t="s">
        <v>146</v>
      </c>
      <c r="B65" s="61" t="s">
        <v>181</v>
      </c>
      <c r="C65" s="55">
        <v>99</v>
      </c>
      <c r="D65" s="58">
        <v>7.59</v>
      </c>
      <c r="E65" s="55">
        <v>23.9</v>
      </c>
      <c r="F65" s="55">
        <v>0</v>
      </c>
      <c r="G65" s="57">
        <v>3</v>
      </c>
      <c r="H65" s="48">
        <v>5</v>
      </c>
      <c r="I65" s="48">
        <v>6</v>
      </c>
    </row>
    <row r="66" spans="1:9" ht="15.75" customHeight="1" x14ac:dyDescent="0.35">
      <c r="A66" s="55" t="s">
        <v>146</v>
      </c>
      <c r="B66" s="61" t="s">
        <v>198</v>
      </c>
      <c r="C66" s="55">
        <v>99</v>
      </c>
      <c r="D66" s="58">
        <v>13.05</v>
      </c>
      <c r="E66" s="55">
        <v>25.9</v>
      </c>
      <c r="F66" s="55">
        <v>0.45</v>
      </c>
      <c r="G66" s="57">
        <v>3</v>
      </c>
      <c r="H66" s="48">
        <v>4</v>
      </c>
      <c r="I66" s="48">
        <v>4</v>
      </c>
    </row>
    <row r="67" spans="1:9" ht="15.75" customHeight="1" x14ac:dyDescent="0.35">
      <c r="A67" s="55" t="s">
        <v>146</v>
      </c>
      <c r="B67" s="61" t="s">
        <v>199</v>
      </c>
      <c r="C67" s="55">
        <v>93</v>
      </c>
      <c r="D67" s="58">
        <v>6.64</v>
      </c>
      <c r="E67" s="55">
        <v>26</v>
      </c>
      <c r="F67" s="55">
        <v>0</v>
      </c>
      <c r="G67" s="57">
        <v>2</v>
      </c>
      <c r="H67" s="48">
        <v>7</v>
      </c>
      <c r="I67" s="48">
        <v>13</v>
      </c>
    </row>
    <row r="68" spans="1:9" ht="15.75" customHeight="1" x14ac:dyDescent="0.35">
      <c r="A68" s="55" t="s">
        <v>146</v>
      </c>
      <c r="B68" s="61" t="s">
        <v>199</v>
      </c>
      <c r="C68" s="55">
        <v>59</v>
      </c>
      <c r="D68" s="58">
        <v>39.5</v>
      </c>
      <c r="E68" s="55">
        <v>31.13</v>
      </c>
      <c r="F68" s="55">
        <v>2.1</v>
      </c>
      <c r="G68" s="57">
        <v>2</v>
      </c>
      <c r="H68" s="48">
        <v>4</v>
      </c>
      <c r="I68" s="48">
        <v>9</v>
      </c>
    </row>
    <row r="69" spans="1:9" ht="15.75" customHeight="1" x14ac:dyDescent="0.35">
      <c r="A69" s="55" t="s">
        <v>146</v>
      </c>
      <c r="B69" s="61" t="s">
        <v>199</v>
      </c>
      <c r="C69" s="55">
        <v>80</v>
      </c>
      <c r="D69" s="58">
        <v>6.56</v>
      </c>
      <c r="E69" s="55">
        <v>23.9</v>
      </c>
      <c r="F69" s="55">
        <v>0</v>
      </c>
      <c r="G69" s="57">
        <v>2</v>
      </c>
      <c r="H69" s="48">
        <v>0</v>
      </c>
      <c r="I69" s="48">
        <v>0</v>
      </c>
    </row>
    <row r="70" spans="1:9" ht="15.75" customHeight="1" x14ac:dyDescent="0.35">
      <c r="A70" s="55" t="s">
        <v>146</v>
      </c>
      <c r="B70" s="61" t="s">
        <v>183</v>
      </c>
      <c r="C70" s="55">
        <v>79</v>
      </c>
      <c r="D70" s="58">
        <v>15.5</v>
      </c>
      <c r="E70" s="55">
        <v>28.3</v>
      </c>
      <c r="F70" s="55">
        <v>0</v>
      </c>
      <c r="G70" s="57">
        <v>3</v>
      </c>
      <c r="H70" s="48">
        <v>3</v>
      </c>
      <c r="I70" s="48">
        <v>3</v>
      </c>
    </row>
    <row r="71" spans="1:9" ht="15.75" customHeight="1" x14ac:dyDescent="0.35">
      <c r="A71" s="55" t="s">
        <v>146</v>
      </c>
      <c r="B71" s="61" t="s">
        <v>183</v>
      </c>
      <c r="C71" s="55">
        <v>79</v>
      </c>
      <c r="D71" s="58">
        <v>4.87</v>
      </c>
      <c r="E71" s="55">
        <v>25.2</v>
      </c>
      <c r="F71" s="55">
        <v>0</v>
      </c>
      <c r="G71" s="57">
        <v>3</v>
      </c>
      <c r="H71" s="48">
        <v>0</v>
      </c>
      <c r="I71" s="48">
        <v>0</v>
      </c>
    </row>
    <row r="72" spans="1:9" ht="15.75" customHeight="1" x14ac:dyDescent="0.35">
      <c r="A72" s="55" t="s">
        <v>146</v>
      </c>
      <c r="B72" s="61" t="s">
        <v>185</v>
      </c>
      <c r="C72" s="55">
        <v>86</v>
      </c>
      <c r="D72" s="58">
        <v>19.5</v>
      </c>
      <c r="E72" s="55">
        <v>27.4</v>
      </c>
      <c r="F72" s="55">
        <v>2.9</v>
      </c>
      <c r="G72" s="57">
        <v>1</v>
      </c>
      <c r="H72" s="48">
        <v>3</v>
      </c>
      <c r="I72" s="48">
        <v>5</v>
      </c>
    </row>
    <row r="73" spans="1:9" ht="15.75" customHeight="1" x14ac:dyDescent="0.35">
      <c r="A73" s="55" t="s">
        <v>146</v>
      </c>
      <c r="B73" s="61" t="s">
        <v>186</v>
      </c>
      <c r="C73" s="55">
        <v>79</v>
      </c>
      <c r="D73" s="58">
        <v>0.56999999999999995</v>
      </c>
      <c r="E73" s="55">
        <v>24.8</v>
      </c>
      <c r="F73" s="55">
        <v>0</v>
      </c>
      <c r="G73" s="57">
        <v>6</v>
      </c>
      <c r="H73" s="48">
        <v>3</v>
      </c>
      <c r="I73" s="48">
        <v>4</v>
      </c>
    </row>
    <row r="74" spans="1:9" ht="15.75" customHeight="1" x14ac:dyDescent="0.35">
      <c r="A74" s="55" t="s">
        <v>146</v>
      </c>
      <c r="B74" s="61" t="s">
        <v>186</v>
      </c>
      <c r="C74" s="55">
        <v>96</v>
      </c>
      <c r="D74" s="58">
        <v>15.05</v>
      </c>
      <c r="E74" s="55">
        <v>30.2</v>
      </c>
      <c r="F74" s="55">
        <v>0</v>
      </c>
      <c r="G74" s="57">
        <v>6</v>
      </c>
      <c r="H74" s="48">
        <v>2</v>
      </c>
      <c r="I74" s="48">
        <v>6</v>
      </c>
    </row>
    <row r="75" spans="1:9" ht="15.75" customHeight="1" x14ac:dyDescent="0.35">
      <c r="A75" s="55" t="s">
        <v>146</v>
      </c>
      <c r="B75" s="55" t="s">
        <v>186</v>
      </c>
      <c r="C75" s="55">
        <v>57</v>
      </c>
      <c r="D75" s="58">
        <v>153.19999999999999</v>
      </c>
      <c r="E75" s="55">
        <v>30.2</v>
      </c>
      <c r="F75" s="55">
        <v>0.4</v>
      </c>
      <c r="G75" s="57">
        <v>6</v>
      </c>
      <c r="H75" s="48">
        <v>2</v>
      </c>
      <c r="I75" s="48">
        <v>3</v>
      </c>
    </row>
    <row r="76" spans="1:9" ht="15.75" customHeight="1" x14ac:dyDescent="0.35">
      <c r="A76" s="55" t="s">
        <v>153</v>
      </c>
      <c r="B76" s="61" t="s">
        <v>176</v>
      </c>
      <c r="C76" s="55">
        <v>98</v>
      </c>
      <c r="D76" s="58">
        <v>7.54</v>
      </c>
      <c r="E76" s="55">
        <v>25.8</v>
      </c>
      <c r="F76" s="55">
        <v>0</v>
      </c>
      <c r="G76" s="57">
        <v>4</v>
      </c>
      <c r="H76" s="48">
        <v>5</v>
      </c>
      <c r="I76" s="48">
        <v>7</v>
      </c>
    </row>
    <row r="77" spans="1:9" ht="15.75" customHeight="1" x14ac:dyDescent="0.35">
      <c r="A77" s="55" t="s">
        <v>153</v>
      </c>
      <c r="B77" s="61" t="s">
        <v>176</v>
      </c>
      <c r="C77" s="55">
        <v>99</v>
      </c>
      <c r="D77" s="58">
        <v>6.06</v>
      </c>
      <c r="E77" s="55">
        <v>25.35</v>
      </c>
      <c r="F77" s="55">
        <v>0</v>
      </c>
      <c r="G77" s="57">
        <v>4</v>
      </c>
      <c r="H77" s="48">
        <v>9</v>
      </c>
      <c r="I77" s="48">
        <v>9</v>
      </c>
    </row>
    <row r="78" spans="1:9" ht="15.75" customHeight="1" x14ac:dyDescent="0.35">
      <c r="A78" s="55" t="s">
        <v>153</v>
      </c>
      <c r="B78" s="61" t="s">
        <v>177</v>
      </c>
      <c r="C78" s="55">
        <v>98</v>
      </c>
      <c r="D78" s="58">
        <v>0.77</v>
      </c>
      <c r="E78" s="55">
        <v>22.6</v>
      </c>
      <c r="F78" s="55">
        <v>0</v>
      </c>
      <c r="G78" s="57">
        <v>3</v>
      </c>
      <c r="H78" s="48">
        <v>8</v>
      </c>
      <c r="I78" s="48">
        <v>14</v>
      </c>
    </row>
    <row r="79" spans="1:9" ht="15.75" customHeight="1" x14ac:dyDescent="0.35">
      <c r="A79" s="55" t="s">
        <v>153</v>
      </c>
      <c r="B79" s="61" t="s">
        <v>177</v>
      </c>
      <c r="C79" s="55">
        <v>82</v>
      </c>
      <c r="D79" s="70">
        <v>0.19800000000000001</v>
      </c>
      <c r="E79" s="55">
        <v>24.3</v>
      </c>
      <c r="F79" s="55">
        <v>0</v>
      </c>
      <c r="G79" s="57">
        <v>3</v>
      </c>
      <c r="H79" s="48">
        <v>9</v>
      </c>
      <c r="I79" s="48">
        <v>12</v>
      </c>
    </row>
    <row r="80" spans="1:9" ht="15.75" customHeight="1" x14ac:dyDescent="0.35">
      <c r="A80" s="55" t="s">
        <v>153</v>
      </c>
      <c r="B80" s="61" t="s">
        <v>200</v>
      </c>
      <c r="C80" s="55">
        <v>98</v>
      </c>
      <c r="D80" s="58">
        <v>3.69</v>
      </c>
      <c r="E80" s="55">
        <v>22.35</v>
      </c>
      <c r="F80" s="55">
        <v>0</v>
      </c>
      <c r="G80" s="57">
        <v>5</v>
      </c>
      <c r="H80" s="48">
        <v>3</v>
      </c>
      <c r="I80" s="48">
        <v>7</v>
      </c>
    </row>
    <row r="81" spans="1:9" ht="15.75" customHeight="1" x14ac:dyDescent="0.35">
      <c r="A81" s="55" t="s">
        <v>153</v>
      </c>
      <c r="B81" s="61" t="s">
        <v>200</v>
      </c>
      <c r="C81" s="55">
        <v>98</v>
      </c>
      <c r="D81" s="58">
        <v>3.69</v>
      </c>
      <c r="E81" s="55">
        <v>22.35</v>
      </c>
      <c r="F81" s="55">
        <v>0</v>
      </c>
      <c r="G81" s="57">
        <v>5</v>
      </c>
      <c r="H81" s="48">
        <v>13</v>
      </c>
      <c r="I81" s="48">
        <v>14</v>
      </c>
    </row>
    <row r="82" spans="1:9" ht="15.75" customHeight="1" x14ac:dyDescent="0.35">
      <c r="A82" s="55" t="s">
        <v>153</v>
      </c>
      <c r="B82" s="61" t="s">
        <v>200</v>
      </c>
      <c r="C82" s="55">
        <v>90</v>
      </c>
      <c r="D82" s="70">
        <v>3.5000000000000003E-2</v>
      </c>
      <c r="E82" s="55">
        <v>24.2</v>
      </c>
      <c r="F82" s="55">
        <v>0</v>
      </c>
      <c r="G82" s="57">
        <v>5</v>
      </c>
      <c r="H82" s="48">
        <v>1</v>
      </c>
      <c r="I82" s="48">
        <v>1</v>
      </c>
    </row>
    <row r="83" spans="1:9" ht="15.75" customHeight="1" x14ac:dyDescent="0.35">
      <c r="A83" s="55" t="s">
        <v>153</v>
      </c>
      <c r="B83" s="61" t="s">
        <v>200</v>
      </c>
      <c r="C83" s="55">
        <v>61</v>
      </c>
      <c r="D83" s="70">
        <v>9.4E-2</v>
      </c>
      <c r="E83" s="55">
        <v>25.5</v>
      </c>
      <c r="F83" s="55">
        <v>0</v>
      </c>
      <c r="G83" s="57">
        <v>5</v>
      </c>
      <c r="H83" s="48">
        <v>6</v>
      </c>
      <c r="I83" s="48">
        <v>8</v>
      </c>
    </row>
    <row r="84" spans="1:9" ht="15.75" customHeight="1" x14ac:dyDescent="0.35">
      <c r="A84" s="55" t="s">
        <v>153</v>
      </c>
      <c r="B84" s="61" t="s">
        <v>200</v>
      </c>
      <c r="C84" s="55">
        <v>65</v>
      </c>
      <c r="D84" s="70">
        <v>3.5000000000000003E-2</v>
      </c>
      <c r="E84" s="55">
        <v>25.7</v>
      </c>
      <c r="F84" s="55">
        <v>0</v>
      </c>
      <c r="G84" s="57">
        <v>5</v>
      </c>
      <c r="H84" s="48">
        <v>3</v>
      </c>
      <c r="I84" s="48">
        <v>3</v>
      </c>
    </row>
    <row r="85" spans="1:9" ht="15.75" customHeight="1" x14ac:dyDescent="0.35">
      <c r="A85" s="55" t="s">
        <v>153</v>
      </c>
      <c r="B85" s="61" t="s">
        <v>180</v>
      </c>
      <c r="C85" s="55">
        <v>85</v>
      </c>
      <c r="D85" s="58">
        <v>3.81</v>
      </c>
      <c r="E85" s="55">
        <v>25</v>
      </c>
      <c r="F85" s="55">
        <v>0</v>
      </c>
      <c r="G85" s="57">
        <v>5</v>
      </c>
      <c r="H85" s="48">
        <v>3</v>
      </c>
      <c r="I85" s="48">
        <v>3</v>
      </c>
    </row>
    <row r="86" spans="1:9" ht="15.75" customHeight="1" x14ac:dyDescent="0.35">
      <c r="A86" s="55" t="s">
        <v>153</v>
      </c>
      <c r="B86" s="61" t="s">
        <v>180</v>
      </c>
      <c r="C86" s="55">
        <v>61</v>
      </c>
      <c r="D86" s="58">
        <v>4.78</v>
      </c>
      <c r="E86" s="55">
        <v>28.7</v>
      </c>
      <c r="F86" s="55">
        <v>0</v>
      </c>
      <c r="G86" s="57">
        <v>5</v>
      </c>
      <c r="H86" s="48">
        <v>0</v>
      </c>
      <c r="I86" s="48">
        <v>0</v>
      </c>
    </row>
    <row r="87" spans="1:9" ht="15.75" customHeight="1" x14ac:dyDescent="0.35">
      <c r="A87" s="55" t="s">
        <v>153</v>
      </c>
      <c r="B87" s="61" t="s">
        <v>180</v>
      </c>
      <c r="C87" s="55">
        <v>47</v>
      </c>
      <c r="D87" s="70">
        <v>0.74399999999999999</v>
      </c>
      <c r="E87" s="55">
        <v>29.9</v>
      </c>
      <c r="F87" s="55">
        <v>0</v>
      </c>
      <c r="G87" s="57">
        <v>5</v>
      </c>
      <c r="H87" s="48">
        <v>2</v>
      </c>
      <c r="I87" s="48">
        <v>2</v>
      </c>
    </row>
    <row r="88" spans="1:9" ht="15.75" customHeight="1" x14ac:dyDescent="0.35">
      <c r="A88" s="55" t="s">
        <v>153</v>
      </c>
      <c r="B88" s="61" t="s">
        <v>180</v>
      </c>
      <c r="C88" s="55">
        <v>50</v>
      </c>
      <c r="D88" s="70">
        <v>0.7</v>
      </c>
      <c r="E88" s="55">
        <v>26.3</v>
      </c>
      <c r="F88" s="55">
        <v>0</v>
      </c>
      <c r="G88" s="57">
        <v>5</v>
      </c>
      <c r="H88" s="48">
        <v>2</v>
      </c>
      <c r="I88" s="48">
        <v>5</v>
      </c>
    </row>
    <row r="89" spans="1:9" ht="15.75" customHeight="1" x14ac:dyDescent="0.35">
      <c r="A89" s="55" t="s">
        <v>153</v>
      </c>
      <c r="B89" s="61" t="s">
        <v>181</v>
      </c>
      <c r="C89" s="55">
        <v>85</v>
      </c>
      <c r="D89" s="58">
        <v>13.84</v>
      </c>
      <c r="E89" s="55">
        <v>26.7</v>
      </c>
      <c r="F89" s="55">
        <v>0</v>
      </c>
      <c r="G89" s="57">
        <v>3</v>
      </c>
      <c r="H89" s="48">
        <v>4</v>
      </c>
      <c r="I89" s="48">
        <v>6</v>
      </c>
    </row>
    <row r="90" spans="1:9" ht="15.75" customHeight="1" x14ac:dyDescent="0.35">
      <c r="A90" s="55" t="s">
        <v>153</v>
      </c>
      <c r="B90" s="61" t="s">
        <v>181</v>
      </c>
      <c r="C90" s="55">
        <v>55</v>
      </c>
      <c r="D90" s="58">
        <v>55.3</v>
      </c>
      <c r="E90" s="55">
        <v>30.2</v>
      </c>
      <c r="F90" s="55">
        <v>0</v>
      </c>
      <c r="G90" s="57">
        <v>3</v>
      </c>
      <c r="H90" s="48">
        <v>0</v>
      </c>
      <c r="I90" s="48">
        <v>0</v>
      </c>
    </row>
    <row r="91" spans="1:9" ht="15.75" customHeight="1" x14ac:dyDescent="0.35">
      <c r="A91" s="55" t="s">
        <v>153</v>
      </c>
      <c r="B91" s="61" t="s">
        <v>181</v>
      </c>
      <c r="C91" s="55">
        <v>51</v>
      </c>
      <c r="D91" s="58">
        <v>26.78</v>
      </c>
      <c r="E91" s="55">
        <v>30.7</v>
      </c>
      <c r="F91" s="55">
        <v>0</v>
      </c>
      <c r="G91" s="57">
        <v>3</v>
      </c>
      <c r="H91" s="48">
        <v>2</v>
      </c>
      <c r="I91" s="48">
        <v>2</v>
      </c>
    </row>
    <row r="92" spans="1:9" ht="15.75" customHeight="1" x14ac:dyDescent="0.35">
      <c r="A92" s="55" t="s">
        <v>153</v>
      </c>
      <c r="B92" s="61" t="s">
        <v>198</v>
      </c>
      <c r="C92" s="55">
        <v>90</v>
      </c>
      <c r="D92" s="58">
        <v>8.44</v>
      </c>
      <c r="E92" s="55">
        <v>27.4</v>
      </c>
      <c r="F92" s="55">
        <v>0.8</v>
      </c>
      <c r="G92" s="57">
        <v>3</v>
      </c>
      <c r="H92" s="48">
        <v>12</v>
      </c>
      <c r="I92" s="48">
        <v>17</v>
      </c>
    </row>
    <row r="93" spans="1:9" ht="15.75" customHeight="1" x14ac:dyDescent="0.35">
      <c r="A93" s="55" t="s">
        <v>153</v>
      </c>
      <c r="B93" s="56" t="s">
        <v>198</v>
      </c>
      <c r="C93" s="55">
        <v>58</v>
      </c>
      <c r="D93" s="58">
        <v>30.1</v>
      </c>
      <c r="E93" s="55">
        <v>29.1</v>
      </c>
      <c r="F93" s="55">
        <v>0</v>
      </c>
      <c r="G93" s="57">
        <v>3</v>
      </c>
      <c r="H93" s="48">
        <v>2</v>
      </c>
      <c r="I93" s="48">
        <v>2</v>
      </c>
    </row>
    <row r="94" spans="1:9" ht="15.75" customHeight="1" x14ac:dyDescent="0.35">
      <c r="A94" s="55" t="s">
        <v>153</v>
      </c>
      <c r="B94" s="61" t="s">
        <v>199</v>
      </c>
      <c r="C94" s="55">
        <v>77</v>
      </c>
      <c r="D94" s="70">
        <v>1.79</v>
      </c>
      <c r="E94" s="55">
        <v>23.98</v>
      </c>
      <c r="F94" s="55">
        <v>0.83</v>
      </c>
      <c r="G94" s="57">
        <v>2</v>
      </c>
      <c r="H94" s="48">
        <v>3</v>
      </c>
      <c r="I94" s="48">
        <v>3</v>
      </c>
    </row>
    <row r="95" spans="1:9" ht="15.75" customHeight="1" x14ac:dyDescent="0.35">
      <c r="A95" s="55" t="s">
        <v>153</v>
      </c>
      <c r="B95" s="61" t="s">
        <v>199</v>
      </c>
      <c r="C95" s="55">
        <v>78</v>
      </c>
      <c r="D95" s="70">
        <v>20.350000000000001</v>
      </c>
      <c r="E95" s="55">
        <v>22.55</v>
      </c>
      <c r="F95" s="55">
        <v>0</v>
      </c>
      <c r="G95" s="57">
        <v>2</v>
      </c>
      <c r="H95" s="48">
        <v>6</v>
      </c>
      <c r="I95" s="48">
        <v>14</v>
      </c>
    </row>
    <row r="96" spans="1:9" ht="15.75" customHeight="1" x14ac:dyDescent="0.35">
      <c r="A96" s="55" t="s">
        <v>153</v>
      </c>
      <c r="B96" s="61" t="s">
        <v>199</v>
      </c>
      <c r="C96" s="55">
        <v>98</v>
      </c>
      <c r="D96" s="70">
        <v>3.05</v>
      </c>
      <c r="E96" s="55">
        <v>21.7</v>
      </c>
      <c r="F96" s="55">
        <v>0.9</v>
      </c>
      <c r="G96" s="57">
        <v>2</v>
      </c>
      <c r="H96" s="48">
        <v>1</v>
      </c>
      <c r="I96" s="48">
        <v>1</v>
      </c>
    </row>
    <row r="97" spans="1:9" ht="15.75" customHeight="1" x14ac:dyDescent="0.35">
      <c r="A97" s="55" t="s">
        <v>153</v>
      </c>
      <c r="B97" s="61" t="s">
        <v>199</v>
      </c>
      <c r="C97" s="55">
        <v>77</v>
      </c>
      <c r="D97" s="70">
        <v>12.54</v>
      </c>
      <c r="E97" s="55">
        <v>25.3</v>
      </c>
      <c r="F97" s="55">
        <v>1</v>
      </c>
      <c r="G97" s="57">
        <v>2</v>
      </c>
      <c r="H97" s="48">
        <v>1</v>
      </c>
      <c r="I97" s="48">
        <v>5</v>
      </c>
    </row>
    <row r="98" spans="1:9" ht="15.75" customHeight="1" x14ac:dyDescent="0.35">
      <c r="A98" s="55" t="s">
        <v>153</v>
      </c>
      <c r="B98" s="61" t="s">
        <v>183</v>
      </c>
      <c r="C98" s="55">
        <v>95</v>
      </c>
      <c r="D98" s="58">
        <v>10.69</v>
      </c>
      <c r="E98" s="55">
        <v>22.8</v>
      </c>
      <c r="F98" s="55">
        <v>1.2</v>
      </c>
      <c r="G98" s="57">
        <v>3</v>
      </c>
      <c r="H98" s="48">
        <v>4</v>
      </c>
      <c r="I98" s="48">
        <v>7</v>
      </c>
    </row>
    <row r="99" spans="1:9" ht="15.75" customHeight="1" x14ac:dyDescent="0.35">
      <c r="A99" s="55" t="s">
        <v>153</v>
      </c>
      <c r="B99" s="61" t="s">
        <v>183</v>
      </c>
      <c r="C99" s="55">
        <v>95</v>
      </c>
      <c r="D99" s="58">
        <v>5.99</v>
      </c>
      <c r="E99" s="55">
        <v>25.7</v>
      </c>
      <c r="F99" s="55">
        <v>0</v>
      </c>
      <c r="G99" s="57">
        <v>3</v>
      </c>
      <c r="H99" s="48">
        <v>5</v>
      </c>
      <c r="I99" s="48">
        <v>7</v>
      </c>
    </row>
    <row r="100" spans="1:9" ht="15.75" customHeight="1" x14ac:dyDescent="0.35">
      <c r="A100" s="55" t="s">
        <v>153</v>
      </c>
      <c r="B100" s="56" t="s">
        <v>183</v>
      </c>
      <c r="C100" s="55">
        <v>98</v>
      </c>
      <c r="D100" s="58">
        <v>3.61</v>
      </c>
      <c r="E100" s="55">
        <v>23</v>
      </c>
      <c r="F100" s="55">
        <v>0</v>
      </c>
      <c r="G100" s="57">
        <v>3</v>
      </c>
      <c r="H100" s="48">
        <v>0</v>
      </c>
      <c r="I100" s="48">
        <v>0</v>
      </c>
    </row>
    <row r="101" spans="1:9" ht="15.75" customHeight="1" x14ac:dyDescent="0.35">
      <c r="A101" s="55" t="s">
        <v>153</v>
      </c>
      <c r="B101" s="61" t="s">
        <v>183</v>
      </c>
      <c r="C101" s="55">
        <v>80</v>
      </c>
      <c r="D101" s="58">
        <v>6.89</v>
      </c>
      <c r="E101" s="55">
        <v>24.3</v>
      </c>
      <c r="F101" s="55">
        <v>0.87</v>
      </c>
      <c r="G101" s="57">
        <v>3</v>
      </c>
      <c r="H101" s="48">
        <v>2</v>
      </c>
      <c r="I101" s="48">
        <v>2</v>
      </c>
    </row>
    <row r="102" spans="1:9" ht="15.75" customHeight="1" x14ac:dyDescent="0.35">
      <c r="A102" s="55" t="s">
        <v>153</v>
      </c>
      <c r="B102" s="61" t="s">
        <v>185</v>
      </c>
      <c r="C102" s="55">
        <v>80</v>
      </c>
      <c r="D102" s="70">
        <v>14.7</v>
      </c>
      <c r="E102" s="55">
        <v>24.13</v>
      </c>
      <c r="F102" s="55">
        <v>2.1</v>
      </c>
      <c r="G102" s="57">
        <v>1</v>
      </c>
      <c r="H102" s="48">
        <v>3</v>
      </c>
      <c r="I102" s="48">
        <v>11</v>
      </c>
    </row>
    <row r="103" spans="1:9" ht="15.75" customHeight="1" x14ac:dyDescent="0.35">
      <c r="A103" s="55" t="s">
        <v>153</v>
      </c>
      <c r="B103" s="61" t="s">
        <v>185</v>
      </c>
      <c r="C103" s="55">
        <v>99</v>
      </c>
      <c r="D103" s="70">
        <v>12.46</v>
      </c>
      <c r="E103" s="55">
        <v>22.9</v>
      </c>
      <c r="F103" s="55">
        <v>0</v>
      </c>
      <c r="G103" s="57">
        <v>1</v>
      </c>
      <c r="H103" s="48">
        <v>4</v>
      </c>
      <c r="I103" s="48">
        <v>5</v>
      </c>
    </row>
    <row r="104" spans="1:9" ht="15.75" customHeight="1" x14ac:dyDescent="0.35">
      <c r="A104" s="55" t="s">
        <v>153</v>
      </c>
      <c r="B104" s="56" t="s">
        <v>185</v>
      </c>
      <c r="C104" s="55">
        <v>99</v>
      </c>
      <c r="D104" s="58">
        <v>8.2799999999999994</v>
      </c>
      <c r="E104" s="55">
        <v>24.2</v>
      </c>
      <c r="F104" s="55">
        <v>0</v>
      </c>
      <c r="G104" s="57">
        <v>1</v>
      </c>
      <c r="H104" s="48">
        <v>0</v>
      </c>
      <c r="I104" s="48">
        <v>0</v>
      </c>
    </row>
    <row r="105" spans="1:9" ht="15.75" customHeight="1" x14ac:dyDescent="0.35">
      <c r="A105" s="55" t="s">
        <v>153</v>
      </c>
      <c r="B105" s="56" t="s">
        <v>185</v>
      </c>
      <c r="C105" s="55">
        <v>99</v>
      </c>
      <c r="D105" s="58">
        <v>7.19</v>
      </c>
      <c r="E105" s="55">
        <v>23.4</v>
      </c>
      <c r="F105" s="55">
        <v>1.5</v>
      </c>
      <c r="G105" s="57">
        <v>1</v>
      </c>
      <c r="H105" s="48">
        <v>0</v>
      </c>
      <c r="I105" s="48">
        <v>0</v>
      </c>
    </row>
    <row r="106" spans="1:9" ht="15.75" customHeight="1" x14ac:dyDescent="0.35">
      <c r="A106" s="55" t="s">
        <v>153</v>
      </c>
      <c r="B106" s="61" t="s">
        <v>186</v>
      </c>
      <c r="C106" s="55">
        <v>95</v>
      </c>
      <c r="D106" s="58">
        <v>1.44</v>
      </c>
      <c r="E106" s="55">
        <v>25.1</v>
      </c>
      <c r="F106" s="55">
        <v>0</v>
      </c>
      <c r="G106" s="57">
        <v>6</v>
      </c>
      <c r="H106" s="48">
        <v>2</v>
      </c>
      <c r="I106" s="48">
        <v>7</v>
      </c>
    </row>
    <row r="107" spans="1:9" ht="15.75" customHeight="1" x14ac:dyDescent="0.35">
      <c r="A107" s="55" t="s">
        <v>153</v>
      </c>
      <c r="B107" s="61" t="s">
        <v>186</v>
      </c>
      <c r="C107" s="55">
        <v>99</v>
      </c>
      <c r="D107" s="58">
        <v>0.54</v>
      </c>
      <c r="E107" s="55">
        <v>21.9</v>
      </c>
      <c r="F107" s="55">
        <v>0</v>
      </c>
      <c r="G107" s="57">
        <v>6</v>
      </c>
      <c r="H107" s="48">
        <v>3</v>
      </c>
      <c r="I107" s="48">
        <v>3</v>
      </c>
    </row>
    <row r="108" spans="1:9" ht="15.75" customHeight="1" x14ac:dyDescent="0.35">
      <c r="A108" s="55" t="s">
        <v>153</v>
      </c>
      <c r="B108" s="61" t="s">
        <v>186</v>
      </c>
      <c r="C108" s="55">
        <v>99</v>
      </c>
      <c r="D108" s="58">
        <v>0.63</v>
      </c>
      <c r="E108" s="55">
        <v>25.1</v>
      </c>
      <c r="F108" s="55">
        <v>0</v>
      </c>
      <c r="G108" s="57">
        <v>6</v>
      </c>
      <c r="H108" s="48">
        <v>3</v>
      </c>
      <c r="I108" s="48">
        <v>8</v>
      </c>
    </row>
    <row r="109" spans="1:9" ht="15.75" customHeight="1" x14ac:dyDescent="0.35">
      <c r="A109" s="55" t="s">
        <v>153</v>
      </c>
      <c r="B109" s="61" t="s">
        <v>186</v>
      </c>
      <c r="C109" s="55">
        <v>99</v>
      </c>
      <c r="D109" s="58">
        <v>1.67</v>
      </c>
      <c r="E109" s="55">
        <v>25.2</v>
      </c>
      <c r="F109" s="55">
        <v>0</v>
      </c>
      <c r="G109" s="57">
        <v>6</v>
      </c>
      <c r="H109" s="48">
        <v>3</v>
      </c>
      <c r="I109" s="48">
        <v>4</v>
      </c>
    </row>
    <row r="110" spans="1:9" ht="15.75" customHeight="1" x14ac:dyDescent="0.35">
      <c r="A110" s="55" t="s">
        <v>158</v>
      </c>
      <c r="B110" s="61" t="s">
        <v>176</v>
      </c>
      <c r="C110" s="55">
        <v>96</v>
      </c>
      <c r="D110" s="58">
        <v>1.1399999999999999</v>
      </c>
      <c r="E110" s="55">
        <v>26.4</v>
      </c>
      <c r="F110" s="55">
        <v>0</v>
      </c>
      <c r="G110" s="57">
        <v>4</v>
      </c>
      <c r="H110" s="48">
        <v>4</v>
      </c>
      <c r="I110" s="48">
        <v>7</v>
      </c>
    </row>
    <row r="111" spans="1:9" ht="15.75" customHeight="1" x14ac:dyDescent="0.35">
      <c r="A111" s="55" t="s">
        <v>158</v>
      </c>
      <c r="B111" s="61" t="s">
        <v>176</v>
      </c>
      <c r="C111" s="55">
        <v>99</v>
      </c>
      <c r="D111" s="58">
        <v>8.51</v>
      </c>
      <c r="E111" s="55">
        <v>26.5</v>
      </c>
      <c r="F111" s="55">
        <v>0</v>
      </c>
      <c r="G111" s="57">
        <v>4</v>
      </c>
      <c r="H111" s="48">
        <v>9</v>
      </c>
      <c r="I111" s="48">
        <v>9</v>
      </c>
    </row>
    <row r="112" spans="1:9" ht="15.75" customHeight="1" x14ac:dyDescent="0.35">
      <c r="A112" s="55" t="s">
        <v>158</v>
      </c>
      <c r="B112" s="61" t="s">
        <v>176</v>
      </c>
      <c r="C112" s="55">
        <v>99</v>
      </c>
      <c r="D112" s="58">
        <v>8.52</v>
      </c>
      <c r="E112" s="55">
        <v>26.5</v>
      </c>
      <c r="F112" s="55">
        <v>0</v>
      </c>
      <c r="G112" s="57">
        <v>4</v>
      </c>
      <c r="H112" s="48">
        <v>5</v>
      </c>
      <c r="I112" s="48">
        <v>6</v>
      </c>
    </row>
    <row r="113" spans="1:9" ht="15.75" customHeight="1" x14ac:dyDescent="0.35">
      <c r="A113" s="55" t="s">
        <v>158</v>
      </c>
      <c r="B113" s="61" t="s">
        <v>178</v>
      </c>
      <c r="C113" s="55">
        <v>99</v>
      </c>
      <c r="D113" s="58">
        <v>6.93</v>
      </c>
      <c r="E113" s="55">
        <v>23.5</v>
      </c>
      <c r="F113" s="55">
        <v>0</v>
      </c>
      <c r="G113" s="57">
        <v>3</v>
      </c>
      <c r="H113" s="48">
        <v>7</v>
      </c>
      <c r="I113" s="48">
        <v>7</v>
      </c>
    </row>
    <row r="114" spans="1:9" ht="15.75" customHeight="1" x14ac:dyDescent="0.35">
      <c r="A114" s="55" t="s">
        <v>158</v>
      </c>
      <c r="B114" s="61" t="s">
        <v>178</v>
      </c>
      <c r="C114" s="55">
        <v>99</v>
      </c>
      <c r="D114" s="58">
        <v>6.8</v>
      </c>
      <c r="E114" s="55">
        <v>23.5</v>
      </c>
      <c r="F114" s="55">
        <v>0</v>
      </c>
      <c r="G114" s="57">
        <v>3</v>
      </c>
      <c r="H114" s="48">
        <v>1</v>
      </c>
      <c r="I114" s="48">
        <v>1</v>
      </c>
    </row>
    <row r="115" spans="1:9" ht="15.75" customHeight="1" x14ac:dyDescent="0.35">
      <c r="A115" s="55" t="s">
        <v>158</v>
      </c>
      <c r="B115" s="61" t="s">
        <v>200</v>
      </c>
      <c r="C115" s="55">
        <v>89</v>
      </c>
      <c r="D115" s="58">
        <v>2.74</v>
      </c>
      <c r="E115" s="55">
        <v>23.5</v>
      </c>
      <c r="F115" s="55">
        <v>0</v>
      </c>
      <c r="G115" s="57">
        <v>5</v>
      </c>
      <c r="H115" s="48">
        <v>13</v>
      </c>
      <c r="I115" s="48">
        <v>16</v>
      </c>
    </row>
    <row r="116" spans="1:9" ht="15.75" customHeight="1" x14ac:dyDescent="0.35">
      <c r="A116" s="55" t="s">
        <v>158</v>
      </c>
      <c r="B116" s="61" t="s">
        <v>200</v>
      </c>
      <c r="C116" s="55">
        <v>99</v>
      </c>
      <c r="D116" s="58">
        <v>0.32</v>
      </c>
      <c r="E116" s="55">
        <v>21.5</v>
      </c>
      <c r="F116" s="55">
        <v>0</v>
      </c>
      <c r="G116" s="57">
        <v>5</v>
      </c>
      <c r="H116" s="48">
        <v>3</v>
      </c>
      <c r="I116" s="48">
        <v>3</v>
      </c>
    </row>
    <row r="117" spans="1:9" ht="15.75" customHeight="1" x14ac:dyDescent="0.35">
      <c r="A117" s="55" t="s">
        <v>158</v>
      </c>
      <c r="B117" s="61" t="s">
        <v>200</v>
      </c>
      <c r="C117" s="55">
        <v>87</v>
      </c>
      <c r="D117" s="58">
        <v>0.03</v>
      </c>
      <c r="E117" s="55">
        <v>23.2</v>
      </c>
      <c r="F117" s="55">
        <v>0</v>
      </c>
      <c r="G117" s="57">
        <v>5</v>
      </c>
      <c r="H117" s="48">
        <v>3</v>
      </c>
      <c r="I117" s="48">
        <v>3</v>
      </c>
    </row>
    <row r="118" spans="1:9" ht="15.75" customHeight="1" x14ac:dyDescent="0.35">
      <c r="A118" s="55" t="s">
        <v>158</v>
      </c>
      <c r="B118" s="61" t="s">
        <v>200</v>
      </c>
      <c r="C118" s="55">
        <v>85</v>
      </c>
      <c r="D118" s="58">
        <v>0.04</v>
      </c>
      <c r="E118" s="55">
        <v>23.2</v>
      </c>
      <c r="F118" s="55">
        <v>0</v>
      </c>
      <c r="G118" s="57">
        <v>5</v>
      </c>
      <c r="H118" s="48">
        <v>1</v>
      </c>
      <c r="I118" s="48">
        <v>1</v>
      </c>
    </row>
    <row r="119" spans="1:9" ht="15.75" customHeight="1" x14ac:dyDescent="0.35">
      <c r="A119" s="55" t="s">
        <v>158</v>
      </c>
      <c r="B119" s="61" t="s">
        <v>180</v>
      </c>
      <c r="C119" s="55">
        <v>88</v>
      </c>
      <c r="D119" s="58">
        <v>0.69</v>
      </c>
      <c r="E119" s="55">
        <v>23.4</v>
      </c>
      <c r="F119" s="55">
        <v>6</v>
      </c>
      <c r="G119" s="57">
        <v>5</v>
      </c>
      <c r="H119" s="48">
        <v>8</v>
      </c>
      <c r="I119" s="48">
        <v>9</v>
      </c>
    </row>
    <row r="120" spans="1:9" ht="15.75" customHeight="1" x14ac:dyDescent="0.35">
      <c r="A120" s="55" t="s">
        <v>158</v>
      </c>
      <c r="B120" s="61" t="s">
        <v>180</v>
      </c>
      <c r="C120" s="55">
        <v>88</v>
      </c>
      <c r="D120" s="58">
        <v>1.86</v>
      </c>
      <c r="E120" s="55">
        <v>27.2</v>
      </c>
      <c r="F120" s="55">
        <v>0.6</v>
      </c>
      <c r="G120" s="57">
        <v>5</v>
      </c>
      <c r="H120" s="48">
        <v>4</v>
      </c>
      <c r="I120" s="48">
        <v>4</v>
      </c>
    </row>
    <row r="121" spans="1:9" ht="15.75" customHeight="1" x14ac:dyDescent="0.35">
      <c r="A121" s="55" t="s">
        <v>158</v>
      </c>
      <c r="B121" s="61" t="s">
        <v>181</v>
      </c>
      <c r="C121" s="55">
        <v>80</v>
      </c>
      <c r="D121" s="58">
        <v>51.6</v>
      </c>
      <c r="E121" s="55">
        <v>28.7</v>
      </c>
      <c r="F121" s="55">
        <v>2.5</v>
      </c>
      <c r="G121" s="57">
        <v>3</v>
      </c>
      <c r="H121" s="48">
        <v>5</v>
      </c>
      <c r="I121" s="48">
        <v>5</v>
      </c>
    </row>
    <row r="122" spans="1:9" ht="15.75" customHeight="1" x14ac:dyDescent="0.35">
      <c r="A122" s="55" t="s">
        <v>158</v>
      </c>
      <c r="B122" s="61" t="s">
        <v>198</v>
      </c>
      <c r="C122" s="55">
        <v>71</v>
      </c>
      <c r="D122" s="58">
        <v>7.17</v>
      </c>
      <c r="E122" s="55">
        <v>26.1</v>
      </c>
      <c r="F122" s="55">
        <v>1.9</v>
      </c>
      <c r="G122" s="57">
        <v>3</v>
      </c>
      <c r="H122" s="48">
        <v>9</v>
      </c>
      <c r="I122" s="48">
        <v>11</v>
      </c>
    </row>
    <row r="123" spans="1:9" ht="15.75" customHeight="1" x14ac:dyDescent="0.35">
      <c r="A123" s="55" t="s">
        <v>158</v>
      </c>
      <c r="B123" s="61" t="s">
        <v>198</v>
      </c>
      <c r="C123" s="55">
        <v>74</v>
      </c>
      <c r="D123" s="58">
        <v>7.5</v>
      </c>
      <c r="E123" s="55">
        <v>26</v>
      </c>
      <c r="F123" s="55">
        <v>0</v>
      </c>
      <c r="G123" s="57">
        <v>3</v>
      </c>
      <c r="H123" s="48">
        <v>1</v>
      </c>
      <c r="I123" s="48">
        <v>1</v>
      </c>
    </row>
    <row r="124" spans="1:9" ht="15.75" customHeight="1" x14ac:dyDescent="0.35">
      <c r="A124" s="55" t="s">
        <v>158</v>
      </c>
      <c r="B124" s="61" t="s">
        <v>198</v>
      </c>
      <c r="C124" s="55">
        <v>54</v>
      </c>
      <c r="D124" s="58">
        <v>10.85</v>
      </c>
      <c r="E124" s="55">
        <v>28.3</v>
      </c>
      <c r="F124" s="55">
        <v>1.45</v>
      </c>
      <c r="G124" s="57">
        <v>3</v>
      </c>
      <c r="H124" s="48">
        <v>4</v>
      </c>
      <c r="I124" s="48">
        <v>4</v>
      </c>
    </row>
    <row r="125" spans="1:9" ht="15.75" customHeight="1" x14ac:dyDescent="0.35">
      <c r="A125" s="55" t="s">
        <v>158</v>
      </c>
      <c r="B125" s="61" t="s">
        <v>199</v>
      </c>
      <c r="C125" s="48">
        <v>72</v>
      </c>
      <c r="D125" s="48">
        <v>17.850000000000001</v>
      </c>
      <c r="E125" s="48">
        <v>26.9</v>
      </c>
      <c r="F125" s="48">
        <v>1.6</v>
      </c>
      <c r="G125" s="57">
        <v>2</v>
      </c>
      <c r="H125" s="48">
        <v>2</v>
      </c>
      <c r="I125" s="48">
        <v>3</v>
      </c>
    </row>
    <row r="126" spans="1:9" ht="15.75" customHeight="1" x14ac:dyDescent="0.35">
      <c r="A126" s="55" t="s">
        <v>158</v>
      </c>
      <c r="B126" s="61" t="s">
        <v>199</v>
      </c>
      <c r="C126" s="55">
        <v>66</v>
      </c>
      <c r="D126" s="58">
        <v>6.27</v>
      </c>
      <c r="E126" s="55">
        <v>26.2</v>
      </c>
      <c r="F126" s="55">
        <v>0.8</v>
      </c>
      <c r="G126" s="57">
        <v>2</v>
      </c>
      <c r="H126" s="48">
        <v>1</v>
      </c>
      <c r="I126" s="48">
        <v>1</v>
      </c>
    </row>
    <row r="127" spans="1:9" ht="15.75" customHeight="1" x14ac:dyDescent="0.35">
      <c r="A127" s="55" t="s">
        <v>158</v>
      </c>
      <c r="B127" s="61" t="s">
        <v>183</v>
      </c>
      <c r="C127" s="55">
        <v>77</v>
      </c>
      <c r="D127" s="58">
        <v>19</v>
      </c>
      <c r="E127" s="55">
        <v>23.9</v>
      </c>
      <c r="F127" s="55">
        <v>0</v>
      </c>
      <c r="G127" s="57">
        <v>3</v>
      </c>
      <c r="H127" s="48">
        <v>4</v>
      </c>
      <c r="I127" s="48">
        <v>13</v>
      </c>
    </row>
    <row r="128" spans="1:9" ht="15.75" customHeight="1" x14ac:dyDescent="0.35">
      <c r="A128" s="55" t="s">
        <v>158</v>
      </c>
      <c r="B128" s="61" t="s">
        <v>183</v>
      </c>
      <c r="C128" s="55">
        <v>99</v>
      </c>
      <c r="D128" s="58">
        <v>29.59</v>
      </c>
      <c r="E128" s="55">
        <v>24.9</v>
      </c>
      <c r="F128" s="55">
        <v>0.65</v>
      </c>
      <c r="G128" s="57">
        <v>3</v>
      </c>
      <c r="H128" s="48">
        <v>4</v>
      </c>
      <c r="I128" s="48">
        <v>7</v>
      </c>
    </row>
    <row r="129" spans="1:9" ht="15.75" customHeight="1" x14ac:dyDescent="0.35">
      <c r="A129" s="55" t="s">
        <v>158</v>
      </c>
      <c r="B129" s="61" t="s">
        <v>183</v>
      </c>
      <c r="C129" s="55">
        <v>74</v>
      </c>
      <c r="D129" s="58">
        <v>1.52</v>
      </c>
      <c r="E129" s="55">
        <v>19.829999999999998</v>
      </c>
      <c r="F129" s="55">
        <v>0.85</v>
      </c>
      <c r="G129" s="57">
        <v>3</v>
      </c>
      <c r="H129" s="48">
        <v>2</v>
      </c>
      <c r="I129" s="48">
        <v>2</v>
      </c>
    </row>
    <row r="130" spans="1:9" ht="15.75" customHeight="1" x14ac:dyDescent="0.35">
      <c r="A130" s="55" t="s">
        <v>158</v>
      </c>
      <c r="B130" s="61" t="s">
        <v>185</v>
      </c>
      <c r="C130" s="55">
        <v>99</v>
      </c>
      <c r="D130" s="58">
        <v>27.94</v>
      </c>
      <c r="E130" s="55">
        <v>22.3</v>
      </c>
      <c r="F130" s="55">
        <v>1.2</v>
      </c>
      <c r="G130" s="57">
        <v>1</v>
      </c>
      <c r="H130" s="48">
        <v>5</v>
      </c>
      <c r="I130" s="48">
        <v>15</v>
      </c>
    </row>
    <row r="131" spans="1:9" ht="15.75" customHeight="1" x14ac:dyDescent="0.35">
      <c r="A131" s="55" t="s">
        <v>158</v>
      </c>
      <c r="B131" s="61" t="s">
        <v>185</v>
      </c>
      <c r="C131" s="55">
        <v>80</v>
      </c>
      <c r="D131" s="58">
        <v>6.81</v>
      </c>
      <c r="E131" s="55">
        <v>19.03</v>
      </c>
      <c r="F131" s="55">
        <v>1.8</v>
      </c>
      <c r="G131" s="57">
        <v>1</v>
      </c>
      <c r="H131" s="48">
        <v>2</v>
      </c>
      <c r="I131" s="48">
        <v>4</v>
      </c>
    </row>
    <row r="132" spans="1:9" ht="15.75" customHeight="1" x14ac:dyDescent="0.35">
      <c r="A132" s="55" t="s">
        <v>158</v>
      </c>
      <c r="B132" s="61" t="s">
        <v>186</v>
      </c>
      <c r="C132" s="55">
        <v>95</v>
      </c>
      <c r="D132" s="58">
        <v>0.4</v>
      </c>
      <c r="E132" s="55">
        <v>17.100000000000001</v>
      </c>
      <c r="F132" s="55">
        <v>0</v>
      </c>
      <c r="G132" s="57">
        <v>6</v>
      </c>
      <c r="H132" s="48">
        <v>10</v>
      </c>
      <c r="I132" s="48">
        <v>33</v>
      </c>
    </row>
    <row r="133" spans="1:9" ht="15.75" customHeight="1" x14ac:dyDescent="0.35">
      <c r="A133" s="55" t="s">
        <v>158</v>
      </c>
      <c r="B133" s="61" t="s">
        <v>186</v>
      </c>
      <c r="C133" s="55">
        <v>95</v>
      </c>
      <c r="D133" s="58">
        <v>0.42</v>
      </c>
      <c r="E133" s="55">
        <v>17.2</v>
      </c>
      <c r="F133" s="55">
        <v>0</v>
      </c>
      <c r="G133" s="57">
        <v>6</v>
      </c>
      <c r="H133" s="48">
        <v>1</v>
      </c>
      <c r="I133" s="48">
        <v>1</v>
      </c>
    </row>
    <row r="134" spans="1:9" ht="15.75" customHeight="1" x14ac:dyDescent="0.35">
      <c r="A134" s="55" t="s">
        <v>158</v>
      </c>
      <c r="B134" s="61" t="s">
        <v>186</v>
      </c>
      <c r="C134" s="55">
        <v>95</v>
      </c>
      <c r="D134" s="58">
        <v>0.41</v>
      </c>
      <c r="E134" s="55">
        <v>17.100000000000001</v>
      </c>
      <c r="F134" s="55">
        <v>0</v>
      </c>
      <c r="G134" s="57">
        <v>6</v>
      </c>
      <c r="H134" s="48">
        <v>8</v>
      </c>
      <c r="I134" s="48">
        <v>11</v>
      </c>
    </row>
    <row r="135" spans="1:9" ht="15.75" customHeight="1" x14ac:dyDescent="0.35">
      <c r="A135" s="55" t="s">
        <v>158</v>
      </c>
      <c r="B135" s="61" t="s">
        <v>186</v>
      </c>
      <c r="C135" s="55">
        <v>87</v>
      </c>
      <c r="D135" s="58">
        <v>0.16</v>
      </c>
      <c r="E135" s="55">
        <v>20.2</v>
      </c>
      <c r="F135" s="55">
        <v>0</v>
      </c>
      <c r="G135" s="57">
        <v>6</v>
      </c>
      <c r="H135" s="48">
        <v>6</v>
      </c>
      <c r="I135" s="48">
        <v>6</v>
      </c>
    </row>
    <row r="136" spans="1:9" ht="15.75" customHeight="1" x14ac:dyDescent="0.35">
      <c r="A136" s="55" t="s">
        <v>164</v>
      </c>
      <c r="B136" s="61" t="s">
        <v>176</v>
      </c>
      <c r="C136" s="55">
        <v>89</v>
      </c>
      <c r="D136" s="58">
        <v>1.36</v>
      </c>
      <c r="E136" s="55">
        <v>23.18</v>
      </c>
      <c r="F136" s="55">
        <v>0</v>
      </c>
      <c r="G136" s="57">
        <v>4</v>
      </c>
      <c r="H136" s="48">
        <v>8</v>
      </c>
      <c r="I136" s="48">
        <v>11</v>
      </c>
    </row>
    <row r="137" spans="1:9" ht="15.75" customHeight="1" x14ac:dyDescent="0.35">
      <c r="A137" s="55" t="s">
        <v>164</v>
      </c>
      <c r="B137" s="61" t="s">
        <v>177</v>
      </c>
      <c r="C137" s="55">
        <v>94</v>
      </c>
      <c r="D137" s="58">
        <v>7.68</v>
      </c>
      <c r="E137" s="55">
        <v>26.7</v>
      </c>
      <c r="F137" s="55">
        <v>0.75</v>
      </c>
      <c r="G137" s="57">
        <v>3</v>
      </c>
      <c r="H137" s="48">
        <v>6</v>
      </c>
      <c r="I137" s="48">
        <v>8</v>
      </c>
    </row>
    <row r="138" spans="1:9" ht="15.75" customHeight="1" x14ac:dyDescent="0.35">
      <c r="A138" s="55" t="s">
        <v>164</v>
      </c>
      <c r="B138" s="61" t="s">
        <v>177</v>
      </c>
      <c r="C138" s="55">
        <v>90</v>
      </c>
      <c r="D138" s="58">
        <v>1.5</v>
      </c>
      <c r="E138" s="55">
        <v>23.4</v>
      </c>
      <c r="F138" s="55">
        <v>0</v>
      </c>
      <c r="G138" s="57">
        <v>3</v>
      </c>
      <c r="H138" s="48">
        <v>1</v>
      </c>
      <c r="I138" s="48">
        <v>1</v>
      </c>
    </row>
    <row r="139" spans="1:9" ht="15.75" customHeight="1" x14ac:dyDescent="0.35">
      <c r="A139" s="55" t="s">
        <v>164</v>
      </c>
      <c r="B139" s="61" t="s">
        <v>200</v>
      </c>
      <c r="C139" s="55">
        <v>91</v>
      </c>
      <c r="D139" s="58">
        <v>1.1499999999999999</v>
      </c>
      <c r="E139" s="55">
        <v>24.4</v>
      </c>
      <c r="F139" s="55">
        <v>0</v>
      </c>
      <c r="G139" s="57">
        <v>5</v>
      </c>
      <c r="H139" s="48">
        <v>8</v>
      </c>
      <c r="I139" s="48">
        <v>8</v>
      </c>
    </row>
    <row r="140" spans="1:9" ht="15.75" customHeight="1" x14ac:dyDescent="0.35">
      <c r="A140" s="55" t="s">
        <v>164</v>
      </c>
      <c r="B140" s="61" t="s">
        <v>200</v>
      </c>
      <c r="C140" s="55">
        <v>94</v>
      </c>
      <c r="D140" s="58">
        <v>1.2</v>
      </c>
      <c r="E140" s="55">
        <v>24.4</v>
      </c>
      <c r="F140" s="55">
        <v>0</v>
      </c>
      <c r="G140" s="57">
        <v>5</v>
      </c>
      <c r="H140" s="48">
        <v>1</v>
      </c>
      <c r="I140" s="48">
        <v>1</v>
      </c>
    </row>
    <row r="141" spans="1:9" ht="15.75" customHeight="1" x14ac:dyDescent="0.35">
      <c r="A141" s="55" t="s">
        <v>164</v>
      </c>
      <c r="B141" s="61" t="s">
        <v>200</v>
      </c>
      <c r="C141" s="55">
        <v>85</v>
      </c>
      <c r="D141" s="58">
        <v>1.3</v>
      </c>
      <c r="E141" s="55">
        <v>24.4</v>
      </c>
      <c r="F141" s="55">
        <v>0</v>
      </c>
      <c r="G141" s="57">
        <v>5</v>
      </c>
      <c r="H141" s="48">
        <v>8</v>
      </c>
      <c r="I141" s="48">
        <v>8</v>
      </c>
    </row>
    <row r="142" spans="1:9" ht="15.75" customHeight="1" x14ac:dyDescent="0.35">
      <c r="A142" s="55" t="s">
        <v>164</v>
      </c>
      <c r="B142" s="61" t="s">
        <v>180</v>
      </c>
      <c r="C142" s="55">
        <v>91</v>
      </c>
      <c r="D142" s="58">
        <v>0.57999999999999996</v>
      </c>
      <c r="E142" s="55">
        <v>26.4</v>
      </c>
      <c r="F142" s="55">
        <v>0</v>
      </c>
      <c r="G142" s="57">
        <v>5</v>
      </c>
      <c r="H142" s="48">
        <v>10</v>
      </c>
      <c r="I142" s="48">
        <v>10</v>
      </c>
    </row>
    <row r="143" spans="1:9" ht="15.75" customHeight="1" x14ac:dyDescent="0.35">
      <c r="A143" s="55" t="s">
        <v>164</v>
      </c>
      <c r="B143" s="61" t="s">
        <v>180</v>
      </c>
      <c r="C143" s="55">
        <v>91</v>
      </c>
      <c r="D143" s="58">
        <v>0.81</v>
      </c>
      <c r="E143" s="55">
        <v>23.28</v>
      </c>
      <c r="F143" s="55">
        <v>0</v>
      </c>
      <c r="G143" s="57">
        <v>5</v>
      </c>
      <c r="H143" s="48">
        <v>5</v>
      </c>
      <c r="I143" s="48">
        <v>5</v>
      </c>
    </row>
    <row r="144" spans="1:9" ht="15.75" customHeight="1" x14ac:dyDescent="0.35">
      <c r="A144" s="55" t="s">
        <v>164</v>
      </c>
      <c r="B144" s="61" t="s">
        <v>181</v>
      </c>
      <c r="C144" s="55">
        <v>91</v>
      </c>
      <c r="D144" s="58">
        <v>0.81</v>
      </c>
      <c r="E144" s="55">
        <v>23.3</v>
      </c>
      <c r="F144" s="55">
        <v>0</v>
      </c>
      <c r="G144" s="57">
        <v>3</v>
      </c>
      <c r="H144" s="48">
        <v>1</v>
      </c>
      <c r="I144" s="48">
        <v>2</v>
      </c>
    </row>
    <row r="145" spans="1:9" ht="15.75" customHeight="1" x14ac:dyDescent="0.35">
      <c r="A145" s="55" t="s">
        <v>164</v>
      </c>
      <c r="B145" s="61" t="s">
        <v>181</v>
      </c>
      <c r="C145" s="55">
        <v>99</v>
      </c>
      <c r="D145" s="58">
        <v>85.6</v>
      </c>
      <c r="E145" s="55">
        <v>28.5</v>
      </c>
      <c r="F145" s="55">
        <v>1.2</v>
      </c>
      <c r="G145" s="57">
        <v>3</v>
      </c>
      <c r="H145" s="48">
        <v>1</v>
      </c>
      <c r="I145" s="48">
        <v>1</v>
      </c>
    </row>
    <row r="146" spans="1:9" ht="15.75" customHeight="1" x14ac:dyDescent="0.35">
      <c r="A146" s="55" t="s">
        <v>164</v>
      </c>
      <c r="B146" s="61" t="s">
        <v>181</v>
      </c>
      <c r="C146" s="55">
        <v>91</v>
      </c>
      <c r="D146" s="58">
        <v>13.15</v>
      </c>
      <c r="E146" s="55">
        <v>26.13</v>
      </c>
      <c r="F146" s="55">
        <v>0</v>
      </c>
      <c r="G146" s="57">
        <v>3</v>
      </c>
      <c r="H146" s="48">
        <v>3</v>
      </c>
      <c r="I146" s="48">
        <v>3</v>
      </c>
    </row>
    <row r="147" spans="1:9" ht="15.75" customHeight="1" x14ac:dyDescent="0.35">
      <c r="A147" s="55" t="s">
        <v>164</v>
      </c>
      <c r="B147" s="61" t="s">
        <v>198</v>
      </c>
      <c r="C147" s="55">
        <v>75</v>
      </c>
      <c r="D147" s="58">
        <v>17.2</v>
      </c>
      <c r="E147" s="55">
        <v>28</v>
      </c>
      <c r="F147" s="55">
        <v>0</v>
      </c>
      <c r="G147" s="57">
        <v>3</v>
      </c>
      <c r="H147" s="48">
        <v>2</v>
      </c>
      <c r="I147" s="48">
        <v>2</v>
      </c>
    </row>
    <row r="148" spans="1:9" s="75" customFormat="1" ht="15.75" customHeight="1" x14ac:dyDescent="0.35">
      <c r="A148" s="71" t="s">
        <v>164</v>
      </c>
      <c r="B148" s="72" t="s">
        <v>198</v>
      </c>
      <c r="C148" s="71">
        <v>93</v>
      </c>
      <c r="D148" s="73">
        <v>14.5</v>
      </c>
      <c r="E148" s="71">
        <v>28.73</v>
      </c>
      <c r="F148" s="71">
        <v>0</v>
      </c>
      <c r="G148" s="74">
        <v>3</v>
      </c>
      <c r="H148" s="75">
        <v>6</v>
      </c>
      <c r="I148" s="75">
        <v>9</v>
      </c>
    </row>
    <row r="149" spans="1:9" ht="15.75" customHeight="1" x14ac:dyDescent="0.35">
      <c r="A149" s="55" t="s">
        <v>164</v>
      </c>
      <c r="B149" s="61" t="s">
        <v>198</v>
      </c>
      <c r="C149" s="55">
        <v>74</v>
      </c>
      <c r="D149" s="58">
        <v>18</v>
      </c>
      <c r="E149" s="55">
        <v>28</v>
      </c>
      <c r="F149" s="55">
        <v>0</v>
      </c>
      <c r="G149" s="57">
        <v>3</v>
      </c>
      <c r="H149" s="48">
        <v>2</v>
      </c>
      <c r="I149" s="48">
        <v>2</v>
      </c>
    </row>
    <row r="150" spans="1:9" ht="15.75" customHeight="1" x14ac:dyDescent="0.35">
      <c r="A150" s="55" t="s">
        <v>164</v>
      </c>
      <c r="B150" s="61" t="s">
        <v>199</v>
      </c>
      <c r="C150" s="55">
        <v>92</v>
      </c>
      <c r="D150" s="58">
        <v>97.97</v>
      </c>
      <c r="E150" s="55">
        <v>28.73</v>
      </c>
      <c r="F150" s="55">
        <v>0.97</v>
      </c>
      <c r="G150" s="57">
        <v>2</v>
      </c>
      <c r="H150" s="48">
        <v>0</v>
      </c>
      <c r="I150" s="48">
        <v>0</v>
      </c>
    </row>
    <row r="151" spans="1:9" ht="15.75" customHeight="1" x14ac:dyDescent="0.35">
      <c r="A151" s="55" t="s">
        <v>164</v>
      </c>
      <c r="B151" s="61" t="s">
        <v>199</v>
      </c>
      <c r="C151" s="55">
        <v>86.5</v>
      </c>
      <c r="D151" s="58">
        <v>33.18</v>
      </c>
      <c r="E151" s="55">
        <v>25.7</v>
      </c>
      <c r="F151" s="55">
        <v>1.2</v>
      </c>
      <c r="G151" s="57">
        <v>2</v>
      </c>
      <c r="H151" s="48">
        <v>3</v>
      </c>
      <c r="I151" s="48">
        <v>6</v>
      </c>
    </row>
    <row r="152" spans="1:9" ht="15.75" customHeight="1" x14ac:dyDescent="0.35">
      <c r="A152" s="55" t="s">
        <v>164</v>
      </c>
      <c r="B152" s="61" t="s">
        <v>199</v>
      </c>
      <c r="C152" s="55">
        <v>70</v>
      </c>
      <c r="D152" s="58">
        <v>5.91</v>
      </c>
      <c r="E152" s="55">
        <v>20.5</v>
      </c>
      <c r="F152" s="55">
        <v>1.5</v>
      </c>
      <c r="G152" s="57">
        <v>2</v>
      </c>
      <c r="H152" s="48">
        <v>3</v>
      </c>
      <c r="I152" s="48">
        <v>3</v>
      </c>
    </row>
    <row r="153" spans="1:9" ht="15.75" customHeight="1" x14ac:dyDescent="0.35">
      <c r="A153" s="55" t="s">
        <v>164</v>
      </c>
      <c r="B153" s="61" t="s">
        <v>183</v>
      </c>
      <c r="C153" s="55">
        <v>89</v>
      </c>
      <c r="D153" s="58">
        <v>7.61</v>
      </c>
      <c r="E153" s="55">
        <v>23.8</v>
      </c>
      <c r="F153" s="55">
        <v>0.75</v>
      </c>
      <c r="G153" s="57">
        <v>3</v>
      </c>
      <c r="H153" s="48">
        <v>5</v>
      </c>
      <c r="I153" s="48">
        <v>10</v>
      </c>
    </row>
    <row r="154" spans="1:9" ht="15.75" customHeight="1" x14ac:dyDescent="0.35">
      <c r="A154" s="55" t="s">
        <v>164</v>
      </c>
      <c r="B154" s="61" t="s">
        <v>183</v>
      </c>
      <c r="C154" s="55">
        <v>81</v>
      </c>
      <c r="D154" s="58">
        <v>5.23</v>
      </c>
      <c r="E154" s="55">
        <v>27.03</v>
      </c>
      <c r="F154" s="55">
        <v>0</v>
      </c>
      <c r="G154" s="57">
        <v>3</v>
      </c>
      <c r="H154" s="48">
        <v>4</v>
      </c>
      <c r="I154" s="48">
        <v>5</v>
      </c>
    </row>
    <row r="155" spans="1:9" ht="15.75" customHeight="1" x14ac:dyDescent="0.35">
      <c r="A155" s="55" t="s">
        <v>164</v>
      </c>
      <c r="B155" s="61" t="s">
        <v>185</v>
      </c>
      <c r="C155" s="55">
        <v>88</v>
      </c>
      <c r="D155" s="58">
        <v>24.87</v>
      </c>
      <c r="E155" s="55">
        <v>23.25</v>
      </c>
      <c r="F155" s="55">
        <v>0.45</v>
      </c>
      <c r="G155" s="57">
        <v>1</v>
      </c>
      <c r="H155" s="48">
        <v>1</v>
      </c>
      <c r="I155" s="48">
        <v>1</v>
      </c>
    </row>
    <row r="156" spans="1:9" ht="15.75" customHeight="1" x14ac:dyDescent="0.35">
      <c r="A156" s="55" t="s">
        <v>164</v>
      </c>
      <c r="B156" s="61" t="s">
        <v>185</v>
      </c>
      <c r="C156" s="55">
        <v>72</v>
      </c>
      <c r="D156" s="58">
        <v>4.6399999999999997</v>
      </c>
      <c r="E156" s="55">
        <v>24.9</v>
      </c>
      <c r="F156" s="55">
        <v>3.17</v>
      </c>
      <c r="G156" s="57">
        <v>1</v>
      </c>
      <c r="H156" s="48">
        <v>2</v>
      </c>
      <c r="I156" s="48">
        <v>4</v>
      </c>
    </row>
    <row r="157" spans="1:9" ht="15.75" customHeight="1" x14ac:dyDescent="0.35">
      <c r="A157" s="55" t="s">
        <v>164</v>
      </c>
      <c r="B157" s="61" t="s">
        <v>186</v>
      </c>
      <c r="C157" s="55">
        <v>86</v>
      </c>
      <c r="D157" s="58">
        <v>0.14000000000000001</v>
      </c>
      <c r="E157" s="55">
        <v>18.55</v>
      </c>
      <c r="F157" s="55">
        <v>0</v>
      </c>
      <c r="G157" s="57">
        <v>6</v>
      </c>
      <c r="H157" s="48">
        <v>5</v>
      </c>
      <c r="I157" s="48">
        <v>5</v>
      </c>
    </row>
    <row r="158" spans="1:9" ht="15.75" customHeight="1" x14ac:dyDescent="0.35">
      <c r="A158" s="55" t="s">
        <v>164</v>
      </c>
      <c r="B158" s="61" t="s">
        <v>186</v>
      </c>
      <c r="C158" s="55">
        <v>87</v>
      </c>
      <c r="D158" s="58">
        <v>0.15</v>
      </c>
      <c r="E158" s="55">
        <v>15.2</v>
      </c>
      <c r="F158" s="55">
        <v>0</v>
      </c>
      <c r="G158" s="57">
        <v>6</v>
      </c>
      <c r="H158" s="48">
        <v>3</v>
      </c>
      <c r="I158" s="48">
        <v>3</v>
      </c>
    </row>
    <row r="159" spans="1:9" ht="15.75" customHeight="1" x14ac:dyDescent="0.35">
      <c r="A159" s="55" t="s">
        <v>164</v>
      </c>
      <c r="B159" s="61" t="s">
        <v>186</v>
      </c>
      <c r="C159" s="55">
        <v>83</v>
      </c>
      <c r="D159" s="58">
        <v>0.20499999999999999</v>
      </c>
      <c r="E159" s="55">
        <v>24.8</v>
      </c>
      <c r="F159" s="55">
        <v>0</v>
      </c>
      <c r="G159" s="57">
        <v>6</v>
      </c>
      <c r="H159" s="48">
        <v>0</v>
      </c>
      <c r="I159" s="48">
        <v>0</v>
      </c>
    </row>
    <row r="160" spans="1:9" ht="15.75" customHeight="1" x14ac:dyDescent="0.35">
      <c r="A160" s="55" t="s">
        <v>168</v>
      </c>
      <c r="B160" s="55" t="s">
        <v>176</v>
      </c>
      <c r="C160" s="55">
        <v>92</v>
      </c>
      <c r="D160" s="58">
        <v>0.14000000000000001</v>
      </c>
      <c r="E160" s="55">
        <v>22.5</v>
      </c>
      <c r="F160" s="55">
        <v>0</v>
      </c>
      <c r="G160" s="57">
        <v>4</v>
      </c>
      <c r="H160" s="48">
        <v>6</v>
      </c>
      <c r="I160" s="48">
        <v>11</v>
      </c>
    </row>
    <row r="161" spans="1:9" ht="15.75" customHeight="1" x14ac:dyDescent="0.35">
      <c r="A161" s="55" t="s">
        <v>168</v>
      </c>
      <c r="B161" s="55" t="s">
        <v>176</v>
      </c>
      <c r="C161" s="55">
        <v>92</v>
      </c>
      <c r="D161" s="58">
        <v>0.14000000000000001</v>
      </c>
      <c r="E161" s="55">
        <v>22.5</v>
      </c>
      <c r="F161" s="55">
        <v>0</v>
      </c>
      <c r="G161" s="57">
        <v>4</v>
      </c>
      <c r="H161" s="48">
        <v>1</v>
      </c>
      <c r="I161" s="48">
        <v>2</v>
      </c>
    </row>
    <row r="162" spans="1:9" ht="15.75" customHeight="1" x14ac:dyDescent="0.35">
      <c r="A162" s="55" t="s">
        <v>168</v>
      </c>
      <c r="B162" s="55" t="s">
        <v>177</v>
      </c>
      <c r="C162" s="55">
        <v>97</v>
      </c>
      <c r="D162" s="58">
        <v>4.5999999999999996</v>
      </c>
      <c r="E162" s="55">
        <v>24.3</v>
      </c>
      <c r="F162" s="55">
        <v>0</v>
      </c>
      <c r="G162" s="57">
        <v>3</v>
      </c>
      <c r="H162" s="48">
        <v>17</v>
      </c>
      <c r="I162" s="48">
        <v>24</v>
      </c>
    </row>
    <row r="163" spans="1:9" ht="15.75" customHeight="1" x14ac:dyDescent="0.35">
      <c r="A163" s="55" t="s">
        <v>168</v>
      </c>
      <c r="B163" s="55" t="s">
        <v>200</v>
      </c>
      <c r="C163" s="55">
        <v>99</v>
      </c>
      <c r="D163" s="58">
        <v>24.2</v>
      </c>
      <c r="E163" s="55">
        <v>26.1</v>
      </c>
      <c r="F163" s="55">
        <v>0</v>
      </c>
      <c r="G163" s="57">
        <v>5</v>
      </c>
      <c r="H163" s="48">
        <v>1</v>
      </c>
      <c r="I163" s="48">
        <v>1</v>
      </c>
    </row>
    <row r="164" spans="1:9" ht="15.75" customHeight="1" x14ac:dyDescent="0.35">
      <c r="A164" s="55" t="s">
        <v>168</v>
      </c>
      <c r="B164" s="55" t="s">
        <v>200</v>
      </c>
      <c r="C164" s="55">
        <v>99</v>
      </c>
      <c r="D164" s="58">
        <v>24.2</v>
      </c>
      <c r="E164" s="55">
        <v>26.1</v>
      </c>
      <c r="F164" s="55">
        <v>0</v>
      </c>
      <c r="G164" s="57">
        <v>5</v>
      </c>
      <c r="H164" s="48">
        <v>11</v>
      </c>
      <c r="I164" s="48">
        <v>11</v>
      </c>
    </row>
    <row r="165" spans="1:9" ht="15.75" customHeight="1" x14ac:dyDescent="0.35">
      <c r="A165" s="55" t="s">
        <v>168</v>
      </c>
      <c r="B165" s="55" t="s">
        <v>200</v>
      </c>
      <c r="C165" s="55">
        <v>84</v>
      </c>
      <c r="D165" s="58">
        <v>0.17</v>
      </c>
      <c r="E165" s="55">
        <v>24</v>
      </c>
      <c r="F165" s="55">
        <v>0</v>
      </c>
      <c r="G165" s="57">
        <v>5</v>
      </c>
      <c r="H165" s="48">
        <v>2</v>
      </c>
      <c r="I165" s="48">
        <v>2</v>
      </c>
    </row>
    <row r="166" spans="1:9" ht="15.75" customHeight="1" x14ac:dyDescent="0.35">
      <c r="A166" s="55" t="s">
        <v>168</v>
      </c>
      <c r="B166" s="55" t="s">
        <v>180</v>
      </c>
      <c r="C166" s="55">
        <v>97</v>
      </c>
      <c r="D166" s="58">
        <v>1.08</v>
      </c>
      <c r="E166" s="55">
        <v>25.4</v>
      </c>
      <c r="F166" s="55">
        <v>0</v>
      </c>
      <c r="G166" s="57">
        <v>5</v>
      </c>
      <c r="H166" s="48">
        <v>6</v>
      </c>
      <c r="I166" s="48">
        <v>8</v>
      </c>
    </row>
    <row r="167" spans="1:9" ht="15.75" customHeight="1" x14ac:dyDescent="0.35">
      <c r="A167" s="55" t="s">
        <v>168</v>
      </c>
      <c r="B167" s="55" t="s">
        <v>180</v>
      </c>
      <c r="C167" s="55">
        <v>97</v>
      </c>
      <c r="D167" s="58">
        <v>1.08</v>
      </c>
      <c r="E167" s="55">
        <v>25.4</v>
      </c>
      <c r="F167" s="55">
        <v>0</v>
      </c>
      <c r="G167" s="57">
        <v>5</v>
      </c>
      <c r="H167" s="48">
        <v>9</v>
      </c>
      <c r="I167" s="48">
        <v>9</v>
      </c>
    </row>
    <row r="168" spans="1:9" ht="15.75" customHeight="1" x14ac:dyDescent="0.35">
      <c r="A168" s="55" t="s">
        <v>168</v>
      </c>
      <c r="B168" s="48" t="s">
        <v>180</v>
      </c>
      <c r="C168" s="48">
        <v>80</v>
      </c>
      <c r="D168" s="76">
        <v>0.04</v>
      </c>
      <c r="E168" s="48">
        <v>25.3</v>
      </c>
      <c r="F168" s="48">
        <v>0</v>
      </c>
      <c r="G168" s="49">
        <v>5</v>
      </c>
      <c r="H168" s="48">
        <v>0</v>
      </c>
      <c r="I168" s="48">
        <v>0</v>
      </c>
    </row>
    <row r="169" spans="1:9" ht="15.75" customHeight="1" x14ac:dyDescent="0.35">
      <c r="A169" s="55" t="s">
        <v>168</v>
      </c>
      <c r="B169" s="48" t="s">
        <v>181</v>
      </c>
      <c r="C169" s="48">
        <v>87</v>
      </c>
      <c r="D169" s="76">
        <v>9.8000000000000007</v>
      </c>
      <c r="E169" s="48">
        <v>34.5</v>
      </c>
      <c r="F169" s="48">
        <v>0</v>
      </c>
      <c r="G169" s="49">
        <v>3</v>
      </c>
      <c r="H169" s="48">
        <v>4</v>
      </c>
      <c r="I169" s="48">
        <v>4</v>
      </c>
    </row>
    <row r="170" spans="1:9" ht="15.75" customHeight="1" x14ac:dyDescent="0.35">
      <c r="A170" s="55" t="s">
        <v>168</v>
      </c>
      <c r="B170" s="48" t="s">
        <v>181</v>
      </c>
      <c r="C170" s="48">
        <v>87</v>
      </c>
      <c r="D170" s="76">
        <v>9.8000000000000007</v>
      </c>
      <c r="E170" s="48">
        <v>34.5</v>
      </c>
      <c r="F170" s="48">
        <v>0</v>
      </c>
      <c r="G170" s="49">
        <v>3</v>
      </c>
      <c r="H170" s="48">
        <v>3</v>
      </c>
      <c r="I170" s="48">
        <v>3</v>
      </c>
    </row>
    <row r="171" spans="1:9" ht="15.75" customHeight="1" x14ac:dyDescent="0.35">
      <c r="A171" s="55" t="s">
        <v>168</v>
      </c>
      <c r="B171" s="48" t="s">
        <v>181</v>
      </c>
      <c r="C171" s="48">
        <v>80</v>
      </c>
      <c r="D171" s="76">
        <v>1.5</v>
      </c>
      <c r="E171" s="48">
        <v>26.9</v>
      </c>
      <c r="F171" s="48">
        <v>0</v>
      </c>
      <c r="G171" s="49">
        <v>3</v>
      </c>
      <c r="H171" s="48">
        <v>3</v>
      </c>
      <c r="I171" s="48">
        <v>4</v>
      </c>
    </row>
    <row r="172" spans="1:9" ht="15.75" customHeight="1" x14ac:dyDescent="0.35">
      <c r="A172" s="55" t="s">
        <v>168</v>
      </c>
      <c r="B172" s="48" t="s">
        <v>198</v>
      </c>
      <c r="C172" s="48">
        <v>81</v>
      </c>
      <c r="D172" s="76">
        <v>36.6</v>
      </c>
      <c r="E172" s="48">
        <v>31.4</v>
      </c>
      <c r="F172" s="48">
        <v>0.8</v>
      </c>
      <c r="G172" s="49">
        <v>3</v>
      </c>
      <c r="H172" s="48">
        <v>7</v>
      </c>
      <c r="I172" s="48">
        <v>7</v>
      </c>
    </row>
    <row r="173" spans="1:9" ht="15.75" customHeight="1" x14ac:dyDescent="0.35">
      <c r="A173" s="55" t="s">
        <v>168</v>
      </c>
      <c r="B173" s="48" t="s">
        <v>198</v>
      </c>
      <c r="C173" s="48">
        <v>79</v>
      </c>
      <c r="D173" s="76">
        <v>13.35</v>
      </c>
      <c r="E173" s="48">
        <v>29.2</v>
      </c>
      <c r="F173" s="48">
        <v>0</v>
      </c>
      <c r="G173" s="49">
        <v>3</v>
      </c>
      <c r="H173" s="48">
        <v>2</v>
      </c>
      <c r="I173" s="48">
        <v>2</v>
      </c>
    </row>
    <row r="174" spans="1:9" ht="15.75" customHeight="1" x14ac:dyDescent="0.35">
      <c r="A174" s="55" t="s">
        <v>168</v>
      </c>
      <c r="B174" s="48" t="s">
        <v>199</v>
      </c>
      <c r="C174" s="48">
        <v>92</v>
      </c>
      <c r="D174" s="76">
        <v>15.6</v>
      </c>
      <c r="E174" s="48">
        <v>23.5</v>
      </c>
      <c r="F174" s="48">
        <v>0.7</v>
      </c>
      <c r="G174" s="49">
        <v>2</v>
      </c>
      <c r="H174" s="48">
        <v>1</v>
      </c>
      <c r="I174" s="48">
        <v>1</v>
      </c>
    </row>
    <row r="175" spans="1:9" ht="15.75" customHeight="1" x14ac:dyDescent="0.35">
      <c r="A175" s="55" t="s">
        <v>168</v>
      </c>
      <c r="B175" s="48" t="s">
        <v>199</v>
      </c>
      <c r="C175" s="48">
        <v>79</v>
      </c>
      <c r="D175" s="76">
        <v>7.6</v>
      </c>
      <c r="E175" s="48">
        <v>25.4</v>
      </c>
      <c r="F175" s="48">
        <v>0</v>
      </c>
      <c r="G175" s="49">
        <v>2</v>
      </c>
      <c r="H175" s="48">
        <v>2</v>
      </c>
      <c r="I175" s="48">
        <v>5</v>
      </c>
    </row>
    <row r="176" spans="1:9" ht="15.75" customHeight="1" x14ac:dyDescent="0.35">
      <c r="A176" s="55" t="s">
        <v>168</v>
      </c>
      <c r="B176" s="48" t="s">
        <v>183</v>
      </c>
      <c r="C176" s="48">
        <v>89</v>
      </c>
      <c r="D176" s="76">
        <v>1.1000000000000001</v>
      </c>
      <c r="E176" s="48">
        <v>22.3</v>
      </c>
      <c r="F176" s="48">
        <v>0</v>
      </c>
      <c r="G176" s="49">
        <v>3</v>
      </c>
      <c r="H176" s="48">
        <v>7</v>
      </c>
      <c r="I176" s="48">
        <v>10</v>
      </c>
    </row>
    <row r="177" spans="1:9" ht="15.75" customHeight="1" x14ac:dyDescent="0.35">
      <c r="A177" s="55" t="s">
        <v>168</v>
      </c>
      <c r="B177" s="48" t="s">
        <v>183</v>
      </c>
      <c r="C177" s="48">
        <v>89</v>
      </c>
      <c r="D177" s="76">
        <v>1</v>
      </c>
      <c r="E177" s="48">
        <v>22.2</v>
      </c>
      <c r="F177" s="48">
        <v>0</v>
      </c>
      <c r="G177" s="49">
        <v>3</v>
      </c>
      <c r="H177" s="48">
        <v>4</v>
      </c>
      <c r="I177" s="48">
        <v>4</v>
      </c>
    </row>
    <row r="178" spans="1:9" ht="15.75" customHeight="1" x14ac:dyDescent="0.35">
      <c r="A178" s="55" t="s">
        <v>168</v>
      </c>
      <c r="B178" s="48" t="s">
        <v>183</v>
      </c>
      <c r="C178" s="48">
        <v>72</v>
      </c>
      <c r="D178" s="48">
        <v>0.75</v>
      </c>
      <c r="E178" s="48">
        <v>25</v>
      </c>
      <c r="F178" s="48">
        <v>0.9</v>
      </c>
      <c r="G178" s="49">
        <v>3</v>
      </c>
      <c r="H178" s="48">
        <v>2</v>
      </c>
      <c r="I178" s="48">
        <v>3</v>
      </c>
    </row>
    <row r="179" spans="1:9" ht="15.75" customHeight="1" x14ac:dyDescent="0.35">
      <c r="A179" s="55" t="s">
        <v>168</v>
      </c>
      <c r="B179" s="48" t="s">
        <v>185</v>
      </c>
      <c r="C179" s="48">
        <v>60</v>
      </c>
      <c r="D179" s="76">
        <v>44</v>
      </c>
      <c r="E179" s="48">
        <v>32.6</v>
      </c>
      <c r="F179" s="48">
        <v>0</v>
      </c>
      <c r="G179" s="49">
        <v>1</v>
      </c>
      <c r="H179" s="48">
        <v>2</v>
      </c>
      <c r="I179" s="48">
        <v>4</v>
      </c>
    </row>
    <row r="180" spans="1:9" ht="15.75" customHeight="1" x14ac:dyDescent="0.35">
      <c r="A180" s="55" t="s">
        <v>168</v>
      </c>
      <c r="B180" s="48" t="s">
        <v>185</v>
      </c>
      <c r="C180" s="48">
        <v>79</v>
      </c>
      <c r="D180" s="76">
        <v>39.200000000000003</v>
      </c>
      <c r="E180" s="48">
        <v>31.4</v>
      </c>
      <c r="F180" s="48">
        <v>0</v>
      </c>
      <c r="G180" s="49">
        <v>1</v>
      </c>
      <c r="H180" s="48">
        <v>0</v>
      </c>
      <c r="I180" s="48">
        <v>0</v>
      </c>
    </row>
    <row r="181" spans="1:9" ht="15.75" customHeight="1" x14ac:dyDescent="0.35">
      <c r="A181" s="55" t="s">
        <v>168</v>
      </c>
      <c r="B181" s="48" t="s">
        <v>186</v>
      </c>
      <c r="C181" s="48">
        <v>76</v>
      </c>
      <c r="D181" s="76">
        <v>1.53</v>
      </c>
      <c r="E181" s="48">
        <v>25.4</v>
      </c>
      <c r="F181" s="48">
        <v>0</v>
      </c>
      <c r="G181" s="49">
        <v>6</v>
      </c>
      <c r="H181" s="48">
        <v>4</v>
      </c>
      <c r="I181" s="48">
        <v>5</v>
      </c>
    </row>
    <row r="182" spans="1:9" ht="15.75" customHeight="1" x14ac:dyDescent="0.35">
      <c r="A182" s="48" t="s">
        <v>172</v>
      </c>
      <c r="B182" s="48" t="s">
        <v>176</v>
      </c>
      <c r="C182" s="48">
        <v>81</v>
      </c>
      <c r="D182" s="76">
        <v>1.6</v>
      </c>
      <c r="E182" s="48">
        <v>26.5</v>
      </c>
      <c r="F182" s="48">
        <v>0</v>
      </c>
      <c r="G182" s="49">
        <v>4</v>
      </c>
      <c r="H182" s="48">
        <v>12</v>
      </c>
      <c r="I182" s="48">
        <v>18</v>
      </c>
    </row>
    <row r="183" spans="1:9" ht="15.75" customHeight="1" x14ac:dyDescent="0.35">
      <c r="A183" s="48" t="s">
        <v>172</v>
      </c>
      <c r="B183" s="48" t="s">
        <v>177</v>
      </c>
      <c r="C183" s="48">
        <v>96</v>
      </c>
      <c r="D183" s="76">
        <v>1.1299999999999999</v>
      </c>
      <c r="E183" s="48">
        <v>26.4</v>
      </c>
      <c r="F183" s="48">
        <v>0</v>
      </c>
      <c r="G183" s="49">
        <v>3</v>
      </c>
      <c r="H183" s="48">
        <v>5</v>
      </c>
      <c r="I183" s="48">
        <v>5</v>
      </c>
    </row>
    <row r="184" spans="1:9" ht="15.75" customHeight="1" x14ac:dyDescent="0.35">
      <c r="A184" s="48" t="s">
        <v>172</v>
      </c>
      <c r="B184" s="48" t="s">
        <v>200</v>
      </c>
      <c r="C184" s="48">
        <v>99</v>
      </c>
      <c r="D184" s="76">
        <v>0.28000000000000003</v>
      </c>
      <c r="E184" s="48">
        <v>23.5</v>
      </c>
      <c r="F184" s="48">
        <v>0</v>
      </c>
      <c r="G184" s="49">
        <v>5</v>
      </c>
      <c r="H184" s="48">
        <v>7</v>
      </c>
      <c r="I184" s="48">
        <v>10</v>
      </c>
    </row>
    <row r="185" spans="1:9" ht="15.75" customHeight="1" x14ac:dyDescent="0.35">
      <c r="A185" s="48" t="s">
        <v>172</v>
      </c>
      <c r="B185" s="48" t="s">
        <v>180</v>
      </c>
      <c r="C185" s="48">
        <v>96</v>
      </c>
      <c r="D185" s="76">
        <v>0.64</v>
      </c>
      <c r="E185" s="48">
        <v>24.9</v>
      </c>
      <c r="F185" s="48">
        <v>0</v>
      </c>
      <c r="G185" s="49">
        <v>5</v>
      </c>
      <c r="H185" s="48">
        <v>9</v>
      </c>
      <c r="I185" s="48">
        <v>9</v>
      </c>
    </row>
    <row r="186" spans="1:9" ht="15.75" customHeight="1" x14ac:dyDescent="0.35">
      <c r="A186" s="48" t="s">
        <v>172</v>
      </c>
      <c r="B186" s="48" t="s">
        <v>181</v>
      </c>
      <c r="C186" s="48">
        <v>98</v>
      </c>
      <c r="D186" s="76">
        <v>2.2799999999999998</v>
      </c>
      <c r="E186" s="48">
        <v>23.7</v>
      </c>
      <c r="F186" s="48">
        <v>0</v>
      </c>
      <c r="G186" s="49">
        <v>3</v>
      </c>
      <c r="H186" s="48">
        <v>4</v>
      </c>
      <c r="I186" s="48">
        <v>4</v>
      </c>
    </row>
    <row r="187" spans="1:9" ht="15.75" customHeight="1" x14ac:dyDescent="0.35">
      <c r="A187" s="48" t="s">
        <v>172</v>
      </c>
      <c r="B187" s="48" t="s">
        <v>198</v>
      </c>
      <c r="C187" s="48">
        <v>99</v>
      </c>
      <c r="D187" s="76">
        <v>7.2350000000000003</v>
      </c>
      <c r="E187" s="48">
        <v>24.6</v>
      </c>
      <c r="F187" s="48">
        <v>1.4</v>
      </c>
      <c r="G187" s="49">
        <v>3</v>
      </c>
      <c r="H187" s="48">
        <v>10</v>
      </c>
      <c r="I187" s="48">
        <v>16</v>
      </c>
    </row>
    <row r="188" spans="1:9" ht="15.75" customHeight="1" x14ac:dyDescent="0.35">
      <c r="A188" s="48" t="s">
        <v>172</v>
      </c>
      <c r="B188" s="48" t="s">
        <v>199</v>
      </c>
      <c r="C188" s="48">
        <v>78</v>
      </c>
      <c r="D188" s="76">
        <v>17.850000000000001</v>
      </c>
      <c r="E188" s="48">
        <v>26.8</v>
      </c>
      <c r="F188" s="48">
        <v>0.7</v>
      </c>
      <c r="G188" s="49">
        <v>2</v>
      </c>
      <c r="H188" s="48">
        <v>3</v>
      </c>
      <c r="I188" s="48">
        <v>3</v>
      </c>
    </row>
    <row r="189" spans="1:9" ht="15.75" customHeight="1" x14ac:dyDescent="0.35">
      <c r="A189" s="48" t="s">
        <v>172</v>
      </c>
      <c r="B189" s="48" t="s">
        <v>183</v>
      </c>
      <c r="C189" s="48">
        <v>92</v>
      </c>
      <c r="D189" s="76">
        <v>44.68</v>
      </c>
      <c r="E189" s="48">
        <v>23.2</v>
      </c>
      <c r="F189" s="48">
        <v>0.6</v>
      </c>
      <c r="G189" s="49">
        <v>3</v>
      </c>
      <c r="H189" s="48">
        <v>8</v>
      </c>
      <c r="I189" s="48">
        <v>9</v>
      </c>
    </row>
    <row r="190" spans="1:9" ht="15.75" customHeight="1" x14ac:dyDescent="0.35">
      <c r="A190" s="48" t="s">
        <v>172</v>
      </c>
      <c r="B190" s="48" t="s">
        <v>183</v>
      </c>
      <c r="C190" s="48">
        <v>84</v>
      </c>
      <c r="D190" s="76">
        <v>0.5</v>
      </c>
      <c r="E190" s="48">
        <v>25.9</v>
      </c>
      <c r="F190" s="48">
        <v>0</v>
      </c>
      <c r="G190" s="49">
        <v>3</v>
      </c>
      <c r="H190" s="48">
        <v>4</v>
      </c>
      <c r="I190" s="48">
        <v>4</v>
      </c>
    </row>
    <row r="191" spans="1:9" ht="15.75" customHeight="1" x14ac:dyDescent="0.35">
      <c r="A191" s="48" t="s">
        <v>172</v>
      </c>
      <c r="B191" s="48" t="s">
        <v>186</v>
      </c>
      <c r="C191" s="48">
        <v>83</v>
      </c>
      <c r="D191" s="76">
        <v>1.1299999999999999</v>
      </c>
      <c r="E191" s="48">
        <v>25.5</v>
      </c>
      <c r="F191" s="48">
        <v>0</v>
      </c>
      <c r="G191" s="49">
        <v>6</v>
      </c>
      <c r="H191" s="48">
        <v>9</v>
      </c>
      <c r="I191" s="48">
        <v>19</v>
      </c>
    </row>
    <row r="192" spans="1:9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>
      <c r="D236" s="76"/>
    </row>
    <row r="237" spans="4:4" ht="15.75" customHeight="1" x14ac:dyDescent="0.35">
      <c r="D237" s="76"/>
    </row>
    <row r="238" spans="4:4" ht="15.75" customHeight="1" x14ac:dyDescent="0.35">
      <c r="D238" s="76"/>
    </row>
    <row r="239" spans="4:4" ht="15.75" customHeight="1" x14ac:dyDescent="0.35">
      <c r="D239" s="76"/>
    </row>
    <row r="240" spans="4:4" ht="15.75" customHeight="1" x14ac:dyDescent="0.35">
      <c r="D240" s="76"/>
    </row>
    <row r="241" spans="4:4" ht="15.75" customHeight="1" x14ac:dyDescent="0.35">
      <c r="D241" s="76"/>
    </row>
    <row r="242" spans="4:4" ht="15.75" customHeight="1" x14ac:dyDescent="0.35">
      <c r="D242" s="76"/>
    </row>
    <row r="243" spans="4:4" ht="15.75" customHeight="1" x14ac:dyDescent="0.35">
      <c r="D243" s="76"/>
    </row>
    <row r="244" spans="4:4" ht="15.75" customHeight="1" x14ac:dyDescent="0.35">
      <c r="D244" s="76"/>
    </row>
    <row r="245" spans="4:4" ht="15.75" customHeight="1" x14ac:dyDescent="0.35">
      <c r="D245" s="76"/>
    </row>
    <row r="246" spans="4:4" ht="15.75" customHeight="1" x14ac:dyDescent="0.35">
      <c r="D246" s="76"/>
    </row>
    <row r="247" spans="4:4" ht="15.75" customHeight="1" x14ac:dyDescent="0.35">
      <c r="D247" s="76"/>
    </row>
    <row r="248" spans="4:4" ht="15.75" customHeight="1" x14ac:dyDescent="0.35">
      <c r="D248" s="76"/>
    </row>
    <row r="249" spans="4:4" ht="15.75" customHeight="1" x14ac:dyDescent="0.35">
      <c r="D249" s="76"/>
    </row>
    <row r="250" spans="4:4" ht="15.75" customHeight="1" x14ac:dyDescent="0.35">
      <c r="D250" s="76"/>
    </row>
    <row r="251" spans="4:4" ht="15.75" customHeight="1" x14ac:dyDescent="0.35">
      <c r="D251" s="76"/>
    </row>
    <row r="252" spans="4:4" ht="15.75" customHeight="1" x14ac:dyDescent="0.35">
      <c r="D252" s="76"/>
    </row>
    <row r="253" spans="4:4" ht="15.75" customHeight="1" x14ac:dyDescent="0.35">
      <c r="D253" s="76"/>
    </row>
    <row r="254" spans="4:4" ht="15.75" customHeight="1" x14ac:dyDescent="0.35">
      <c r="D254" s="76"/>
    </row>
    <row r="255" spans="4:4" ht="15.75" customHeight="1" x14ac:dyDescent="0.35">
      <c r="D255" s="76"/>
    </row>
    <row r="256" spans="4:4" ht="15.75" customHeight="1" x14ac:dyDescent="0.35">
      <c r="D256" s="76"/>
    </row>
    <row r="257" spans="4:4" ht="15.75" customHeight="1" x14ac:dyDescent="0.35">
      <c r="D257" s="76"/>
    </row>
    <row r="258" spans="4:4" ht="15.75" customHeight="1" x14ac:dyDescent="0.35">
      <c r="D258" s="76"/>
    </row>
    <row r="259" spans="4:4" ht="15.75" customHeight="1" x14ac:dyDescent="0.35">
      <c r="D259" s="76"/>
    </row>
    <row r="260" spans="4:4" ht="15.75" customHeight="1" x14ac:dyDescent="0.35">
      <c r="D260" s="76"/>
    </row>
    <row r="261" spans="4:4" ht="15.75" customHeight="1" x14ac:dyDescent="0.35">
      <c r="D261" s="76"/>
    </row>
    <row r="262" spans="4:4" ht="15.75" customHeight="1" x14ac:dyDescent="0.35">
      <c r="D262" s="76"/>
    </row>
    <row r="263" spans="4:4" ht="15.75" customHeight="1" x14ac:dyDescent="0.35">
      <c r="D263" s="76"/>
    </row>
    <row r="264" spans="4:4" ht="15.75" customHeight="1" x14ac:dyDescent="0.35"/>
    <row r="265" spans="4:4" ht="15.75" customHeight="1" x14ac:dyDescent="0.35"/>
    <row r="266" spans="4:4" ht="15.75" customHeight="1" x14ac:dyDescent="0.35"/>
    <row r="267" spans="4:4" ht="15.75" customHeight="1" x14ac:dyDescent="0.35"/>
    <row r="268" spans="4:4" ht="15.75" customHeight="1" x14ac:dyDescent="0.35"/>
    <row r="269" spans="4:4" ht="15.75" customHeight="1" x14ac:dyDescent="0.35"/>
    <row r="270" spans="4:4" ht="15.75" customHeight="1" x14ac:dyDescent="0.35"/>
    <row r="271" spans="4:4" ht="15.75" customHeight="1" x14ac:dyDescent="0.35"/>
    <row r="272" spans="4: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5"/>
  <sheetViews>
    <sheetView topLeftCell="A2" zoomScale="80" workbookViewId="0">
      <selection activeCell="K2" sqref="K2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1.453125" style="49" customWidth="1"/>
    <col min="8" max="16384" width="12.7265625" style="48"/>
  </cols>
  <sheetData>
    <row r="1" spans="1:9" ht="15" hidden="1" customHeight="1" x14ac:dyDescent="0.35">
      <c r="G1" s="50"/>
    </row>
    <row r="2" spans="1:9" ht="237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3" t="s">
        <v>21</v>
      </c>
      <c r="H2" s="48" t="s">
        <v>174</v>
      </c>
      <c r="I2" s="48" t="s">
        <v>175</v>
      </c>
    </row>
    <row r="3" spans="1:9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7">
        <v>3</v>
      </c>
      <c r="H3" s="48">
        <v>7</v>
      </c>
      <c r="I3" s="48">
        <v>14</v>
      </c>
    </row>
    <row r="4" spans="1:9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7">
        <v>5</v>
      </c>
      <c r="H4" s="48">
        <v>3</v>
      </c>
      <c r="I4" s="48">
        <v>3</v>
      </c>
    </row>
    <row r="5" spans="1:9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7">
        <v>5</v>
      </c>
      <c r="H5" s="48">
        <v>1</v>
      </c>
      <c r="I5" s="48">
        <v>1</v>
      </c>
    </row>
    <row r="6" spans="1:9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7">
        <v>5</v>
      </c>
      <c r="H6" s="48">
        <v>1</v>
      </c>
      <c r="I6" s="48">
        <v>1</v>
      </c>
    </row>
    <row r="7" spans="1:9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7">
        <v>5</v>
      </c>
      <c r="H7" s="48">
        <v>2</v>
      </c>
      <c r="I7" s="48">
        <v>2</v>
      </c>
    </row>
    <row r="8" spans="1:9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7">
        <v>5</v>
      </c>
      <c r="H8" s="48">
        <v>1</v>
      </c>
      <c r="I8" s="48">
        <v>1</v>
      </c>
    </row>
    <row r="9" spans="1:9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7">
        <v>5</v>
      </c>
      <c r="H9" s="48">
        <v>3</v>
      </c>
      <c r="I9" s="48">
        <v>3</v>
      </c>
    </row>
    <row r="10" spans="1:9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7">
        <v>5</v>
      </c>
      <c r="H10" s="48">
        <v>1</v>
      </c>
      <c r="I10" s="48">
        <v>1</v>
      </c>
    </row>
    <row r="11" spans="1:9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7">
        <v>5</v>
      </c>
      <c r="H11" s="48">
        <v>3</v>
      </c>
      <c r="I11" s="48">
        <v>3</v>
      </c>
    </row>
    <row r="12" spans="1:9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7">
        <v>5</v>
      </c>
      <c r="H12" s="48">
        <v>3</v>
      </c>
      <c r="I12" s="48">
        <v>3</v>
      </c>
    </row>
    <row r="13" spans="1:9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7">
        <v>5</v>
      </c>
      <c r="H13" s="48">
        <v>1</v>
      </c>
      <c r="I13" s="48">
        <v>1</v>
      </c>
    </row>
    <row r="14" spans="1:9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7">
        <v>3</v>
      </c>
      <c r="H14" s="48">
        <v>3</v>
      </c>
      <c r="I14" s="48">
        <v>3</v>
      </c>
    </row>
    <row r="15" spans="1:9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7">
        <v>3</v>
      </c>
      <c r="H15" s="48">
        <v>3</v>
      </c>
      <c r="I15" s="48">
        <v>3</v>
      </c>
    </row>
    <row r="16" spans="1:9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7">
        <v>3</v>
      </c>
      <c r="H16" s="48">
        <v>2</v>
      </c>
      <c r="I16" s="48">
        <v>2</v>
      </c>
    </row>
    <row r="17" spans="1:9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7">
        <v>3</v>
      </c>
      <c r="H17" s="48">
        <v>4</v>
      </c>
      <c r="I17" s="48">
        <v>4</v>
      </c>
    </row>
    <row r="18" spans="1:9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7">
        <v>3</v>
      </c>
      <c r="H18" s="48">
        <v>1</v>
      </c>
      <c r="I18" s="48">
        <v>1</v>
      </c>
    </row>
    <row r="19" spans="1:9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7">
        <v>3</v>
      </c>
      <c r="H19" s="48">
        <v>1</v>
      </c>
      <c r="I19" s="48">
        <v>1</v>
      </c>
    </row>
    <row r="20" spans="1:9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7">
        <v>3</v>
      </c>
      <c r="H20" s="48">
        <v>5</v>
      </c>
      <c r="I20" s="48">
        <v>5</v>
      </c>
    </row>
    <row r="21" spans="1:9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7">
        <v>3</v>
      </c>
      <c r="H21" s="48">
        <v>2</v>
      </c>
      <c r="I21" s="48">
        <v>2</v>
      </c>
    </row>
    <row r="22" spans="1:9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7">
        <v>3</v>
      </c>
      <c r="H22" s="48">
        <v>1</v>
      </c>
      <c r="I22" s="48">
        <v>1</v>
      </c>
    </row>
    <row r="23" spans="1:9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7">
        <v>3</v>
      </c>
      <c r="H23" s="48">
        <v>1</v>
      </c>
      <c r="I23" s="48">
        <v>1</v>
      </c>
    </row>
    <row r="24" spans="1:9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7">
        <v>3</v>
      </c>
      <c r="H24" s="48">
        <v>1</v>
      </c>
      <c r="I24" s="48">
        <v>1</v>
      </c>
    </row>
    <row r="25" spans="1:9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7">
        <v>3</v>
      </c>
      <c r="H25" s="48">
        <v>1</v>
      </c>
      <c r="I25" s="48">
        <v>1</v>
      </c>
    </row>
    <row r="26" spans="1:9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7">
        <v>3</v>
      </c>
      <c r="H26" s="48">
        <v>1</v>
      </c>
      <c r="I26" s="48">
        <v>1</v>
      </c>
    </row>
    <row r="27" spans="1:9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7">
        <v>3</v>
      </c>
      <c r="H27" s="48">
        <v>1</v>
      </c>
      <c r="I27" s="48">
        <v>1</v>
      </c>
    </row>
    <row r="28" spans="1:9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60">
        <v>3</v>
      </c>
      <c r="H28" s="48">
        <v>3</v>
      </c>
      <c r="I28" s="48">
        <v>3</v>
      </c>
    </row>
    <row r="29" spans="1:9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60">
        <v>3</v>
      </c>
      <c r="H29" s="48">
        <v>1</v>
      </c>
      <c r="I29" s="48">
        <v>1</v>
      </c>
    </row>
    <row r="30" spans="1:9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7">
        <v>4</v>
      </c>
      <c r="H30" s="48">
        <v>10</v>
      </c>
      <c r="I30" s="48">
        <v>10</v>
      </c>
    </row>
    <row r="31" spans="1:9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7">
        <v>4</v>
      </c>
      <c r="H31" s="48">
        <v>7</v>
      </c>
      <c r="I31" s="48">
        <v>7</v>
      </c>
    </row>
    <row r="32" spans="1:9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7">
        <v>3</v>
      </c>
      <c r="H32" s="48">
        <v>14</v>
      </c>
      <c r="I32" s="48">
        <v>17</v>
      </c>
    </row>
    <row r="33" spans="1:9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7">
        <v>3</v>
      </c>
      <c r="H33" s="48">
        <v>5</v>
      </c>
      <c r="I33" s="48">
        <v>5</v>
      </c>
    </row>
    <row r="34" spans="1:9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7">
        <v>5</v>
      </c>
      <c r="H34" s="48">
        <v>2</v>
      </c>
      <c r="I34" s="48">
        <v>2</v>
      </c>
    </row>
    <row r="35" spans="1:9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7">
        <v>5</v>
      </c>
      <c r="H35" s="48">
        <v>12</v>
      </c>
      <c r="I35" s="48">
        <v>12</v>
      </c>
    </row>
    <row r="36" spans="1:9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7">
        <v>5</v>
      </c>
      <c r="H36" s="48">
        <v>3</v>
      </c>
      <c r="I36" s="48">
        <v>3</v>
      </c>
    </row>
    <row r="37" spans="1:9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7">
        <v>5</v>
      </c>
      <c r="H37" s="48">
        <v>0</v>
      </c>
      <c r="I37" s="48">
        <v>0</v>
      </c>
    </row>
    <row r="38" spans="1:9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7">
        <v>5</v>
      </c>
      <c r="H38" s="48">
        <v>2</v>
      </c>
      <c r="I38" s="48">
        <v>3</v>
      </c>
    </row>
    <row r="39" spans="1:9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7">
        <v>3</v>
      </c>
      <c r="H39" s="48">
        <v>1</v>
      </c>
      <c r="I39" s="48">
        <v>1</v>
      </c>
    </row>
    <row r="40" spans="1:9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7">
        <v>3</v>
      </c>
      <c r="H40" s="48">
        <v>4</v>
      </c>
      <c r="I40" s="48">
        <v>4</v>
      </c>
    </row>
    <row r="41" spans="1:9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7">
        <v>3</v>
      </c>
      <c r="H41" s="48">
        <v>4</v>
      </c>
      <c r="I41" s="48">
        <v>4</v>
      </c>
    </row>
    <row r="42" spans="1:9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7">
        <v>3</v>
      </c>
      <c r="H42" s="48">
        <v>1</v>
      </c>
      <c r="I42" s="48">
        <v>1</v>
      </c>
    </row>
    <row r="43" spans="1:9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7">
        <v>3</v>
      </c>
      <c r="H43" s="48">
        <v>2</v>
      </c>
      <c r="I43" s="48">
        <v>2</v>
      </c>
    </row>
    <row r="44" spans="1:9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60">
        <v>4</v>
      </c>
      <c r="H44" s="48">
        <v>9</v>
      </c>
      <c r="I44" s="48">
        <v>18</v>
      </c>
    </row>
    <row r="45" spans="1:9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60">
        <v>3</v>
      </c>
      <c r="H45" s="48">
        <v>11</v>
      </c>
      <c r="I45" s="48">
        <v>11</v>
      </c>
    </row>
    <row r="46" spans="1:9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60">
        <v>5</v>
      </c>
      <c r="H46" s="48">
        <v>7</v>
      </c>
      <c r="I46" s="48">
        <v>10</v>
      </c>
    </row>
    <row r="47" spans="1:9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60">
        <v>5</v>
      </c>
      <c r="H47" s="48">
        <v>8</v>
      </c>
      <c r="I47" s="48">
        <v>9</v>
      </c>
    </row>
    <row r="48" spans="1:9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60">
        <v>5</v>
      </c>
      <c r="H48" s="48">
        <v>3</v>
      </c>
      <c r="I48" s="48">
        <v>3</v>
      </c>
    </row>
    <row r="49" spans="1:9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60">
        <v>5</v>
      </c>
      <c r="H49" s="48">
        <v>5</v>
      </c>
      <c r="I49" s="48">
        <v>9</v>
      </c>
    </row>
    <row r="50" spans="1:9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60">
        <v>5</v>
      </c>
      <c r="H50" s="48">
        <v>1</v>
      </c>
      <c r="I50" s="48">
        <v>1</v>
      </c>
    </row>
    <row r="51" spans="1:9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60">
        <v>3</v>
      </c>
      <c r="H51" s="48">
        <v>4</v>
      </c>
      <c r="I51" s="48">
        <v>7</v>
      </c>
    </row>
    <row r="52" spans="1:9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60">
        <v>3</v>
      </c>
      <c r="H52" s="48">
        <v>2</v>
      </c>
      <c r="I52" s="48">
        <v>4</v>
      </c>
    </row>
    <row r="53" spans="1:9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60">
        <v>3</v>
      </c>
      <c r="H53" s="48">
        <v>6</v>
      </c>
      <c r="I53" s="48">
        <v>12</v>
      </c>
    </row>
    <row r="54" spans="1:9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60">
        <v>3</v>
      </c>
      <c r="H54" s="48">
        <v>4</v>
      </c>
      <c r="I54" s="48">
        <v>15</v>
      </c>
    </row>
    <row r="55" spans="1:9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60">
        <v>3</v>
      </c>
      <c r="H55" s="48">
        <v>0</v>
      </c>
      <c r="I55" s="48">
        <v>0</v>
      </c>
    </row>
    <row r="56" spans="1:9" ht="15.75" customHeight="1" x14ac:dyDescent="0.35">
      <c r="A56" s="55" t="s">
        <v>141</v>
      </c>
      <c r="B56" s="63" t="s">
        <v>186</v>
      </c>
      <c r="C56" s="65">
        <v>75</v>
      </c>
      <c r="D56" s="69">
        <v>0.71899999999999997</v>
      </c>
      <c r="E56" s="65">
        <v>25.8</v>
      </c>
      <c r="F56" s="65">
        <v>0</v>
      </c>
      <c r="G56" s="60">
        <v>6</v>
      </c>
      <c r="H56" s="48">
        <v>0</v>
      </c>
      <c r="I56" s="48">
        <v>0</v>
      </c>
    </row>
    <row r="57" spans="1:9" ht="15.75" customHeight="1" x14ac:dyDescent="0.35">
      <c r="A57" s="55" t="s">
        <v>146</v>
      </c>
      <c r="B57" s="61" t="s">
        <v>176</v>
      </c>
      <c r="C57" s="55">
        <v>99</v>
      </c>
      <c r="D57" s="70">
        <v>0.27700000000000002</v>
      </c>
      <c r="E57" s="55">
        <v>26.4</v>
      </c>
      <c r="F57" s="55">
        <v>0</v>
      </c>
      <c r="G57" s="57">
        <v>4</v>
      </c>
      <c r="H57" s="48">
        <v>6</v>
      </c>
      <c r="I57" s="48">
        <v>22</v>
      </c>
    </row>
    <row r="58" spans="1:9" ht="15.75" customHeight="1" x14ac:dyDescent="0.35">
      <c r="A58" s="55" t="s">
        <v>146</v>
      </c>
      <c r="B58" s="61" t="s">
        <v>177</v>
      </c>
      <c r="C58" s="55">
        <v>92</v>
      </c>
      <c r="D58" s="58">
        <v>0.78</v>
      </c>
      <c r="E58" s="55">
        <v>24.6</v>
      </c>
      <c r="F58" s="55">
        <v>0</v>
      </c>
      <c r="G58" s="57">
        <v>3</v>
      </c>
      <c r="H58" s="48">
        <v>9</v>
      </c>
      <c r="I58" s="48">
        <v>14</v>
      </c>
    </row>
    <row r="59" spans="1:9" ht="15.75" customHeight="1" x14ac:dyDescent="0.35">
      <c r="A59" s="55" t="s">
        <v>146</v>
      </c>
      <c r="B59" s="61" t="s">
        <v>200</v>
      </c>
      <c r="C59" s="55">
        <v>94</v>
      </c>
      <c r="D59" s="70">
        <v>0.50800000000000001</v>
      </c>
      <c r="E59" s="55">
        <v>24.8</v>
      </c>
      <c r="F59" s="55">
        <v>0</v>
      </c>
      <c r="G59" s="57">
        <v>5</v>
      </c>
      <c r="H59" s="48">
        <v>8</v>
      </c>
      <c r="I59" s="48">
        <v>8</v>
      </c>
    </row>
    <row r="60" spans="1:9" ht="15.75" customHeight="1" x14ac:dyDescent="0.35">
      <c r="A60" s="55" t="s">
        <v>146</v>
      </c>
      <c r="B60" s="61" t="s">
        <v>200</v>
      </c>
      <c r="C60" s="55">
        <v>94</v>
      </c>
      <c r="D60" s="70">
        <v>0.5</v>
      </c>
      <c r="E60" s="55">
        <v>24.8</v>
      </c>
      <c r="F60" s="55">
        <v>0</v>
      </c>
      <c r="G60" s="57">
        <v>5</v>
      </c>
      <c r="H60" s="48">
        <v>2</v>
      </c>
      <c r="I60" s="48">
        <v>6</v>
      </c>
    </row>
    <row r="61" spans="1:9" ht="15.75" customHeight="1" x14ac:dyDescent="0.35">
      <c r="A61" s="55" t="s">
        <v>146</v>
      </c>
      <c r="B61" s="61" t="s">
        <v>200</v>
      </c>
      <c r="C61" s="59">
        <v>94</v>
      </c>
      <c r="D61" s="70">
        <v>0.5</v>
      </c>
      <c r="E61" s="55">
        <v>23</v>
      </c>
      <c r="F61" s="55">
        <v>0</v>
      </c>
      <c r="G61" s="57">
        <v>5</v>
      </c>
      <c r="H61" s="48">
        <v>5</v>
      </c>
      <c r="I61" s="48">
        <v>5</v>
      </c>
    </row>
    <row r="62" spans="1:9" ht="15.75" customHeight="1" x14ac:dyDescent="0.35">
      <c r="A62" s="55" t="s">
        <v>146</v>
      </c>
      <c r="B62" s="61" t="s">
        <v>200</v>
      </c>
      <c r="C62" s="59">
        <v>94</v>
      </c>
      <c r="D62" s="70">
        <v>0.5</v>
      </c>
      <c r="E62" s="55">
        <v>22</v>
      </c>
      <c r="F62" s="55">
        <v>0</v>
      </c>
      <c r="G62" s="57">
        <v>5</v>
      </c>
      <c r="H62" s="48">
        <v>1</v>
      </c>
      <c r="I62" s="48">
        <v>1</v>
      </c>
    </row>
    <row r="63" spans="1:9" ht="15.75" customHeight="1" x14ac:dyDescent="0.35">
      <c r="A63" s="55" t="s">
        <v>146</v>
      </c>
      <c r="B63" s="61" t="s">
        <v>181</v>
      </c>
      <c r="C63" s="55">
        <v>99</v>
      </c>
      <c r="D63" s="58">
        <v>7.59</v>
      </c>
      <c r="E63" s="55">
        <v>23.9</v>
      </c>
      <c r="F63" s="55">
        <v>0</v>
      </c>
      <c r="G63" s="57">
        <v>3</v>
      </c>
      <c r="H63" s="48">
        <v>5</v>
      </c>
      <c r="I63" s="48">
        <v>6</v>
      </c>
    </row>
    <row r="64" spans="1:9" ht="15.75" customHeight="1" x14ac:dyDescent="0.35">
      <c r="A64" s="55" t="s">
        <v>146</v>
      </c>
      <c r="B64" s="61" t="s">
        <v>198</v>
      </c>
      <c r="C64" s="55">
        <v>99</v>
      </c>
      <c r="D64" s="58">
        <v>13.05</v>
      </c>
      <c r="E64" s="55">
        <v>25.9</v>
      </c>
      <c r="F64" s="55">
        <v>0.45</v>
      </c>
      <c r="G64" s="57">
        <v>3</v>
      </c>
      <c r="H64" s="48">
        <v>4</v>
      </c>
      <c r="I64" s="48">
        <v>4</v>
      </c>
    </row>
    <row r="65" spans="1:9" ht="15.75" customHeight="1" x14ac:dyDescent="0.35">
      <c r="A65" s="55" t="s">
        <v>146</v>
      </c>
      <c r="B65" s="61" t="s">
        <v>183</v>
      </c>
      <c r="C65" s="55">
        <v>79</v>
      </c>
      <c r="D65" s="58">
        <v>15.5</v>
      </c>
      <c r="E65" s="55">
        <v>28.3</v>
      </c>
      <c r="F65" s="55">
        <v>0</v>
      </c>
      <c r="G65" s="57">
        <v>3</v>
      </c>
      <c r="H65" s="48">
        <v>3</v>
      </c>
      <c r="I65" s="48">
        <v>3</v>
      </c>
    </row>
    <row r="66" spans="1:9" ht="15.75" customHeight="1" x14ac:dyDescent="0.35">
      <c r="A66" s="55" t="s">
        <v>146</v>
      </c>
      <c r="B66" s="61" t="s">
        <v>183</v>
      </c>
      <c r="C66" s="55">
        <v>79</v>
      </c>
      <c r="D66" s="58">
        <v>4.87</v>
      </c>
      <c r="E66" s="55">
        <v>25.2</v>
      </c>
      <c r="F66" s="55">
        <v>0</v>
      </c>
      <c r="G66" s="57">
        <v>3</v>
      </c>
      <c r="H66" s="48">
        <v>0</v>
      </c>
      <c r="I66" s="48">
        <v>0</v>
      </c>
    </row>
    <row r="67" spans="1:9" ht="15.75" customHeight="1" x14ac:dyDescent="0.35">
      <c r="A67" s="55" t="s">
        <v>146</v>
      </c>
      <c r="B67" s="61" t="s">
        <v>186</v>
      </c>
      <c r="C67" s="55">
        <v>79</v>
      </c>
      <c r="D67" s="58">
        <v>0.56999999999999995</v>
      </c>
      <c r="E67" s="55">
        <v>24.8</v>
      </c>
      <c r="F67" s="55">
        <v>0</v>
      </c>
      <c r="G67" s="57">
        <v>6</v>
      </c>
      <c r="H67" s="48">
        <v>3</v>
      </c>
      <c r="I67" s="48">
        <v>4</v>
      </c>
    </row>
    <row r="68" spans="1:9" ht="15.75" customHeight="1" x14ac:dyDescent="0.35">
      <c r="A68" s="55" t="s">
        <v>146</v>
      </c>
      <c r="B68" s="61" t="s">
        <v>186</v>
      </c>
      <c r="C68" s="55">
        <v>96</v>
      </c>
      <c r="D68" s="58">
        <v>15.05</v>
      </c>
      <c r="E68" s="55">
        <v>30.2</v>
      </c>
      <c r="F68" s="55">
        <v>0</v>
      </c>
      <c r="G68" s="57">
        <v>6</v>
      </c>
      <c r="H68" s="48">
        <v>2</v>
      </c>
      <c r="I68" s="48">
        <v>6</v>
      </c>
    </row>
    <row r="69" spans="1:9" ht="15.75" customHeight="1" x14ac:dyDescent="0.35">
      <c r="A69" s="55" t="s">
        <v>146</v>
      </c>
      <c r="B69" s="55" t="s">
        <v>186</v>
      </c>
      <c r="C69" s="55">
        <v>57</v>
      </c>
      <c r="D69" s="58">
        <v>153.19999999999999</v>
      </c>
      <c r="E69" s="55">
        <v>30.2</v>
      </c>
      <c r="F69" s="55">
        <v>0.4</v>
      </c>
      <c r="G69" s="57">
        <v>6</v>
      </c>
      <c r="H69" s="48">
        <v>2</v>
      </c>
      <c r="I69" s="48">
        <v>3</v>
      </c>
    </row>
    <row r="70" spans="1:9" ht="15.75" customHeight="1" x14ac:dyDescent="0.35">
      <c r="A70" s="55" t="s">
        <v>153</v>
      </c>
      <c r="B70" s="61" t="s">
        <v>176</v>
      </c>
      <c r="C70" s="55">
        <v>98</v>
      </c>
      <c r="D70" s="58">
        <v>7.54</v>
      </c>
      <c r="E70" s="55">
        <v>25.8</v>
      </c>
      <c r="F70" s="55">
        <v>0</v>
      </c>
      <c r="G70" s="57">
        <v>4</v>
      </c>
      <c r="H70" s="48">
        <v>5</v>
      </c>
      <c r="I70" s="48">
        <v>7</v>
      </c>
    </row>
    <row r="71" spans="1:9" ht="15.75" customHeight="1" x14ac:dyDescent="0.35">
      <c r="A71" s="55" t="s">
        <v>153</v>
      </c>
      <c r="B71" s="61" t="s">
        <v>176</v>
      </c>
      <c r="C71" s="55">
        <v>99</v>
      </c>
      <c r="D71" s="58">
        <v>6.06</v>
      </c>
      <c r="E71" s="55">
        <v>25.35</v>
      </c>
      <c r="F71" s="55">
        <v>0</v>
      </c>
      <c r="G71" s="57">
        <v>4</v>
      </c>
      <c r="H71" s="48">
        <v>9</v>
      </c>
      <c r="I71" s="48">
        <v>9</v>
      </c>
    </row>
    <row r="72" spans="1:9" ht="15.75" customHeight="1" x14ac:dyDescent="0.35">
      <c r="A72" s="55" t="s">
        <v>153</v>
      </c>
      <c r="B72" s="61" t="s">
        <v>177</v>
      </c>
      <c r="C72" s="55">
        <v>98</v>
      </c>
      <c r="D72" s="58">
        <v>0.77</v>
      </c>
      <c r="E72" s="55">
        <v>22.6</v>
      </c>
      <c r="F72" s="55">
        <v>0</v>
      </c>
      <c r="G72" s="57">
        <v>3</v>
      </c>
      <c r="H72" s="48">
        <v>8</v>
      </c>
      <c r="I72" s="48">
        <v>14</v>
      </c>
    </row>
    <row r="73" spans="1:9" ht="15.75" customHeight="1" x14ac:dyDescent="0.35">
      <c r="A73" s="55" t="s">
        <v>153</v>
      </c>
      <c r="B73" s="61" t="s">
        <v>177</v>
      </c>
      <c r="C73" s="55">
        <v>82</v>
      </c>
      <c r="D73" s="70">
        <v>0.19800000000000001</v>
      </c>
      <c r="E73" s="55">
        <v>24.3</v>
      </c>
      <c r="F73" s="55">
        <v>0</v>
      </c>
      <c r="G73" s="57">
        <v>3</v>
      </c>
      <c r="H73" s="48">
        <v>9</v>
      </c>
      <c r="I73" s="48">
        <v>12</v>
      </c>
    </row>
    <row r="74" spans="1:9" ht="15.75" customHeight="1" x14ac:dyDescent="0.35">
      <c r="A74" s="55" t="s">
        <v>153</v>
      </c>
      <c r="B74" s="61" t="s">
        <v>200</v>
      </c>
      <c r="C74" s="55">
        <v>98</v>
      </c>
      <c r="D74" s="58">
        <v>3.69</v>
      </c>
      <c r="E74" s="55">
        <v>22.35</v>
      </c>
      <c r="F74" s="55">
        <v>0</v>
      </c>
      <c r="G74" s="57">
        <v>5</v>
      </c>
      <c r="H74" s="48">
        <v>3</v>
      </c>
      <c r="I74" s="48">
        <v>7</v>
      </c>
    </row>
    <row r="75" spans="1:9" ht="15.75" customHeight="1" x14ac:dyDescent="0.35">
      <c r="A75" s="55" t="s">
        <v>153</v>
      </c>
      <c r="B75" s="61" t="s">
        <v>200</v>
      </c>
      <c r="C75" s="55">
        <v>98</v>
      </c>
      <c r="D75" s="58">
        <v>3.69</v>
      </c>
      <c r="E75" s="55">
        <v>22.35</v>
      </c>
      <c r="F75" s="55">
        <v>0</v>
      </c>
      <c r="G75" s="57">
        <v>5</v>
      </c>
      <c r="H75" s="48">
        <v>13</v>
      </c>
      <c r="I75" s="48">
        <v>14</v>
      </c>
    </row>
    <row r="76" spans="1:9" ht="15.75" customHeight="1" x14ac:dyDescent="0.35">
      <c r="A76" s="55" t="s">
        <v>153</v>
      </c>
      <c r="B76" s="61" t="s">
        <v>200</v>
      </c>
      <c r="C76" s="55">
        <v>90</v>
      </c>
      <c r="D76" s="70">
        <v>3.5000000000000003E-2</v>
      </c>
      <c r="E76" s="55">
        <v>24.2</v>
      </c>
      <c r="F76" s="55">
        <v>0</v>
      </c>
      <c r="G76" s="57">
        <v>5</v>
      </c>
      <c r="H76" s="48">
        <v>1</v>
      </c>
      <c r="I76" s="48">
        <v>1</v>
      </c>
    </row>
    <row r="77" spans="1:9" ht="15.75" customHeight="1" x14ac:dyDescent="0.35">
      <c r="A77" s="55" t="s">
        <v>153</v>
      </c>
      <c r="B77" s="61" t="s">
        <v>200</v>
      </c>
      <c r="C77" s="55">
        <v>61</v>
      </c>
      <c r="D77" s="70">
        <v>9.4E-2</v>
      </c>
      <c r="E77" s="55">
        <v>25.5</v>
      </c>
      <c r="F77" s="55">
        <v>0</v>
      </c>
      <c r="G77" s="57">
        <v>5</v>
      </c>
      <c r="H77" s="48">
        <v>6</v>
      </c>
      <c r="I77" s="48">
        <v>8</v>
      </c>
    </row>
    <row r="78" spans="1:9" ht="15.75" customHeight="1" x14ac:dyDescent="0.35">
      <c r="A78" s="55" t="s">
        <v>153</v>
      </c>
      <c r="B78" s="61" t="s">
        <v>200</v>
      </c>
      <c r="C78" s="55">
        <v>65</v>
      </c>
      <c r="D78" s="70">
        <v>3.5000000000000003E-2</v>
      </c>
      <c r="E78" s="55">
        <v>25.7</v>
      </c>
      <c r="F78" s="55">
        <v>0</v>
      </c>
      <c r="G78" s="57">
        <v>5</v>
      </c>
      <c r="H78" s="48">
        <v>3</v>
      </c>
      <c r="I78" s="48">
        <v>3</v>
      </c>
    </row>
    <row r="79" spans="1:9" ht="15.75" customHeight="1" x14ac:dyDescent="0.35">
      <c r="A79" s="55" t="s">
        <v>153</v>
      </c>
      <c r="B79" s="61" t="s">
        <v>180</v>
      </c>
      <c r="C79" s="55">
        <v>85</v>
      </c>
      <c r="D79" s="58">
        <v>3.81</v>
      </c>
      <c r="E79" s="55">
        <v>25</v>
      </c>
      <c r="F79" s="55">
        <v>0</v>
      </c>
      <c r="G79" s="57">
        <v>5</v>
      </c>
      <c r="H79" s="48">
        <v>3</v>
      </c>
      <c r="I79" s="48">
        <v>3</v>
      </c>
    </row>
    <row r="80" spans="1:9" ht="15.75" customHeight="1" x14ac:dyDescent="0.35">
      <c r="A80" s="55" t="s">
        <v>153</v>
      </c>
      <c r="B80" s="61" t="s">
        <v>180</v>
      </c>
      <c r="C80" s="55">
        <v>61</v>
      </c>
      <c r="D80" s="58">
        <v>4.78</v>
      </c>
      <c r="E80" s="55">
        <v>28.7</v>
      </c>
      <c r="F80" s="55">
        <v>0</v>
      </c>
      <c r="G80" s="57">
        <v>5</v>
      </c>
      <c r="H80" s="48">
        <v>0</v>
      </c>
      <c r="I80" s="48">
        <v>0</v>
      </c>
    </row>
    <row r="81" spans="1:9" ht="15.75" customHeight="1" x14ac:dyDescent="0.35">
      <c r="A81" s="55" t="s">
        <v>153</v>
      </c>
      <c r="B81" s="61" t="s">
        <v>180</v>
      </c>
      <c r="C81" s="55">
        <v>47</v>
      </c>
      <c r="D81" s="70">
        <v>0.74399999999999999</v>
      </c>
      <c r="E81" s="55">
        <v>29.9</v>
      </c>
      <c r="F81" s="55">
        <v>0</v>
      </c>
      <c r="G81" s="57">
        <v>5</v>
      </c>
      <c r="H81" s="48">
        <v>2</v>
      </c>
      <c r="I81" s="48">
        <v>2</v>
      </c>
    </row>
    <row r="82" spans="1:9" ht="15.75" customHeight="1" x14ac:dyDescent="0.35">
      <c r="A82" s="55" t="s">
        <v>153</v>
      </c>
      <c r="B82" s="61" t="s">
        <v>180</v>
      </c>
      <c r="C82" s="55">
        <v>50</v>
      </c>
      <c r="D82" s="70">
        <v>0.7</v>
      </c>
      <c r="E82" s="55">
        <v>26.3</v>
      </c>
      <c r="F82" s="55">
        <v>0</v>
      </c>
      <c r="G82" s="57">
        <v>5</v>
      </c>
      <c r="H82" s="48">
        <v>2</v>
      </c>
      <c r="I82" s="48">
        <v>5</v>
      </c>
    </row>
    <row r="83" spans="1:9" ht="15.75" customHeight="1" x14ac:dyDescent="0.35">
      <c r="A83" s="55" t="s">
        <v>153</v>
      </c>
      <c r="B83" s="61" t="s">
        <v>181</v>
      </c>
      <c r="C83" s="55">
        <v>85</v>
      </c>
      <c r="D83" s="58">
        <v>13.84</v>
      </c>
      <c r="E83" s="55">
        <v>26.7</v>
      </c>
      <c r="F83" s="55">
        <v>0</v>
      </c>
      <c r="G83" s="57">
        <v>3</v>
      </c>
      <c r="H83" s="48">
        <v>4</v>
      </c>
      <c r="I83" s="48">
        <v>6</v>
      </c>
    </row>
    <row r="84" spans="1:9" ht="15.75" customHeight="1" x14ac:dyDescent="0.35">
      <c r="A84" s="55" t="s">
        <v>153</v>
      </c>
      <c r="B84" s="61" t="s">
        <v>181</v>
      </c>
      <c r="C84" s="55">
        <v>55</v>
      </c>
      <c r="D84" s="58">
        <v>55.3</v>
      </c>
      <c r="E84" s="55">
        <v>30.2</v>
      </c>
      <c r="F84" s="55">
        <v>0</v>
      </c>
      <c r="G84" s="57">
        <v>3</v>
      </c>
      <c r="H84" s="48">
        <v>0</v>
      </c>
      <c r="I84" s="48">
        <v>0</v>
      </c>
    </row>
    <row r="85" spans="1:9" ht="15.75" customHeight="1" x14ac:dyDescent="0.35">
      <c r="A85" s="55" t="s">
        <v>153</v>
      </c>
      <c r="B85" s="61" t="s">
        <v>181</v>
      </c>
      <c r="C85" s="55">
        <v>51</v>
      </c>
      <c r="D85" s="58">
        <v>26.78</v>
      </c>
      <c r="E85" s="55">
        <v>30.7</v>
      </c>
      <c r="F85" s="55">
        <v>0</v>
      </c>
      <c r="G85" s="57">
        <v>3</v>
      </c>
      <c r="H85" s="48">
        <v>2</v>
      </c>
      <c r="I85" s="48">
        <v>2</v>
      </c>
    </row>
    <row r="86" spans="1:9" ht="15.75" customHeight="1" x14ac:dyDescent="0.35">
      <c r="A86" s="55" t="s">
        <v>153</v>
      </c>
      <c r="B86" s="61" t="s">
        <v>198</v>
      </c>
      <c r="C86" s="55">
        <v>90</v>
      </c>
      <c r="D86" s="58">
        <v>8.44</v>
      </c>
      <c r="E86" s="55">
        <v>27.4</v>
      </c>
      <c r="F86" s="55">
        <v>0.8</v>
      </c>
      <c r="G86" s="57">
        <v>3</v>
      </c>
      <c r="H86" s="48">
        <v>12</v>
      </c>
      <c r="I86" s="48">
        <v>17</v>
      </c>
    </row>
    <row r="87" spans="1:9" ht="15.75" customHeight="1" x14ac:dyDescent="0.35">
      <c r="A87" s="55" t="s">
        <v>153</v>
      </c>
      <c r="B87" s="56" t="s">
        <v>198</v>
      </c>
      <c r="C87" s="55">
        <v>58</v>
      </c>
      <c r="D87" s="58">
        <v>30.1</v>
      </c>
      <c r="E87" s="55">
        <v>29.1</v>
      </c>
      <c r="F87" s="55">
        <v>0</v>
      </c>
      <c r="G87" s="57">
        <v>3</v>
      </c>
      <c r="H87" s="48">
        <v>2</v>
      </c>
      <c r="I87" s="48">
        <v>2</v>
      </c>
    </row>
    <row r="88" spans="1:9" ht="15.75" customHeight="1" x14ac:dyDescent="0.35">
      <c r="A88" s="55" t="s">
        <v>153</v>
      </c>
      <c r="B88" s="61" t="s">
        <v>183</v>
      </c>
      <c r="C88" s="55">
        <v>95</v>
      </c>
      <c r="D88" s="58">
        <v>10.69</v>
      </c>
      <c r="E88" s="55">
        <v>22.8</v>
      </c>
      <c r="F88" s="55">
        <v>1.2</v>
      </c>
      <c r="G88" s="57">
        <v>3</v>
      </c>
      <c r="H88" s="48">
        <v>4</v>
      </c>
      <c r="I88" s="48">
        <v>7</v>
      </c>
    </row>
    <row r="89" spans="1:9" ht="15.75" customHeight="1" x14ac:dyDescent="0.35">
      <c r="A89" s="55" t="s">
        <v>153</v>
      </c>
      <c r="B89" s="61" t="s">
        <v>183</v>
      </c>
      <c r="C89" s="55">
        <v>95</v>
      </c>
      <c r="D89" s="58">
        <v>5.99</v>
      </c>
      <c r="E89" s="55">
        <v>25.7</v>
      </c>
      <c r="F89" s="55">
        <v>0</v>
      </c>
      <c r="G89" s="57">
        <v>3</v>
      </c>
      <c r="H89" s="48">
        <v>5</v>
      </c>
      <c r="I89" s="48">
        <v>7</v>
      </c>
    </row>
    <row r="90" spans="1:9" ht="15.75" customHeight="1" x14ac:dyDescent="0.35">
      <c r="A90" s="55" t="s">
        <v>153</v>
      </c>
      <c r="B90" s="56" t="s">
        <v>183</v>
      </c>
      <c r="C90" s="55">
        <v>98</v>
      </c>
      <c r="D90" s="58">
        <v>3.61</v>
      </c>
      <c r="E90" s="55">
        <v>23</v>
      </c>
      <c r="F90" s="55">
        <v>0</v>
      </c>
      <c r="G90" s="57">
        <v>3</v>
      </c>
      <c r="H90" s="48">
        <v>0</v>
      </c>
      <c r="I90" s="48">
        <v>0</v>
      </c>
    </row>
    <row r="91" spans="1:9" ht="15.75" customHeight="1" x14ac:dyDescent="0.35">
      <c r="A91" s="55" t="s">
        <v>153</v>
      </c>
      <c r="B91" s="61" t="s">
        <v>183</v>
      </c>
      <c r="C91" s="55">
        <v>80</v>
      </c>
      <c r="D91" s="58">
        <v>6.89</v>
      </c>
      <c r="E91" s="55">
        <v>24.3</v>
      </c>
      <c r="F91" s="55">
        <v>0.87</v>
      </c>
      <c r="G91" s="57">
        <v>3</v>
      </c>
      <c r="H91" s="48">
        <v>2</v>
      </c>
      <c r="I91" s="48">
        <v>2</v>
      </c>
    </row>
    <row r="92" spans="1:9" ht="15.75" customHeight="1" x14ac:dyDescent="0.35">
      <c r="A92" s="55" t="s">
        <v>153</v>
      </c>
      <c r="B92" s="61" t="s">
        <v>186</v>
      </c>
      <c r="C92" s="55">
        <v>95</v>
      </c>
      <c r="D92" s="58">
        <v>1.44</v>
      </c>
      <c r="E92" s="55">
        <v>25.1</v>
      </c>
      <c r="F92" s="55">
        <v>0</v>
      </c>
      <c r="G92" s="57">
        <v>6</v>
      </c>
      <c r="H92" s="48">
        <v>2</v>
      </c>
      <c r="I92" s="48">
        <v>7</v>
      </c>
    </row>
    <row r="93" spans="1:9" ht="15.75" customHeight="1" x14ac:dyDescent="0.35">
      <c r="A93" s="55" t="s">
        <v>153</v>
      </c>
      <c r="B93" s="61" t="s">
        <v>186</v>
      </c>
      <c r="C93" s="55">
        <v>99</v>
      </c>
      <c r="D93" s="58">
        <v>0.54</v>
      </c>
      <c r="E93" s="55">
        <v>21.9</v>
      </c>
      <c r="F93" s="55">
        <v>0</v>
      </c>
      <c r="G93" s="57">
        <v>6</v>
      </c>
      <c r="H93" s="48">
        <v>3</v>
      </c>
      <c r="I93" s="48">
        <v>3</v>
      </c>
    </row>
    <row r="94" spans="1:9" ht="15.75" customHeight="1" x14ac:dyDescent="0.35">
      <c r="A94" s="55" t="s">
        <v>153</v>
      </c>
      <c r="B94" s="61" t="s">
        <v>186</v>
      </c>
      <c r="C94" s="55">
        <v>99</v>
      </c>
      <c r="D94" s="58">
        <v>0.63</v>
      </c>
      <c r="E94" s="55">
        <v>25.1</v>
      </c>
      <c r="F94" s="55">
        <v>0</v>
      </c>
      <c r="G94" s="57">
        <v>6</v>
      </c>
      <c r="H94" s="48">
        <v>3</v>
      </c>
      <c r="I94" s="48">
        <v>8</v>
      </c>
    </row>
    <row r="95" spans="1:9" ht="15.75" customHeight="1" x14ac:dyDescent="0.35">
      <c r="A95" s="55" t="s">
        <v>153</v>
      </c>
      <c r="B95" s="61" t="s">
        <v>186</v>
      </c>
      <c r="C95" s="55">
        <v>99</v>
      </c>
      <c r="D95" s="58">
        <v>1.67</v>
      </c>
      <c r="E95" s="55">
        <v>25.2</v>
      </c>
      <c r="F95" s="55">
        <v>0</v>
      </c>
      <c r="G95" s="57">
        <v>6</v>
      </c>
      <c r="H95" s="48">
        <v>3</v>
      </c>
      <c r="I95" s="48">
        <v>4</v>
      </c>
    </row>
    <row r="96" spans="1:9" ht="15.75" customHeight="1" x14ac:dyDescent="0.35">
      <c r="A96" s="55" t="s">
        <v>158</v>
      </c>
      <c r="B96" s="61" t="s">
        <v>176</v>
      </c>
      <c r="C96" s="55">
        <v>96</v>
      </c>
      <c r="D96" s="58">
        <v>1.1399999999999999</v>
      </c>
      <c r="E96" s="55">
        <v>26.4</v>
      </c>
      <c r="F96" s="55">
        <v>0</v>
      </c>
      <c r="G96" s="57">
        <v>4</v>
      </c>
      <c r="H96" s="48">
        <v>4</v>
      </c>
      <c r="I96" s="48">
        <v>7</v>
      </c>
    </row>
    <row r="97" spans="1:9" ht="15.75" customHeight="1" x14ac:dyDescent="0.35">
      <c r="A97" s="55" t="s">
        <v>158</v>
      </c>
      <c r="B97" s="61" t="s">
        <v>176</v>
      </c>
      <c r="C97" s="55">
        <v>99</v>
      </c>
      <c r="D97" s="58">
        <v>8.51</v>
      </c>
      <c r="E97" s="55">
        <v>26.5</v>
      </c>
      <c r="F97" s="55">
        <v>0</v>
      </c>
      <c r="G97" s="57">
        <v>4</v>
      </c>
      <c r="H97" s="48">
        <v>9</v>
      </c>
      <c r="I97" s="48">
        <v>9</v>
      </c>
    </row>
    <row r="98" spans="1:9" ht="15.75" customHeight="1" x14ac:dyDescent="0.35">
      <c r="A98" s="55" t="s">
        <v>158</v>
      </c>
      <c r="B98" s="61" t="s">
        <v>176</v>
      </c>
      <c r="C98" s="55">
        <v>99</v>
      </c>
      <c r="D98" s="58">
        <v>8.52</v>
      </c>
      <c r="E98" s="55">
        <v>26.5</v>
      </c>
      <c r="F98" s="55">
        <v>0</v>
      </c>
      <c r="G98" s="57">
        <v>4</v>
      </c>
      <c r="H98" s="48">
        <v>5</v>
      </c>
      <c r="I98" s="48">
        <v>6</v>
      </c>
    </row>
    <row r="99" spans="1:9" ht="15.75" customHeight="1" x14ac:dyDescent="0.35">
      <c r="A99" s="55" t="s">
        <v>158</v>
      </c>
      <c r="B99" s="61" t="s">
        <v>178</v>
      </c>
      <c r="C99" s="55">
        <v>99</v>
      </c>
      <c r="D99" s="58">
        <v>6.93</v>
      </c>
      <c r="E99" s="55">
        <v>23.5</v>
      </c>
      <c r="F99" s="55">
        <v>0</v>
      </c>
      <c r="G99" s="57">
        <v>3</v>
      </c>
      <c r="H99" s="48">
        <v>7</v>
      </c>
      <c r="I99" s="48">
        <v>7</v>
      </c>
    </row>
    <row r="100" spans="1:9" ht="15.75" customHeight="1" x14ac:dyDescent="0.35">
      <c r="A100" s="55" t="s">
        <v>158</v>
      </c>
      <c r="B100" s="61" t="s">
        <v>178</v>
      </c>
      <c r="C100" s="55">
        <v>99</v>
      </c>
      <c r="D100" s="58">
        <v>6.8</v>
      </c>
      <c r="E100" s="55">
        <v>23.5</v>
      </c>
      <c r="F100" s="55">
        <v>0</v>
      </c>
      <c r="G100" s="57">
        <v>3</v>
      </c>
      <c r="H100" s="48">
        <v>1</v>
      </c>
      <c r="I100" s="48">
        <v>1</v>
      </c>
    </row>
    <row r="101" spans="1:9" ht="15.75" customHeight="1" x14ac:dyDescent="0.35">
      <c r="A101" s="55" t="s">
        <v>158</v>
      </c>
      <c r="B101" s="61" t="s">
        <v>200</v>
      </c>
      <c r="C101" s="55">
        <v>89</v>
      </c>
      <c r="D101" s="58">
        <v>2.74</v>
      </c>
      <c r="E101" s="55">
        <v>23.5</v>
      </c>
      <c r="F101" s="55">
        <v>0</v>
      </c>
      <c r="G101" s="57">
        <v>5</v>
      </c>
      <c r="H101" s="48">
        <v>13</v>
      </c>
      <c r="I101" s="48">
        <v>16</v>
      </c>
    </row>
    <row r="102" spans="1:9" ht="15.75" customHeight="1" x14ac:dyDescent="0.35">
      <c r="A102" s="55" t="s">
        <v>158</v>
      </c>
      <c r="B102" s="61" t="s">
        <v>200</v>
      </c>
      <c r="C102" s="55">
        <v>99</v>
      </c>
      <c r="D102" s="58">
        <v>0.32</v>
      </c>
      <c r="E102" s="55">
        <v>21.5</v>
      </c>
      <c r="F102" s="55">
        <v>0</v>
      </c>
      <c r="G102" s="57">
        <v>5</v>
      </c>
      <c r="H102" s="48">
        <v>3</v>
      </c>
      <c r="I102" s="48">
        <v>3</v>
      </c>
    </row>
    <row r="103" spans="1:9" ht="15.75" customHeight="1" x14ac:dyDescent="0.35">
      <c r="A103" s="55" t="s">
        <v>158</v>
      </c>
      <c r="B103" s="61" t="s">
        <v>200</v>
      </c>
      <c r="C103" s="55">
        <v>87</v>
      </c>
      <c r="D103" s="58">
        <v>0.03</v>
      </c>
      <c r="E103" s="55">
        <v>23.2</v>
      </c>
      <c r="F103" s="55">
        <v>0</v>
      </c>
      <c r="G103" s="57">
        <v>5</v>
      </c>
      <c r="H103" s="48">
        <v>3</v>
      </c>
      <c r="I103" s="48">
        <v>3</v>
      </c>
    </row>
    <row r="104" spans="1:9" ht="15.75" customHeight="1" x14ac:dyDescent="0.35">
      <c r="A104" s="55" t="s">
        <v>158</v>
      </c>
      <c r="B104" s="61" t="s">
        <v>200</v>
      </c>
      <c r="C104" s="55">
        <v>85</v>
      </c>
      <c r="D104" s="58">
        <v>0.04</v>
      </c>
      <c r="E104" s="55">
        <v>23.2</v>
      </c>
      <c r="F104" s="55">
        <v>0</v>
      </c>
      <c r="G104" s="57">
        <v>5</v>
      </c>
      <c r="H104" s="48">
        <v>1</v>
      </c>
      <c r="I104" s="48">
        <v>1</v>
      </c>
    </row>
    <row r="105" spans="1:9" ht="15.75" customHeight="1" x14ac:dyDescent="0.35">
      <c r="A105" s="55" t="s">
        <v>158</v>
      </c>
      <c r="B105" s="61" t="s">
        <v>180</v>
      </c>
      <c r="C105" s="55">
        <v>88</v>
      </c>
      <c r="D105" s="58">
        <v>0.69</v>
      </c>
      <c r="E105" s="55">
        <v>23.4</v>
      </c>
      <c r="F105" s="55">
        <v>6</v>
      </c>
      <c r="G105" s="57">
        <v>5</v>
      </c>
      <c r="H105" s="48">
        <v>8</v>
      </c>
      <c r="I105" s="48">
        <v>9</v>
      </c>
    </row>
    <row r="106" spans="1:9" ht="15.75" customHeight="1" x14ac:dyDescent="0.35">
      <c r="A106" s="55" t="s">
        <v>158</v>
      </c>
      <c r="B106" s="61" t="s">
        <v>180</v>
      </c>
      <c r="C106" s="55">
        <v>88</v>
      </c>
      <c r="D106" s="58">
        <v>1.86</v>
      </c>
      <c r="E106" s="55">
        <v>27.2</v>
      </c>
      <c r="F106" s="55">
        <v>0.6</v>
      </c>
      <c r="G106" s="57">
        <v>5</v>
      </c>
      <c r="H106" s="48">
        <v>4</v>
      </c>
      <c r="I106" s="48">
        <v>4</v>
      </c>
    </row>
    <row r="107" spans="1:9" ht="15.75" customHeight="1" x14ac:dyDescent="0.35">
      <c r="A107" s="55" t="s">
        <v>158</v>
      </c>
      <c r="B107" s="61" t="s">
        <v>181</v>
      </c>
      <c r="C107" s="55">
        <v>80</v>
      </c>
      <c r="D107" s="58">
        <v>51.6</v>
      </c>
      <c r="E107" s="55">
        <v>28.7</v>
      </c>
      <c r="F107" s="55">
        <v>2.5</v>
      </c>
      <c r="G107" s="57">
        <v>3</v>
      </c>
      <c r="H107" s="48">
        <v>5</v>
      </c>
      <c r="I107" s="48">
        <v>5</v>
      </c>
    </row>
    <row r="108" spans="1:9" ht="15.75" customHeight="1" x14ac:dyDescent="0.35">
      <c r="A108" s="55" t="s">
        <v>158</v>
      </c>
      <c r="B108" s="61" t="s">
        <v>198</v>
      </c>
      <c r="C108" s="55">
        <v>71</v>
      </c>
      <c r="D108" s="58">
        <v>7.17</v>
      </c>
      <c r="E108" s="55">
        <v>26.1</v>
      </c>
      <c r="F108" s="55">
        <v>1.9</v>
      </c>
      <c r="G108" s="57">
        <v>3</v>
      </c>
      <c r="H108" s="48">
        <v>9</v>
      </c>
      <c r="I108" s="48">
        <v>11</v>
      </c>
    </row>
    <row r="109" spans="1:9" ht="15.75" customHeight="1" x14ac:dyDescent="0.35">
      <c r="A109" s="55" t="s">
        <v>158</v>
      </c>
      <c r="B109" s="61" t="s">
        <v>198</v>
      </c>
      <c r="C109" s="55">
        <v>74</v>
      </c>
      <c r="D109" s="58">
        <v>7.5</v>
      </c>
      <c r="E109" s="55">
        <v>26</v>
      </c>
      <c r="F109" s="55">
        <v>0</v>
      </c>
      <c r="G109" s="57">
        <v>3</v>
      </c>
      <c r="H109" s="48">
        <v>1</v>
      </c>
      <c r="I109" s="48">
        <v>1</v>
      </c>
    </row>
    <row r="110" spans="1:9" ht="15.75" customHeight="1" x14ac:dyDescent="0.35">
      <c r="A110" s="55" t="s">
        <v>158</v>
      </c>
      <c r="B110" s="61" t="s">
        <v>198</v>
      </c>
      <c r="C110" s="55">
        <v>54</v>
      </c>
      <c r="D110" s="58">
        <v>10.85</v>
      </c>
      <c r="E110" s="55">
        <v>28.3</v>
      </c>
      <c r="F110" s="55">
        <v>1.45</v>
      </c>
      <c r="G110" s="57">
        <v>3</v>
      </c>
      <c r="H110" s="48">
        <v>4</v>
      </c>
      <c r="I110" s="48">
        <v>4</v>
      </c>
    </row>
    <row r="111" spans="1:9" ht="15.75" customHeight="1" x14ac:dyDescent="0.35">
      <c r="A111" s="55" t="s">
        <v>158</v>
      </c>
      <c r="B111" s="61" t="s">
        <v>183</v>
      </c>
      <c r="C111" s="55">
        <v>77</v>
      </c>
      <c r="D111" s="58">
        <v>19</v>
      </c>
      <c r="E111" s="55">
        <v>23.9</v>
      </c>
      <c r="F111" s="55">
        <v>0</v>
      </c>
      <c r="G111" s="57">
        <v>3</v>
      </c>
      <c r="H111" s="48">
        <v>4</v>
      </c>
      <c r="I111" s="48">
        <v>13</v>
      </c>
    </row>
    <row r="112" spans="1:9" ht="15.75" customHeight="1" x14ac:dyDescent="0.35">
      <c r="A112" s="55" t="s">
        <v>158</v>
      </c>
      <c r="B112" s="61" t="s">
        <v>183</v>
      </c>
      <c r="C112" s="55">
        <v>99</v>
      </c>
      <c r="D112" s="58">
        <v>29.59</v>
      </c>
      <c r="E112" s="55">
        <v>24.9</v>
      </c>
      <c r="F112" s="55">
        <v>0.65</v>
      </c>
      <c r="G112" s="57">
        <v>3</v>
      </c>
      <c r="H112" s="48">
        <v>4</v>
      </c>
      <c r="I112" s="48">
        <v>7</v>
      </c>
    </row>
    <row r="113" spans="1:9" ht="15.75" customHeight="1" x14ac:dyDescent="0.35">
      <c r="A113" s="55" t="s">
        <v>158</v>
      </c>
      <c r="B113" s="61" t="s">
        <v>183</v>
      </c>
      <c r="C113" s="55">
        <v>74</v>
      </c>
      <c r="D113" s="58">
        <v>1.52</v>
      </c>
      <c r="E113" s="55">
        <v>19.829999999999998</v>
      </c>
      <c r="F113" s="55">
        <v>0.85</v>
      </c>
      <c r="G113" s="57">
        <v>3</v>
      </c>
      <c r="H113" s="48">
        <v>2</v>
      </c>
      <c r="I113" s="48">
        <v>2</v>
      </c>
    </row>
    <row r="114" spans="1:9" ht="15.75" customHeight="1" x14ac:dyDescent="0.35">
      <c r="A114" s="55" t="s">
        <v>158</v>
      </c>
      <c r="B114" s="61" t="s">
        <v>186</v>
      </c>
      <c r="C114" s="55">
        <v>95</v>
      </c>
      <c r="D114" s="58">
        <v>0.4</v>
      </c>
      <c r="E114" s="55">
        <v>17.100000000000001</v>
      </c>
      <c r="F114" s="55">
        <v>0</v>
      </c>
      <c r="G114" s="57">
        <v>6</v>
      </c>
      <c r="H114" s="48">
        <v>10</v>
      </c>
      <c r="I114" s="48">
        <v>33</v>
      </c>
    </row>
    <row r="115" spans="1:9" ht="15.75" customHeight="1" x14ac:dyDescent="0.35">
      <c r="A115" s="55" t="s">
        <v>158</v>
      </c>
      <c r="B115" s="61" t="s">
        <v>186</v>
      </c>
      <c r="C115" s="55">
        <v>95</v>
      </c>
      <c r="D115" s="58">
        <v>0.42</v>
      </c>
      <c r="E115" s="55">
        <v>17.2</v>
      </c>
      <c r="F115" s="55">
        <v>0</v>
      </c>
      <c r="G115" s="57">
        <v>6</v>
      </c>
      <c r="H115" s="48">
        <v>1</v>
      </c>
      <c r="I115" s="48">
        <v>1</v>
      </c>
    </row>
    <row r="116" spans="1:9" ht="15.75" customHeight="1" x14ac:dyDescent="0.35">
      <c r="A116" s="55" t="s">
        <v>158</v>
      </c>
      <c r="B116" s="61" t="s">
        <v>186</v>
      </c>
      <c r="C116" s="55">
        <v>95</v>
      </c>
      <c r="D116" s="58">
        <v>0.41</v>
      </c>
      <c r="E116" s="55">
        <v>17.100000000000001</v>
      </c>
      <c r="F116" s="55">
        <v>0</v>
      </c>
      <c r="G116" s="57">
        <v>6</v>
      </c>
      <c r="H116" s="48">
        <v>8</v>
      </c>
      <c r="I116" s="48">
        <v>11</v>
      </c>
    </row>
    <row r="117" spans="1:9" ht="15.75" customHeight="1" x14ac:dyDescent="0.35">
      <c r="A117" s="55" t="s">
        <v>158</v>
      </c>
      <c r="B117" s="61" t="s">
        <v>186</v>
      </c>
      <c r="C117" s="55">
        <v>87</v>
      </c>
      <c r="D117" s="58">
        <v>0.16</v>
      </c>
      <c r="E117" s="55">
        <v>20.2</v>
      </c>
      <c r="F117" s="55">
        <v>0</v>
      </c>
      <c r="G117" s="57">
        <v>6</v>
      </c>
      <c r="H117" s="48">
        <v>6</v>
      </c>
      <c r="I117" s="48">
        <v>6</v>
      </c>
    </row>
    <row r="118" spans="1:9" ht="15.75" customHeight="1" x14ac:dyDescent="0.35">
      <c r="A118" s="55" t="s">
        <v>164</v>
      </c>
      <c r="B118" s="61" t="s">
        <v>176</v>
      </c>
      <c r="C118" s="55">
        <v>89</v>
      </c>
      <c r="D118" s="58">
        <v>1.36</v>
      </c>
      <c r="E118" s="55">
        <v>23.18</v>
      </c>
      <c r="F118" s="55">
        <v>0</v>
      </c>
      <c r="G118" s="57">
        <v>4</v>
      </c>
      <c r="H118" s="48">
        <v>8</v>
      </c>
      <c r="I118" s="48">
        <v>11</v>
      </c>
    </row>
    <row r="119" spans="1:9" ht="15.75" customHeight="1" x14ac:dyDescent="0.35">
      <c r="A119" s="55" t="s">
        <v>164</v>
      </c>
      <c r="B119" s="61" t="s">
        <v>177</v>
      </c>
      <c r="C119" s="55">
        <v>94</v>
      </c>
      <c r="D119" s="58">
        <v>7.68</v>
      </c>
      <c r="E119" s="55">
        <v>26.7</v>
      </c>
      <c r="F119" s="55">
        <v>0.75</v>
      </c>
      <c r="G119" s="57">
        <v>3</v>
      </c>
      <c r="H119" s="48">
        <v>6</v>
      </c>
      <c r="I119" s="48">
        <v>8</v>
      </c>
    </row>
    <row r="120" spans="1:9" ht="15.75" customHeight="1" x14ac:dyDescent="0.35">
      <c r="A120" s="55" t="s">
        <v>164</v>
      </c>
      <c r="B120" s="61" t="s">
        <v>177</v>
      </c>
      <c r="C120" s="55">
        <v>90</v>
      </c>
      <c r="D120" s="58">
        <v>1.5</v>
      </c>
      <c r="E120" s="55">
        <v>23.4</v>
      </c>
      <c r="F120" s="55">
        <v>0</v>
      </c>
      <c r="G120" s="57">
        <v>3</v>
      </c>
      <c r="H120" s="48">
        <v>1</v>
      </c>
      <c r="I120" s="48">
        <v>1</v>
      </c>
    </row>
    <row r="121" spans="1:9" ht="15.75" customHeight="1" x14ac:dyDescent="0.35">
      <c r="A121" s="55" t="s">
        <v>164</v>
      </c>
      <c r="B121" s="61" t="s">
        <v>200</v>
      </c>
      <c r="C121" s="55">
        <v>91</v>
      </c>
      <c r="D121" s="58">
        <v>1.1499999999999999</v>
      </c>
      <c r="E121" s="55">
        <v>24.4</v>
      </c>
      <c r="F121" s="55">
        <v>0</v>
      </c>
      <c r="G121" s="57">
        <v>5</v>
      </c>
      <c r="H121" s="48">
        <v>8</v>
      </c>
      <c r="I121" s="48">
        <v>8</v>
      </c>
    </row>
    <row r="122" spans="1:9" ht="15.75" customHeight="1" x14ac:dyDescent="0.35">
      <c r="A122" s="55" t="s">
        <v>164</v>
      </c>
      <c r="B122" s="61" t="s">
        <v>200</v>
      </c>
      <c r="C122" s="55">
        <v>94</v>
      </c>
      <c r="D122" s="58">
        <v>1.2</v>
      </c>
      <c r="E122" s="55">
        <v>24.4</v>
      </c>
      <c r="F122" s="55">
        <v>0</v>
      </c>
      <c r="G122" s="57">
        <v>5</v>
      </c>
      <c r="H122" s="48">
        <v>1</v>
      </c>
      <c r="I122" s="48">
        <v>1</v>
      </c>
    </row>
    <row r="123" spans="1:9" ht="15.75" customHeight="1" x14ac:dyDescent="0.35">
      <c r="A123" s="55" t="s">
        <v>164</v>
      </c>
      <c r="B123" s="61" t="s">
        <v>200</v>
      </c>
      <c r="C123" s="55">
        <v>85</v>
      </c>
      <c r="D123" s="58">
        <v>1.3</v>
      </c>
      <c r="E123" s="55">
        <v>24.4</v>
      </c>
      <c r="F123" s="55">
        <v>0</v>
      </c>
      <c r="G123" s="57">
        <v>5</v>
      </c>
      <c r="H123" s="48">
        <v>8</v>
      </c>
      <c r="I123" s="48">
        <v>8</v>
      </c>
    </row>
    <row r="124" spans="1:9" ht="15.75" customHeight="1" x14ac:dyDescent="0.35">
      <c r="A124" s="55" t="s">
        <v>164</v>
      </c>
      <c r="B124" s="61" t="s">
        <v>180</v>
      </c>
      <c r="C124" s="55">
        <v>91</v>
      </c>
      <c r="D124" s="58">
        <v>0.57999999999999996</v>
      </c>
      <c r="E124" s="55">
        <v>26.4</v>
      </c>
      <c r="F124" s="55">
        <v>0</v>
      </c>
      <c r="G124" s="57">
        <v>5</v>
      </c>
      <c r="H124" s="48">
        <v>10</v>
      </c>
      <c r="I124" s="48">
        <v>10</v>
      </c>
    </row>
    <row r="125" spans="1:9" ht="15.75" customHeight="1" x14ac:dyDescent="0.35">
      <c r="A125" s="55" t="s">
        <v>164</v>
      </c>
      <c r="B125" s="61" t="s">
        <v>180</v>
      </c>
      <c r="C125" s="55">
        <v>91</v>
      </c>
      <c r="D125" s="58">
        <v>0.81</v>
      </c>
      <c r="E125" s="55">
        <v>23.28</v>
      </c>
      <c r="F125" s="55">
        <v>0</v>
      </c>
      <c r="G125" s="57">
        <v>5</v>
      </c>
      <c r="H125" s="48">
        <v>5</v>
      </c>
      <c r="I125" s="48">
        <v>5</v>
      </c>
    </row>
    <row r="126" spans="1:9" ht="15.75" customHeight="1" x14ac:dyDescent="0.35">
      <c r="A126" s="55" t="s">
        <v>164</v>
      </c>
      <c r="B126" s="61" t="s">
        <v>181</v>
      </c>
      <c r="C126" s="55">
        <v>91</v>
      </c>
      <c r="D126" s="58">
        <v>0.81</v>
      </c>
      <c r="E126" s="55">
        <v>23.3</v>
      </c>
      <c r="F126" s="55">
        <v>0</v>
      </c>
      <c r="G126" s="57">
        <v>3</v>
      </c>
      <c r="H126" s="48">
        <v>1</v>
      </c>
      <c r="I126" s="48">
        <v>2</v>
      </c>
    </row>
    <row r="127" spans="1:9" ht="15.75" customHeight="1" x14ac:dyDescent="0.35">
      <c r="A127" s="55" t="s">
        <v>164</v>
      </c>
      <c r="B127" s="61" t="s">
        <v>181</v>
      </c>
      <c r="C127" s="55">
        <v>99</v>
      </c>
      <c r="D127" s="58">
        <v>85.6</v>
      </c>
      <c r="E127" s="55">
        <v>28.5</v>
      </c>
      <c r="F127" s="55">
        <v>1.2</v>
      </c>
      <c r="G127" s="57">
        <v>3</v>
      </c>
      <c r="H127" s="48">
        <v>1</v>
      </c>
      <c r="I127" s="48">
        <v>1</v>
      </c>
    </row>
    <row r="128" spans="1:9" ht="15.75" customHeight="1" x14ac:dyDescent="0.35">
      <c r="A128" s="55" t="s">
        <v>164</v>
      </c>
      <c r="B128" s="61" t="s">
        <v>181</v>
      </c>
      <c r="C128" s="55">
        <v>91</v>
      </c>
      <c r="D128" s="58">
        <v>13.15</v>
      </c>
      <c r="E128" s="55">
        <v>26.13</v>
      </c>
      <c r="F128" s="55">
        <v>0</v>
      </c>
      <c r="G128" s="57">
        <v>3</v>
      </c>
      <c r="H128" s="48">
        <v>3</v>
      </c>
      <c r="I128" s="48">
        <v>3</v>
      </c>
    </row>
    <row r="129" spans="1:9" ht="15.75" customHeight="1" x14ac:dyDescent="0.35">
      <c r="A129" s="55" t="s">
        <v>164</v>
      </c>
      <c r="B129" s="61" t="s">
        <v>198</v>
      </c>
      <c r="C129" s="55">
        <v>75</v>
      </c>
      <c r="D129" s="58">
        <v>17.2</v>
      </c>
      <c r="E129" s="55">
        <v>28</v>
      </c>
      <c r="F129" s="55">
        <v>0</v>
      </c>
      <c r="G129" s="57">
        <v>3</v>
      </c>
      <c r="H129" s="48">
        <v>2</v>
      </c>
      <c r="I129" s="48">
        <v>2</v>
      </c>
    </row>
    <row r="130" spans="1:9" s="75" customFormat="1" ht="15.75" customHeight="1" x14ac:dyDescent="0.35">
      <c r="A130" s="71" t="s">
        <v>164</v>
      </c>
      <c r="B130" s="72" t="s">
        <v>198</v>
      </c>
      <c r="C130" s="71">
        <v>93</v>
      </c>
      <c r="D130" s="73">
        <v>14.5</v>
      </c>
      <c r="E130" s="71">
        <v>28.73</v>
      </c>
      <c r="F130" s="71">
        <v>0</v>
      </c>
      <c r="G130" s="74">
        <v>3</v>
      </c>
      <c r="H130" s="75">
        <v>6</v>
      </c>
      <c r="I130" s="75">
        <v>9</v>
      </c>
    </row>
    <row r="131" spans="1:9" ht="15.75" customHeight="1" x14ac:dyDescent="0.35">
      <c r="A131" s="55" t="s">
        <v>164</v>
      </c>
      <c r="B131" s="61" t="s">
        <v>198</v>
      </c>
      <c r="C131" s="55">
        <v>74</v>
      </c>
      <c r="D131" s="58">
        <v>18</v>
      </c>
      <c r="E131" s="55">
        <v>28</v>
      </c>
      <c r="F131" s="55">
        <v>0</v>
      </c>
      <c r="G131" s="57">
        <v>3</v>
      </c>
      <c r="H131" s="48">
        <v>2</v>
      </c>
      <c r="I131" s="48">
        <v>2</v>
      </c>
    </row>
    <row r="132" spans="1:9" ht="15.75" customHeight="1" x14ac:dyDescent="0.35">
      <c r="A132" s="55" t="s">
        <v>164</v>
      </c>
      <c r="B132" s="61" t="s">
        <v>183</v>
      </c>
      <c r="C132" s="55">
        <v>89</v>
      </c>
      <c r="D132" s="58">
        <v>7.61</v>
      </c>
      <c r="E132" s="55">
        <v>23.8</v>
      </c>
      <c r="F132" s="55">
        <v>0.75</v>
      </c>
      <c r="G132" s="57">
        <v>3</v>
      </c>
      <c r="H132" s="48">
        <v>5</v>
      </c>
      <c r="I132" s="48">
        <v>10</v>
      </c>
    </row>
    <row r="133" spans="1:9" ht="15.75" customHeight="1" x14ac:dyDescent="0.35">
      <c r="A133" s="55" t="s">
        <v>164</v>
      </c>
      <c r="B133" s="61" t="s">
        <v>183</v>
      </c>
      <c r="C133" s="55">
        <v>81</v>
      </c>
      <c r="D133" s="58">
        <v>5.23</v>
      </c>
      <c r="E133" s="55">
        <v>27.03</v>
      </c>
      <c r="F133" s="55">
        <v>0</v>
      </c>
      <c r="G133" s="57">
        <v>3</v>
      </c>
      <c r="H133" s="48">
        <v>4</v>
      </c>
      <c r="I133" s="48">
        <v>5</v>
      </c>
    </row>
    <row r="134" spans="1:9" ht="15.75" customHeight="1" x14ac:dyDescent="0.35">
      <c r="A134" s="55" t="s">
        <v>164</v>
      </c>
      <c r="B134" s="61" t="s">
        <v>186</v>
      </c>
      <c r="C134" s="55">
        <v>86</v>
      </c>
      <c r="D134" s="58">
        <v>0.14000000000000001</v>
      </c>
      <c r="E134" s="55">
        <v>18.55</v>
      </c>
      <c r="F134" s="55">
        <v>0</v>
      </c>
      <c r="G134" s="57">
        <v>6</v>
      </c>
      <c r="H134" s="48">
        <v>5</v>
      </c>
      <c r="I134" s="48">
        <v>5</v>
      </c>
    </row>
    <row r="135" spans="1:9" ht="15.75" customHeight="1" x14ac:dyDescent="0.35">
      <c r="A135" s="55" t="s">
        <v>164</v>
      </c>
      <c r="B135" s="61" t="s">
        <v>186</v>
      </c>
      <c r="C135" s="55">
        <v>87</v>
      </c>
      <c r="D135" s="58">
        <v>0.15</v>
      </c>
      <c r="E135" s="55">
        <v>15.2</v>
      </c>
      <c r="F135" s="55">
        <v>0</v>
      </c>
      <c r="G135" s="57">
        <v>6</v>
      </c>
      <c r="H135" s="48">
        <v>3</v>
      </c>
      <c r="I135" s="48">
        <v>3</v>
      </c>
    </row>
    <row r="136" spans="1:9" ht="15.75" customHeight="1" x14ac:dyDescent="0.35">
      <c r="A136" s="55" t="s">
        <v>164</v>
      </c>
      <c r="B136" s="61" t="s">
        <v>186</v>
      </c>
      <c r="C136" s="55">
        <v>83</v>
      </c>
      <c r="D136" s="58">
        <v>0.20499999999999999</v>
      </c>
      <c r="E136" s="55">
        <v>24.8</v>
      </c>
      <c r="F136" s="55">
        <v>0</v>
      </c>
      <c r="G136" s="57">
        <v>6</v>
      </c>
      <c r="H136" s="48">
        <v>0</v>
      </c>
      <c r="I136" s="48">
        <v>0</v>
      </c>
    </row>
    <row r="137" spans="1:9" ht="15.75" customHeight="1" x14ac:dyDescent="0.35">
      <c r="A137" s="55" t="s">
        <v>168</v>
      </c>
      <c r="B137" s="55" t="s">
        <v>176</v>
      </c>
      <c r="C137" s="55">
        <v>92</v>
      </c>
      <c r="D137" s="58">
        <v>0.14000000000000001</v>
      </c>
      <c r="E137" s="55">
        <v>22.5</v>
      </c>
      <c r="F137" s="55">
        <v>0</v>
      </c>
      <c r="G137" s="57">
        <v>4</v>
      </c>
      <c r="H137" s="48">
        <v>6</v>
      </c>
      <c r="I137" s="48">
        <v>11</v>
      </c>
    </row>
    <row r="138" spans="1:9" ht="15.75" customHeight="1" x14ac:dyDescent="0.35">
      <c r="A138" s="55" t="s">
        <v>168</v>
      </c>
      <c r="B138" s="55" t="s">
        <v>176</v>
      </c>
      <c r="C138" s="55">
        <v>92</v>
      </c>
      <c r="D138" s="58">
        <v>0.14000000000000001</v>
      </c>
      <c r="E138" s="55">
        <v>22.5</v>
      </c>
      <c r="F138" s="55">
        <v>0</v>
      </c>
      <c r="G138" s="57">
        <v>4</v>
      </c>
      <c r="H138" s="48">
        <v>1</v>
      </c>
      <c r="I138" s="48">
        <v>2</v>
      </c>
    </row>
    <row r="139" spans="1:9" ht="15.75" customHeight="1" x14ac:dyDescent="0.35">
      <c r="A139" s="55" t="s">
        <v>168</v>
      </c>
      <c r="B139" s="55" t="s">
        <v>177</v>
      </c>
      <c r="C139" s="55">
        <v>97</v>
      </c>
      <c r="D139" s="58">
        <v>4.5999999999999996</v>
      </c>
      <c r="E139" s="55">
        <v>24.3</v>
      </c>
      <c r="F139" s="55">
        <v>0</v>
      </c>
      <c r="G139" s="57">
        <v>3</v>
      </c>
      <c r="H139" s="48">
        <v>17</v>
      </c>
      <c r="I139" s="48">
        <v>24</v>
      </c>
    </row>
    <row r="140" spans="1:9" ht="15.75" customHeight="1" x14ac:dyDescent="0.35">
      <c r="A140" s="55" t="s">
        <v>168</v>
      </c>
      <c r="B140" s="55" t="s">
        <v>200</v>
      </c>
      <c r="C140" s="55">
        <v>99</v>
      </c>
      <c r="D140" s="58">
        <v>24.2</v>
      </c>
      <c r="E140" s="55">
        <v>26.1</v>
      </c>
      <c r="F140" s="55">
        <v>0</v>
      </c>
      <c r="G140" s="57">
        <v>5</v>
      </c>
      <c r="H140" s="48">
        <v>1</v>
      </c>
      <c r="I140" s="48">
        <v>1</v>
      </c>
    </row>
    <row r="141" spans="1:9" ht="15.75" customHeight="1" x14ac:dyDescent="0.35">
      <c r="A141" s="55" t="s">
        <v>168</v>
      </c>
      <c r="B141" s="55" t="s">
        <v>200</v>
      </c>
      <c r="C141" s="55">
        <v>99</v>
      </c>
      <c r="D141" s="58">
        <v>24.2</v>
      </c>
      <c r="E141" s="55">
        <v>26.1</v>
      </c>
      <c r="F141" s="55">
        <v>0</v>
      </c>
      <c r="G141" s="57">
        <v>5</v>
      </c>
      <c r="H141" s="48">
        <v>11</v>
      </c>
      <c r="I141" s="48">
        <v>11</v>
      </c>
    </row>
    <row r="142" spans="1:9" ht="15.75" customHeight="1" x14ac:dyDescent="0.35">
      <c r="A142" s="55" t="s">
        <v>168</v>
      </c>
      <c r="B142" s="55" t="s">
        <v>200</v>
      </c>
      <c r="C142" s="55">
        <v>84</v>
      </c>
      <c r="D142" s="58">
        <v>0.17</v>
      </c>
      <c r="E142" s="55">
        <v>24</v>
      </c>
      <c r="F142" s="55">
        <v>0</v>
      </c>
      <c r="G142" s="57">
        <v>5</v>
      </c>
      <c r="H142" s="48">
        <v>2</v>
      </c>
      <c r="I142" s="48">
        <v>2</v>
      </c>
    </row>
    <row r="143" spans="1:9" ht="15.75" customHeight="1" x14ac:dyDescent="0.35">
      <c r="A143" s="55" t="s">
        <v>168</v>
      </c>
      <c r="B143" s="55" t="s">
        <v>180</v>
      </c>
      <c r="C143" s="55">
        <v>97</v>
      </c>
      <c r="D143" s="58">
        <v>1.08</v>
      </c>
      <c r="E143" s="55">
        <v>25.4</v>
      </c>
      <c r="F143" s="55">
        <v>0</v>
      </c>
      <c r="G143" s="57">
        <v>5</v>
      </c>
      <c r="H143" s="48">
        <v>6</v>
      </c>
      <c r="I143" s="48">
        <v>8</v>
      </c>
    </row>
    <row r="144" spans="1:9" ht="15.75" customHeight="1" x14ac:dyDescent="0.35">
      <c r="A144" s="55" t="s">
        <v>168</v>
      </c>
      <c r="B144" s="55" t="s">
        <v>180</v>
      </c>
      <c r="C144" s="55">
        <v>97</v>
      </c>
      <c r="D144" s="58">
        <v>1.08</v>
      </c>
      <c r="E144" s="55">
        <v>25.4</v>
      </c>
      <c r="F144" s="55">
        <v>0</v>
      </c>
      <c r="G144" s="57">
        <v>5</v>
      </c>
      <c r="H144" s="48">
        <v>9</v>
      </c>
      <c r="I144" s="48">
        <v>9</v>
      </c>
    </row>
    <row r="145" spans="1:9" ht="15.75" customHeight="1" x14ac:dyDescent="0.35">
      <c r="A145" s="55" t="s">
        <v>168</v>
      </c>
      <c r="B145" s="48" t="s">
        <v>180</v>
      </c>
      <c r="C145" s="48">
        <v>80</v>
      </c>
      <c r="D145" s="76">
        <v>0.04</v>
      </c>
      <c r="E145" s="48">
        <v>25.3</v>
      </c>
      <c r="F145" s="48">
        <v>0</v>
      </c>
      <c r="G145" s="49">
        <v>5</v>
      </c>
      <c r="H145" s="48">
        <v>0</v>
      </c>
      <c r="I145" s="48">
        <v>0</v>
      </c>
    </row>
    <row r="146" spans="1:9" ht="15.75" customHeight="1" x14ac:dyDescent="0.35">
      <c r="A146" s="55" t="s">
        <v>168</v>
      </c>
      <c r="B146" s="48" t="s">
        <v>181</v>
      </c>
      <c r="C146" s="48">
        <v>87</v>
      </c>
      <c r="D146" s="76">
        <v>9.8000000000000007</v>
      </c>
      <c r="E146" s="48">
        <v>34.5</v>
      </c>
      <c r="F146" s="48">
        <v>0</v>
      </c>
      <c r="G146" s="49">
        <v>3</v>
      </c>
      <c r="H146" s="48">
        <v>4</v>
      </c>
      <c r="I146" s="48">
        <v>4</v>
      </c>
    </row>
    <row r="147" spans="1:9" ht="15.75" customHeight="1" x14ac:dyDescent="0.35">
      <c r="A147" s="55" t="s">
        <v>168</v>
      </c>
      <c r="B147" s="48" t="s">
        <v>181</v>
      </c>
      <c r="C147" s="48">
        <v>87</v>
      </c>
      <c r="D147" s="76">
        <v>9.8000000000000007</v>
      </c>
      <c r="E147" s="48">
        <v>34.5</v>
      </c>
      <c r="F147" s="48">
        <v>0</v>
      </c>
      <c r="G147" s="49">
        <v>3</v>
      </c>
      <c r="H147" s="48">
        <v>3</v>
      </c>
      <c r="I147" s="48">
        <v>3</v>
      </c>
    </row>
    <row r="148" spans="1:9" ht="15.75" customHeight="1" x14ac:dyDescent="0.35">
      <c r="A148" s="55" t="s">
        <v>168</v>
      </c>
      <c r="B148" s="48" t="s">
        <v>181</v>
      </c>
      <c r="C148" s="48">
        <v>80</v>
      </c>
      <c r="D148" s="76">
        <v>1.5</v>
      </c>
      <c r="E148" s="48">
        <v>26.9</v>
      </c>
      <c r="F148" s="48">
        <v>0</v>
      </c>
      <c r="G148" s="49">
        <v>3</v>
      </c>
      <c r="H148" s="48">
        <v>3</v>
      </c>
      <c r="I148" s="48">
        <v>4</v>
      </c>
    </row>
    <row r="149" spans="1:9" ht="15.75" customHeight="1" x14ac:dyDescent="0.35">
      <c r="A149" s="55" t="s">
        <v>168</v>
      </c>
      <c r="B149" s="48" t="s">
        <v>198</v>
      </c>
      <c r="C149" s="48">
        <v>81</v>
      </c>
      <c r="D149" s="76">
        <v>36.6</v>
      </c>
      <c r="E149" s="48">
        <v>31.4</v>
      </c>
      <c r="F149" s="48">
        <v>0.8</v>
      </c>
      <c r="G149" s="49">
        <v>3</v>
      </c>
      <c r="H149" s="48">
        <v>7</v>
      </c>
      <c r="I149" s="48">
        <v>7</v>
      </c>
    </row>
    <row r="150" spans="1:9" ht="15.75" customHeight="1" x14ac:dyDescent="0.35">
      <c r="A150" s="55" t="s">
        <v>168</v>
      </c>
      <c r="B150" s="48" t="s">
        <v>198</v>
      </c>
      <c r="C150" s="48">
        <v>79</v>
      </c>
      <c r="D150" s="76">
        <v>13.35</v>
      </c>
      <c r="E150" s="48">
        <v>29.2</v>
      </c>
      <c r="F150" s="48">
        <v>0</v>
      </c>
      <c r="G150" s="49">
        <v>3</v>
      </c>
      <c r="H150" s="48">
        <v>2</v>
      </c>
      <c r="I150" s="48">
        <v>2</v>
      </c>
    </row>
    <row r="151" spans="1:9" ht="15.75" customHeight="1" x14ac:dyDescent="0.35">
      <c r="A151" s="55" t="s">
        <v>168</v>
      </c>
      <c r="B151" s="48" t="s">
        <v>183</v>
      </c>
      <c r="C151" s="48">
        <v>89</v>
      </c>
      <c r="D151" s="76">
        <v>1.1000000000000001</v>
      </c>
      <c r="E151" s="48">
        <v>22.3</v>
      </c>
      <c r="F151" s="48">
        <v>0</v>
      </c>
      <c r="G151" s="49">
        <v>3</v>
      </c>
      <c r="H151" s="48">
        <v>7</v>
      </c>
      <c r="I151" s="48">
        <v>10</v>
      </c>
    </row>
    <row r="152" spans="1:9" ht="15.75" customHeight="1" x14ac:dyDescent="0.35">
      <c r="A152" s="55" t="s">
        <v>168</v>
      </c>
      <c r="B152" s="48" t="s">
        <v>183</v>
      </c>
      <c r="C152" s="48">
        <v>89</v>
      </c>
      <c r="D152" s="76">
        <v>1</v>
      </c>
      <c r="E152" s="48">
        <v>22.2</v>
      </c>
      <c r="F152" s="48">
        <v>0</v>
      </c>
      <c r="G152" s="49">
        <v>3</v>
      </c>
      <c r="H152" s="48">
        <v>4</v>
      </c>
      <c r="I152" s="48">
        <v>4</v>
      </c>
    </row>
    <row r="153" spans="1:9" ht="15.75" customHeight="1" x14ac:dyDescent="0.35">
      <c r="A153" s="55" t="s">
        <v>168</v>
      </c>
      <c r="B153" s="48" t="s">
        <v>183</v>
      </c>
      <c r="C153" s="48">
        <v>72</v>
      </c>
      <c r="D153" s="48">
        <v>0.75</v>
      </c>
      <c r="E153" s="48">
        <v>25</v>
      </c>
      <c r="F153" s="48">
        <v>0.9</v>
      </c>
      <c r="G153" s="49">
        <v>3</v>
      </c>
      <c r="H153" s="48">
        <v>2</v>
      </c>
      <c r="I153" s="48">
        <v>3</v>
      </c>
    </row>
    <row r="154" spans="1:9" ht="15.75" customHeight="1" x14ac:dyDescent="0.35">
      <c r="A154" s="55" t="s">
        <v>168</v>
      </c>
      <c r="B154" s="48" t="s">
        <v>186</v>
      </c>
      <c r="C154" s="48">
        <v>76</v>
      </c>
      <c r="D154" s="76">
        <v>1.53</v>
      </c>
      <c r="E154" s="48">
        <v>25.4</v>
      </c>
      <c r="F154" s="48">
        <v>0</v>
      </c>
      <c r="G154" s="49">
        <v>6</v>
      </c>
      <c r="H154" s="48">
        <v>4</v>
      </c>
      <c r="I154" s="48">
        <v>5</v>
      </c>
    </row>
    <row r="155" spans="1:9" ht="15.75" customHeight="1" x14ac:dyDescent="0.35">
      <c r="A155" s="48" t="s">
        <v>172</v>
      </c>
      <c r="B155" s="48" t="s">
        <v>176</v>
      </c>
      <c r="C155" s="48">
        <v>81</v>
      </c>
      <c r="D155" s="76">
        <v>1.6</v>
      </c>
      <c r="E155" s="48">
        <v>26.5</v>
      </c>
      <c r="F155" s="48">
        <v>0</v>
      </c>
      <c r="G155" s="49">
        <v>4</v>
      </c>
      <c r="H155" s="48">
        <v>12</v>
      </c>
      <c r="I155" s="48">
        <v>18</v>
      </c>
    </row>
    <row r="156" spans="1:9" ht="15.75" customHeight="1" x14ac:dyDescent="0.35">
      <c r="A156" s="48" t="s">
        <v>172</v>
      </c>
      <c r="B156" s="48" t="s">
        <v>177</v>
      </c>
      <c r="C156" s="48">
        <v>96</v>
      </c>
      <c r="D156" s="76">
        <v>1.1299999999999999</v>
      </c>
      <c r="E156" s="48">
        <v>26.4</v>
      </c>
      <c r="F156" s="48">
        <v>0</v>
      </c>
      <c r="G156" s="49">
        <v>3</v>
      </c>
      <c r="H156" s="48">
        <v>5</v>
      </c>
      <c r="I156" s="48">
        <v>5</v>
      </c>
    </row>
    <row r="157" spans="1:9" ht="15.75" customHeight="1" x14ac:dyDescent="0.35">
      <c r="A157" s="48" t="s">
        <v>172</v>
      </c>
      <c r="B157" s="48" t="s">
        <v>200</v>
      </c>
      <c r="C157" s="48">
        <v>99</v>
      </c>
      <c r="D157" s="76">
        <v>0.28000000000000003</v>
      </c>
      <c r="E157" s="48">
        <v>23.5</v>
      </c>
      <c r="F157" s="48">
        <v>0</v>
      </c>
      <c r="G157" s="49">
        <v>5</v>
      </c>
      <c r="H157" s="48">
        <v>7</v>
      </c>
      <c r="I157" s="48">
        <v>10</v>
      </c>
    </row>
    <row r="158" spans="1:9" ht="15.75" customHeight="1" x14ac:dyDescent="0.35">
      <c r="A158" s="48" t="s">
        <v>172</v>
      </c>
      <c r="B158" s="48" t="s">
        <v>180</v>
      </c>
      <c r="C158" s="48">
        <v>96</v>
      </c>
      <c r="D158" s="76">
        <v>0.64</v>
      </c>
      <c r="E158" s="48">
        <v>24.9</v>
      </c>
      <c r="F158" s="48">
        <v>0</v>
      </c>
      <c r="G158" s="49">
        <v>5</v>
      </c>
      <c r="H158" s="48">
        <v>9</v>
      </c>
      <c r="I158" s="48">
        <v>9</v>
      </c>
    </row>
    <row r="159" spans="1:9" ht="15.75" customHeight="1" x14ac:dyDescent="0.35">
      <c r="A159" s="48" t="s">
        <v>172</v>
      </c>
      <c r="B159" s="48" t="s">
        <v>181</v>
      </c>
      <c r="C159" s="48">
        <v>98</v>
      </c>
      <c r="D159" s="76">
        <v>2.2799999999999998</v>
      </c>
      <c r="E159" s="48">
        <v>23.7</v>
      </c>
      <c r="F159" s="48">
        <v>0</v>
      </c>
      <c r="G159" s="49">
        <v>3</v>
      </c>
      <c r="H159" s="48">
        <v>4</v>
      </c>
      <c r="I159" s="48">
        <v>4</v>
      </c>
    </row>
    <row r="160" spans="1:9" ht="15.75" customHeight="1" x14ac:dyDescent="0.35">
      <c r="A160" s="48" t="s">
        <v>172</v>
      </c>
      <c r="B160" s="48" t="s">
        <v>198</v>
      </c>
      <c r="C160" s="48">
        <v>99</v>
      </c>
      <c r="D160" s="76">
        <v>7.2350000000000003</v>
      </c>
      <c r="E160" s="48">
        <v>24.6</v>
      </c>
      <c r="F160" s="48">
        <v>1.4</v>
      </c>
      <c r="G160" s="49">
        <v>3</v>
      </c>
      <c r="H160" s="48">
        <v>10</v>
      </c>
      <c r="I160" s="48">
        <v>16</v>
      </c>
    </row>
    <row r="161" spans="1:9" ht="15.75" customHeight="1" x14ac:dyDescent="0.35">
      <c r="A161" s="48" t="s">
        <v>172</v>
      </c>
      <c r="B161" s="48" t="s">
        <v>183</v>
      </c>
      <c r="C161" s="48">
        <v>92</v>
      </c>
      <c r="D161" s="76">
        <v>44.68</v>
      </c>
      <c r="E161" s="48">
        <v>23.2</v>
      </c>
      <c r="F161" s="48">
        <v>0.6</v>
      </c>
      <c r="G161" s="49">
        <v>3</v>
      </c>
      <c r="H161" s="48">
        <v>8</v>
      </c>
      <c r="I161" s="48">
        <v>9</v>
      </c>
    </row>
    <row r="162" spans="1:9" ht="15.75" customHeight="1" x14ac:dyDescent="0.35">
      <c r="A162" s="48" t="s">
        <v>172</v>
      </c>
      <c r="B162" s="48" t="s">
        <v>183</v>
      </c>
      <c r="C162" s="48">
        <v>84</v>
      </c>
      <c r="D162" s="76">
        <v>0.5</v>
      </c>
      <c r="E162" s="48">
        <v>25.9</v>
      </c>
      <c r="F162" s="48">
        <v>0</v>
      </c>
      <c r="G162" s="49">
        <v>3</v>
      </c>
      <c r="H162" s="48">
        <v>4</v>
      </c>
      <c r="I162" s="48">
        <v>4</v>
      </c>
    </row>
    <row r="163" spans="1:9" ht="15.75" customHeight="1" x14ac:dyDescent="0.35">
      <c r="A163" s="48" t="s">
        <v>172</v>
      </c>
      <c r="B163" s="48" t="s">
        <v>186</v>
      </c>
      <c r="C163" s="48">
        <v>83</v>
      </c>
      <c r="D163" s="76">
        <v>1.1299999999999999</v>
      </c>
      <c r="E163" s="48">
        <v>25.5</v>
      </c>
      <c r="F163" s="48">
        <v>0</v>
      </c>
      <c r="G163" s="49">
        <v>6</v>
      </c>
      <c r="H163" s="48">
        <v>9</v>
      </c>
      <c r="I163" s="48">
        <v>19</v>
      </c>
    </row>
    <row r="164" spans="1:9" ht="15.75" customHeight="1" x14ac:dyDescent="0.35">
      <c r="D164" s="76"/>
    </row>
    <row r="165" spans="1:9" ht="15.75" customHeight="1" x14ac:dyDescent="0.35">
      <c r="D165" s="76"/>
    </row>
    <row r="166" spans="1:9" ht="15.75" customHeight="1" x14ac:dyDescent="0.35">
      <c r="D166" s="76"/>
    </row>
    <row r="167" spans="1:9" ht="15.75" customHeight="1" x14ac:dyDescent="0.35">
      <c r="D167" s="76"/>
    </row>
    <row r="168" spans="1:9" ht="15.75" customHeight="1" x14ac:dyDescent="0.35">
      <c r="D168" s="76"/>
    </row>
    <row r="169" spans="1:9" ht="15.75" customHeight="1" x14ac:dyDescent="0.35">
      <c r="D169" s="76"/>
    </row>
    <row r="170" spans="1:9" ht="15.75" customHeight="1" x14ac:dyDescent="0.35">
      <c r="D170" s="76"/>
    </row>
    <row r="171" spans="1:9" ht="15.75" customHeight="1" x14ac:dyDescent="0.35">
      <c r="D171" s="76"/>
    </row>
    <row r="172" spans="1:9" ht="15.75" customHeight="1" x14ac:dyDescent="0.35">
      <c r="D172" s="76"/>
    </row>
    <row r="173" spans="1:9" ht="15.75" customHeight="1" x14ac:dyDescent="0.35">
      <c r="D173" s="76"/>
    </row>
    <row r="174" spans="1:9" ht="15.75" customHeight="1" x14ac:dyDescent="0.35">
      <c r="D174" s="76"/>
    </row>
    <row r="175" spans="1:9" ht="15.75" customHeight="1" x14ac:dyDescent="0.35">
      <c r="D175" s="76"/>
    </row>
    <row r="176" spans="1:9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/>
    <row r="237" spans="4:4" ht="15.75" customHeight="1" x14ac:dyDescent="0.35"/>
    <row r="238" spans="4:4" ht="15.75" customHeight="1" x14ac:dyDescent="0.35"/>
    <row r="239" spans="4:4" ht="15.75" customHeight="1" x14ac:dyDescent="0.35"/>
    <row r="240" spans="4: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autoFilter ref="A2:I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"/>
  <sheetViews>
    <sheetView topLeftCell="E1" workbookViewId="0">
      <selection activeCell="J1" sqref="J1:J1048576"/>
    </sheetView>
  </sheetViews>
  <sheetFormatPr defaultRowHeight="14.5" x14ac:dyDescent="0.35"/>
  <sheetData>
    <row r="1" spans="1:11" ht="120" x14ac:dyDescent="0.35">
      <c r="A1" s="51" t="s">
        <v>196</v>
      </c>
      <c r="B1" s="51" t="s">
        <v>187</v>
      </c>
      <c r="C1" s="52" t="s">
        <v>188</v>
      </c>
      <c r="D1" s="54" t="s">
        <v>189</v>
      </c>
      <c r="E1" s="52" t="s">
        <v>190</v>
      </c>
      <c r="F1" s="52" t="s">
        <v>191</v>
      </c>
      <c r="G1" s="52" t="s">
        <v>192</v>
      </c>
      <c r="H1" s="52" t="s">
        <v>197</v>
      </c>
      <c r="I1" s="53" t="s">
        <v>194</v>
      </c>
      <c r="J1" s="48" t="s">
        <v>195</v>
      </c>
      <c r="K1" s="48" t="s">
        <v>175</v>
      </c>
    </row>
    <row r="2" spans="1:11" x14ac:dyDescent="0.35">
      <c r="A2" s="55" t="s">
        <v>146</v>
      </c>
      <c r="B2" s="61" t="s">
        <v>176</v>
      </c>
      <c r="C2" s="55">
        <v>99</v>
      </c>
      <c r="D2" s="70">
        <v>0.27700000000000002</v>
      </c>
      <c r="E2" s="55">
        <v>26.4</v>
      </c>
      <c r="F2" s="55">
        <v>0</v>
      </c>
      <c r="G2" s="55">
        <v>100</v>
      </c>
      <c r="H2" s="55">
        <v>2000</v>
      </c>
      <c r="I2" s="57">
        <v>4</v>
      </c>
      <c r="J2" s="48">
        <v>6</v>
      </c>
      <c r="K2" s="48">
        <v>22</v>
      </c>
    </row>
    <row r="3" spans="1:11" x14ac:dyDescent="0.35">
      <c r="A3" s="55" t="s">
        <v>146</v>
      </c>
      <c r="B3" s="61" t="s">
        <v>177</v>
      </c>
      <c r="C3" s="55">
        <v>92</v>
      </c>
      <c r="D3" s="58">
        <v>0.78</v>
      </c>
      <c r="E3" s="55">
        <v>24.6</v>
      </c>
      <c r="F3" s="55">
        <v>0</v>
      </c>
      <c r="G3" s="55">
        <v>5</v>
      </c>
      <c r="H3" s="55">
        <v>2000</v>
      </c>
      <c r="I3" s="57">
        <v>3</v>
      </c>
      <c r="J3" s="48">
        <v>9</v>
      </c>
      <c r="K3" s="48">
        <v>14</v>
      </c>
    </row>
    <row r="4" spans="1:11" x14ac:dyDescent="0.35">
      <c r="A4" s="55" t="s">
        <v>146</v>
      </c>
      <c r="B4" s="61" t="s">
        <v>200</v>
      </c>
      <c r="C4" s="55">
        <v>94</v>
      </c>
      <c r="D4" s="70">
        <v>0.50800000000000001</v>
      </c>
      <c r="E4" s="55">
        <v>24.8</v>
      </c>
      <c r="F4" s="55">
        <v>0</v>
      </c>
      <c r="G4" s="55">
        <v>5</v>
      </c>
      <c r="H4" s="55">
        <v>2000</v>
      </c>
      <c r="I4" s="57">
        <v>5</v>
      </c>
      <c r="J4" s="48">
        <v>8</v>
      </c>
      <c r="K4" s="48">
        <v>8</v>
      </c>
    </row>
    <row r="5" spans="1:11" x14ac:dyDescent="0.35">
      <c r="A5" s="55" t="s">
        <v>146</v>
      </c>
      <c r="B5" s="61" t="s">
        <v>200</v>
      </c>
      <c r="C5" s="55">
        <v>94</v>
      </c>
      <c r="D5" s="70">
        <v>0.5</v>
      </c>
      <c r="E5" s="55">
        <v>24.8</v>
      </c>
      <c r="F5" s="55">
        <v>0</v>
      </c>
      <c r="G5" s="55">
        <v>100</v>
      </c>
      <c r="H5" s="55">
        <v>870</v>
      </c>
      <c r="I5" s="57">
        <v>5</v>
      </c>
      <c r="J5" s="48">
        <v>2</v>
      </c>
      <c r="K5" s="48">
        <v>6</v>
      </c>
    </row>
    <row r="6" spans="1:11" x14ac:dyDescent="0.35">
      <c r="A6" s="55" t="s">
        <v>146</v>
      </c>
      <c r="B6" s="61" t="s">
        <v>200</v>
      </c>
      <c r="C6" s="59">
        <v>94</v>
      </c>
      <c r="D6" s="70">
        <v>0.5</v>
      </c>
      <c r="E6" s="55">
        <v>23</v>
      </c>
      <c r="F6" s="55">
        <v>0</v>
      </c>
      <c r="G6" s="55">
        <v>100</v>
      </c>
      <c r="H6" s="55">
        <v>2000</v>
      </c>
      <c r="I6" s="57">
        <v>5</v>
      </c>
      <c r="J6" s="48">
        <v>5</v>
      </c>
      <c r="K6" s="48">
        <v>5</v>
      </c>
    </row>
    <row r="7" spans="1:1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22</v>
      </c>
      <c r="F7" s="55">
        <v>0</v>
      </c>
      <c r="G7" s="55">
        <v>100</v>
      </c>
      <c r="H7" s="55">
        <v>2000</v>
      </c>
      <c r="I7" s="57">
        <v>5</v>
      </c>
      <c r="J7" s="48">
        <v>1</v>
      </c>
      <c r="K7" s="48">
        <v>1</v>
      </c>
    </row>
    <row r="8" spans="1:11" x14ac:dyDescent="0.35">
      <c r="A8" s="55" t="s">
        <v>146</v>
      </c>
      <c r="B8" s="61" t="s">
        <v>181</v>
      </c>
      <c r="C8" s="55">
        <v>99</v>
      </c>
      <c r="D8" s="58">
        <v>7.59</v>
      </c>
      <c r="E8" s="55">
        <v>23.9</v>
      </c>
      <c r="F8" s="55">
        <v>0</v>
      </c>
      <c r="G8" s="55">
        <v>100</v>
      </c>
      <c r="H8" s="55">
        <v>870</v>
      </c>
      <c r="I8" s="57">
        <v>3</v>
      </c>
      <c r="J8" s="48">
        <v>5</v>
      </c>
      <c r="K8" s="48">
        <v>6</v>
      </c>
    </row>
    <row r="9" spans="1:11" x14ac:dyDescent="0.35">
      <c r="A9" s="55" t="s">
        <v>146</v>
      </c>
      <c r="B9" s="61" t="s">
        <v>198</v>
      </c>
      <c r="C9" s="55">
        <v>99</v>
      </c>
      <c r="D9" s="58">
        <v>13.05</v>
      </c>
      <c r="E9" s="55">
        <v>25.9</v>
      </c>
      <c r="F9" s="55">
        <v>0.45</v>
      </c>
      <c r="G9" s="55">
        <v>100</v>
      </c>
      <c r="H9" s="55">
        <v>870</v>
      </c>
      <c r="I9" s="57">
        <v>3</v>
      </c>
      <c r="J9" s="48">
        <v>4</v>
      </c>
      <c r="K9" s="48">
        <v>4</v>
      </c>
    </row>
    <row r="10" spans="1:11" x14ac:dyDescent="0.35">
      <c r="A10" s="55" t="s">
        <v>146</v>
      </c>
      <c r="B10" s="61" t="s">
        <v>199</v>
      </c>
      <c r="C10" s="55">
        <v>93</v>
      </c>
      <c r="D10" s="58">
        <v>6.64</v>
      </c>
      <c r="E10" s="55">
        <v>26</v>
      </c>
      <c r="F10" s="55">
        <v>0</v>
      </c>
      <c r="G10" s="55">
        <v>100</v>
      </c>
      <c r="H10" s="55">
        <v>870</v>
      </c>
      <c r="I10" s="57">
        <v>2</v>
      </c>
      <c r="J10" s="48">
        <v>7</v>
      </c>
      <c r="K10" s="48">
        <v>13</v>
      </c>
    </row>
    <row r="11" spans="1:11" x14ac:dyDescent="0.35">
      <c r="A11" s="55" t="s">
        <v>146</v>
      </c>
      <c r="B11" s="61" t="s">
        <v>199</v>
      </c>
      <c r="C11" s="55">
        <v>59</v>
      </c>
      <c r="D11" s="58">
        <v>39.5</v>
      </c>
      <c r="E11" s="55">
        <v>31.13</v>
      </c>
      <c r="F11" s="55">
        <v>2.1</v>
      </c>
      <c r="G11" s="55">
        <v>100</v>
      </c>
      <c r="H11" s="55">
        <v>2000</v>
      </c>
      <c r="I11" s="57">
        <v>2</v>
      </c>
      <c r="J11" s="48">
        <v>4</v>
      </c>
      <c r="K11" s="48">
        <v>9</v>
      </c>
    </row>
    <row r="12" spans="1:11" x14ac:dyDescent="0.35">
      <c r="A12" s="55" t="s">
        <v>146</v>
      </c>
      <c r="B12" s="61" t="s">
        <v>199</v>
      </c>
      <c r="C12" s="55">
        <v>80</v>
      </c>
      <c r="D12" s="58">
        <v>6.56</v>
      </c>
      <c r="E12" s="55">
        <v>23.9</v>
      </c>
      <c r="F12" s="55">
        <v>0</v>
      </c>
      <c r="G12" s="55">
        <v>100</v>
      </c>
      <c r="H12" s="55">
        <v>2000</v>
      </c>
      <c r="I12" s="57">
        <v>2</v>
      </c>
      <c r="J12" s="48">
        <v>0</v>
      </c>
      <c r="K12" s="48">
        <v>0</v>
      </c>
    </row>
    <row r="13" spans="1:11" x14ac:dyDescent="0.35">
      <c r="A13" s="55" t="s">
        <v>146</v>
      </c>
      <c r="B13" s="61" t="s">
        <v>183</v>
      </c>
      <c r="C13" s="55">
        <v>79</v>
      </c>
      <c r="D13" s="58">
        <v>15.5</v>
      </c>
      <c r="E13" s="55">
        <v>28.3</v>
      </c>
      <c r="F13" s="55">
        <v>0</v>
      </c>
      <c r="G13" s="55">
        <v>100</v>
      </c>
      <c r="H13" s="55">
        <v>1360</v>
      </c>
      <c r="I13" s="57">
        <v>3</v>
      </c>
      <c r="J13" s="48">
        <v>3</v>
      </c>
      <c r="K13" s="48">
        <v>3</v>
      </c>
    </row>
    <row r="14" spans="1:11" x14ac:dyDescent="0.35">
      <c r="A14" s="55" t="s">
        <v>146</v>
      </c>
      <c r="B14" s="61" t="s">
        <v>183</v>
      </c>
      <c r="C14" s="55">
        <v>79</v>
      </c>
      <c r="D14" s="58">
        <v>4.87</v>
      </c>
      <c r="E14" s="55">
        <v>25.2</v>
      </c>
      <c r="F14" s="55">
        <v>0</v>
      </c>
      <c r="G14" s="55">
        <v>100</v>
      </c>
      <c r="H14" s="55">
        <v>2000</v>
      </c>
      <c r="I14" s="57">
        <v>3</v>
      </c>
      <c r="J14" s="48">
        <v>0</v>
      </c>
      <c r="K14" s="48">
        <v>0</v>
      </c>
    </row>
    <row r="15" spans="1:11" x14ac:dyDescent="0.35">
      <c r="A15" s="55" t="s">
        <v>146</v>
      </c>
      <c r="B15" s="61" t="s">
        <v>185</v>
      </c>
      <c r="C15" s="55">
        <v>86</v>
      </c>
      <c r="D15" s="58">
        <v>19.5</v>
      </c>
      <c r="E15" s="55">
        <v>27.4</v>
      </c>
      <c r="F15" s="55">
        <v>2.9</v>
      </c>
      <c r="G15" s="55">
        <v>100</v>
      </c>
      <c r="H15" s="55">
        <v>1360</v>
      </c>
      <c r="I15" s="57">
        <v>1</v>
      </c>
      <c r="J15" s="48">
        <v>3</v>
      </c>
      <c r="K15" s="48">
        <v>5</v>
      </c>
    </row>
    <row r="16" spans="1:11" x14ac:dyDescent="0.35">
      <c r="A16" s="55" t="s">
        <v>146</v>
      </c>
      <c r="B16" s="61" t="s">
        <v>186</v>
      </c>
      <c r="C16" s="55">
        <v>79</v>
      </c>
      <c r="D16" s="58">
        <v>0.56999999999999995</v>
      </c>
      <c r="E16" s="55">
        <v>24.8</v>
      </c>
      <c r="F16" s="55">
        <v>0</v>
      </c>
      <c r="G16" s="55">
        <v>100</v>
      </c>
      <c r="H16" s="55">
        <v>1360</v>
      </c>
      <c r="I16" s="57">
        <v>6</v>
      </c>
      <c r="J16" s="48">
        <v>3</v>
      </c>
      <c r="K16" s="48">
        <v>4</v>
      </c>
    </row>
    <row r="17" spans="1:11" x14ac:dyDescent="0.35">
      <c r="A17" s="55" t="s">
        <v>146</v>
      </c>
      <c r="B17" s="61" t="s">
        <v>186</v>
      </c>
      <c r="C17" s="55">
        <v>96</v>
      </c>
      <c r="D17" s="58">
        <v>15.05</v>
      </c>
      <c r="E17" s="55">
        <v>30.2</v>
      </c>
      <c r="F17" s="55">
        <v>0</v>
      </c>
      <c r="G17" s="55">
        <v>100</v>
      </c>
      <c r="H17" s="55">
        <v>2000</v>
      </c>
      <c r="I17" s="57">
        <v>6</v>
      </c>
      <c r="J17" s="48">
        <v>2</v>
      </c>
      <c r="K17" s="48">
        <v>6</v>
      </c>
    </row>
    <row r="18" spans="1:11" x14ac:dyDescent="0.35">
      <c r="A18" s="55" t="s">
        <v>146</v>
      </c>
      <c r="B18" s="55" t="s">
        <v>186</v>
      </c>
      <c r="C18" s="55">
        <v>57</v>
      </c>
      <c r="D18" s="58">
        <v>153.19999999999999</v>
      </c>
      <c r="E18" s="55">
        <v>30.2</v>
      </c>
      <c r="F18" s="55">
        <v>0.4</v>
      </c>
      <c r="G18" s="55">
        <v>100</v>
      </c>
      <c r="H18" s="55">
        <v>2000</v>
      </c>
      <c r="I18" s="57">
        <v>6</v>
      </c>
      <c r="J18" s="48">
        <v>2</v>
      </c>
      <c r="K18" s="48">
        <v>3</v>
      </c>
    </row>
    <row r="19" spans="1:11" x14ac:dyDescent="0.35">
      <c r="A19" s="55" t="s">
        <v>153</v>
      </c>
      <c r="B19" s="61" t="s">
        <v>176</v>
      </c>
      <c r="C19" s="55">
        <v>98</v>
      </c>
      <c r="D19" s="58">
        <v>7.54</v>
      </c>
      <c r="E19" s="55">
        <v>25.8</v>
      </c>
      <c r="F19" s="55">
        <v>0</v>
      </c>
      <c r="G19" s="55">
        <v>100</v>
      </c>
      <c r="H19" s="55">
        <v>2000</v>
      </c>
      <c r="I19" s="57">
        <v>4</v>
      </c>
      <c r="J19" s="48">
        <v>5</v>
      </c>
      <c r="K19" s="48">
        <v>7</v>
      </c>
    </row>
    <row r="20" spans="1:11" x14ac:dyDescent="0.35">
      <c r="A20" s="55" t="s">
        <v>153</v>
      </c>
      <c r="B20" s="61" t="s">
        <v>176</v>
      </c>
      <c r="C20" s="55">
        <v>99</v>
      </c>
      <c r="D20" s="58">
        <v>6.06</v>
      </c>
      <c r="E20" s="55">
        <v>25.35</v>
      </c>
      <c r="F20" s="55">
        <v>0</v>
      </c>
      <c r="G20" s="55">
        <v>100</v>
      </c>
      <c r="H20" s="55">
        <v>580</v>
      </c>
      <c r="I20" s="57">
        <v>4</v>
      </c>
      <c r="J20" s="48">
        <v>9</v>
      </c>
      <c r="K20" s="48">
        <v>9</v>
      </c>
    </row>
    <row r="21" spans="1:11" x14ac:dyDescent="0.35">
      <c r="A21" s="55" t="s">
        <v>153</v>
      </c>
      <c r="B21" s="61" t="s">
        <v>177</v>
      </c>
      <c r="C21" s="55">
        <v>98</v>
      </c>
      <c r="D21" s="58">
        <v>0.77</v>
      </c>
      <c r="E21" s="55">
        <v>22.6</v>
      </c>
      <c r="F21" s="55">
        <v>0</v>
      </c>
      <c r="G21" s="55">
        <v>100</v>
      </c>
      <c r="H21" s="55">
        <v>580</v>
      </c>
      <c r="I21" s="57">
        <v>3</v>
      </c>
      <c r="J21" s="48">
        <v>8</v>
      </c>
      <c r="K21" s="48">
        <v>14</v>
      </c>
    </row>
    <row r="22" spans="1:11" x14ac:dyDescent="0.35">
      <c r="A22" s="55" t="s">
        <v>153</v>
      </c>
      <c r="B22" s="61" t="s">
        <v>177</v>
      </c>
      <c r="C22" s="55">
        <v>82</v>
      </c>
      <c r="D22" s="70">
        <v>0.19800000000000001</v>
      </c>
      <c r="E22" s="55">
        <v>24.3</v>
      </c>
      <c r="F22" s="55">
        <v>0</v>
      </c>
      <c r="G22" s="55">
        <v>20</v>
      </c>
      <c r="H22" s="55">
        <v>2000</v>
      </c>
      <c r="I22" s="57">
        <v>3</v>
      </c>
      <c r="J22" s="48">
        <v>9</v>
      </c>
      <c r="K22" s="48">
        <v>12</v>
      </c>
    </row>
    <row r="23" spans="1:11" x14ac:dyDescent="0.35">
      <c r="A23" s="55" t="s">
        <v>153</v>
      </c>
      <c r="B23" s="61" t="s">
        <v>200</v>
      </c>
      <c r="C23" s="55">
        <v>98</v>
      </c>
      <c r="D23" s="58">
        <v>3.69</v>
      </c>
      <c r="E23" s="55">
        <v>22.35</v>
      </c>
      <c r="F23" s="55">
        <v>0</v>
      </c>
      <c r="G23" s="55">
        <v>0</v>
      </c>
      <c r="H23" s="55">
        <v>870</v>
      </c>
      <c r="I23" s="57">
        <v>5</v>
      </c>
      <c r="J23" s="48">
        <v>3</v>
      </c>
      <c r="K23" s="48">
        <v>7</v>
      </c>
    </row>
    <row r="24" spans="1:11" x14ac:dyDescent="0.35">
      <c r="A24" s="55" t="s">
        <v>153</v>
      </c>
      <c r="B24" s="61" t="s">
        <v>200</v>
      </c>
      <c r="C24" s="55">
        <v>98</v>
      </c>
      <c r="D24" s="58">
        <v>3.69</v>
      </c>
      <c r="E24" s="55">
        <v>22.35</v>
      </c>
      <c r="F24" s="55">
        <v>0</v>
      </c>
      <c r="G24" s="55">
        <v>0</v>
      </c>
      <c r="H24" s="55">
        <v>870</v>
      </c>
      <c r="I24" s="57">
        <v>5</v>
      </c>
      <c r="J24" s="48">
        <v>13</v>
      </c>
      <c r="K24" s="48">
        <v>14</v>
      </c>
    </row>
    <row r="25" spans="1:11" x14ac:dyDescent="0.35">
      <c r="A25" s="55" t="s">
        <v>153</v>
      </c>
      <c r="B25" s="61" t="s">
        <v>200</v>
      </c>
      <c r="C25" s="55">
        <v>90</v>
      </c>
      <c r="D25" s="70">
        <v>3.5000000000000003E-2</v>
      </c>
      <c r="E25" s="55">
        <v>24.2</v>
      </c>
      <c r="F25" s="55">
        <v>0</v>
      </c>
      <c r="G25" s="55">
        <v>20</v>
      </c>
      <c r="H25" s="55">
        <v>2000</v>
      </c>
      <c r="I25" s="57">
        <v>5</v>
      </c>
      <c r="J25" s="48">
        <v>1</v>
      </c>
      <c r="K25" s="48">
        <v>1</v>
      </c>
    </row>
    <row r="26" spans="1:11" x14ac:dyDescent="0.35">
      <c r="A26" s="55" t="s">
        <v>153</v>
      </c>
      <c r="B26" s="61" t="s">
        <v>200</v>
      </c>
      <c r="C26" s="55">
        <v>61</v>
      </c>
      <c r="D26" s="70">
        <v>9.4E-2</v>
      </c>
      <c r="E26" s="55">
        <v>25.5</v>
      </c>
      <c r="F26" s="55">
        <v>0</v>
      </c>
      <c r="G26" s="55">
        <v>15</v>
      </c>
      <c r="H26" s="55">
        <v>2000</v>
      </c>
      <c r="I26" s="57">
        <v>5</v>
      </c>
      <c r="J26" s="48">
        <v>6</v>
      </c>
      <c r="K26" s="48">
        <v>8</v>
      </c>
    </row>
    <row r="27" spans="1:11" x14ac:dyDescent="0.35">
      <c r="A27" s="55" t="s">
        <v>153</v>
      </c>
      <c r="B27" s="61" t="s">
        <v>200</v>
      </c>
      <c r="C27" s="55">
        <v>65</v>
      </c>
      <c r="D27" s="70">
        <v>3.5000000000000003E-2</v>
      </c>
      <c r="E27" s="55">
        <v>25.7</v>
      </c>
      <c r="F27" s="55">
        <v>0</v>
      </c>
      <c r="G27" s="55">
        <v>100</v>
      </c>
      <c r="H27" s="55">
        <v>2000</v>
      </c>
      <c r="I27" s="57">
        <v>5</v>
      </c>
      <c r="J27" s="48">
        <v>3</v>
      </c>
      <c r="K27" s="48">
        <v>3</v>
      </c>
    </row>
    <row r="28" spans="1:11" x14ac:dyDescent="0.35">
      <c r="A28" s="55" t="s">
        <v>153</v>
      </c>
      <c r="B28" s="61" t="s">
        <v>180</v>
      </c>
      <c r="C28" s="55">
        <v>85</v>
      </c>
      <c r="D28" s="58">
        <v>3.81</v>
      </c>
      <c r="E28" s="55">
        <v>25</v>
      </c>
      <c r="F28" s="55">
        <v>0</v>
      </c>
      <c r="G28" s="55">
        <v>78.33</v>
      </c>
      <c r="H28" s="55">
        <v>870</v>
      </c>
      <c r="I28" s="57">
        <v>5</v>
      </c>
      <c r="J28" s="48">
        <v>3</v>
      </c>
      <c r="K28" s="48">
        <v>3</v>
      </c>
    </row>
    <row r="29" spans="1:11" x14ac:dyDescent="0.35">
      <c r="A29" s="55" t="s">
        <v>153</v>
      </c>
      <c r="B29" s="61" t="s">
        <v>180</v>
      </c>
      <c r="C29" s="55">
        <v>61</v>
      </c>
      <c r="D29" s="58">
        <v>4.78</v>
      </c>
      <c r="E29" s="55">
        <v>28.7</v>
      </c>
      <c r="F29" s="55">
        <v>0</v>
      </c>
      <c r="G29" s="55">
        <v>100</v>
      </c>
      <c r="H29" s="55">
        <v>2000</v>
      </c>
      <c r="I29" s="57">
        <v>5</v>
      </c>
      <c r="J29" s="48">
        <v>0</v>
      </c>
      <c r="K29" s="48">
        <v>0</v>
      </c>
    </row>
    <row r="30" spans="1:11" x14ac:dyDescent="0.35">
      <c r="A30" s="55" t="s">
        <v>153</v>
      </c>
      <c r="B30" s="61" t="s">
        <v>180</v>
      </c>
      <c r="C30" s="55">
        <v>47</v>
      </c>
      <c r="D30" s="70">
        <v>0.74399999999999999</v>
      </c>
      <c r="E30" s="55">
        <v>29.9</v>
      </c>
      <c r="F30" s="55">
        <v>0</v>
      </c>
      <c r="G30" s="55">
        <v>2</v>
      </c>
      <c r="H30" s="55">
        <v>2000</v>
      </c>
      <c r="I30" s="57">
        <v>5</v>
      </c>
      <c r="J30" s="48">
        <v>2</v>
      </c>
      <c r="K30" s="48">
        <v>2</v>
      </c>
    </row>
    <row r="31" spans="1:11" x14ac:dyDescent="0.35">
      <c r="A31" s="55" t="s">
        <v>153</v>
      </c>
      <c r="B31" s="61" t="s">
        <v>180</v>
      </c>
      <c r="C31" s="55">
        <v>50</v>
      </c>
      <c r="D31" s="70">
        <v>0.7</v>
      </c>
      <c r="E31" s="55">
        <v>26.3</v>
      </c>
      <c r="F31" s="55">
        <v>0</v>
      </c>
      <c r="G31" s="55">
        <v>100</v>
      </c>
      <c r="H31" s="55">
        <v>2000</v>
      </c>
      <c r="I31" s="57">
        <v>5</v>
      </c>
      <c r="J31" s="48">
        <v>2</v>
      </c>
      <c r="K31" s="48">
        <v>5</v>
      </c>
    </row>
    <row r="32" spans="1:11" x14ac:dyDescent="0.35">
      <c r="A32" s="55" t="s">
        <v>153</v>
      </c>
      <c r="B32" s="61" t="s">
        <v>181</v>
      </c>
      <c r="C32" s="55">
        <v>85</v>
      </c>
      <c r="D32" s="58">
        <v>13.84</v>
      </c>
      <c r="E32" s="55">
        <v>26.7</v>
      </c>
      <c r="F32" s="55">
        <v>0</v>
      </c>
      <c r="G32" s="55">
        <v>100</v>
      </c>
      <c r="H32" s="55">
        <v>870</v>
      </c>
      <c r="I32" s="57">
        <v>3</v>
      </c>
      <c r="J32" s="48">
        <v>4</v>
      </c>
      <c r="K32" s="48">
        <v>6</v>
      </c>
    </row>
    <row r="33" spans="1:11" x14ac:dyDescent="0.35">
      <c r="A33" s="55" t="s">
        <v>153</v>
      </c>
      <c r="B33" s="61" t="s">
        <v>181</v>
      </c>
      <c r="C33" s="55">
        <v>55</v>
      </c>
      <c r="D33" s="58">
        <v>55.3</v>
      </c>
      <c r="E33" s="55">
        <v>30.2</v>
      </c>
      <c r="F33" s="55">
        <v>0</v>
      </c>
      <c r="G33" s="55">
        <v>100</v>
      </c>
      <c r="H33" s="55">
        <v>2000</v>
      </c>
      <c r="I33" s="57">
        <v>3</v>
      </c>
      <c r="J33" s="48">
        <v>0</v>
      </c>
      <c r="K33" s="48">
        <v>0</v>
      </c>
    </row>
    <row r="34" spans="1:11" x14ac:dyDescent="0.35">
      <c r="A34" s="55" t="s">
        <v>153</v>
      </c>
      <c r="B34" s="61" t="s">
        <v>181</v>
      </c>
      <c r="C34" s="55">
        <v>51</v>
      </c>
      <c r="D34" s="58">
        <v>26.78</v>
      </c>
      <c r="E34" s="55">
        <v>30.7</v>
      </c>
      <c r="F34" s="55">
        <v>0</v>
      </c>
      <c r="G34" s="55">
        <v>23.33</v>
      </c>
      <c r="H34" s="55">
        <v>2000</v>
      </c>
      <c r="I34" s="57">
        <v>3</v>
      </c>
      <c r="J34" s="48">
        <v>2</v>
      </c>
      <c r="K34" s="48">
        <v>2</v>
      </c>
    </row>
    <row r="35" spans="1:11" x14ac:dyDescent="0.35">
      <c r="A35" s="55" t="s">
        <v>153</v>
      </c>
      <c r="B35" s="61" t="s">
        <v>198</v>
      </c>
      <c r="C35" s="55">
        <v>90</v>
      </c>
      <c r="D35" s="58">
        <v>8.44</v>
      </c>
      <c r="E35" s="55">
        <v>27.4</v>
      </c>
      <c r="F35" s="55">
        <v>0.8</v>
      </c>
      <c r="G35" s="55">
        <v>100</v>
      </c>
      <c r="H35" s="55">
        <v>870</v>
      </c>
      <c r="I35" s="57">
        <v>3</v>
      </c>
      <c r="J35" s="48">
        <v>12</v>
      </c>
      <c r="K35" s="48">
        <v>17</v>
      </c>
    </row>
    <row r="36" spans="1:11" x14ac:dyDescent="0.35">
      <c r="A36" s="55" t="s">
        <v>153</v>
      </c>
      <c r="B36" s="56" t="s">
        <v>198</v>
      </c>
      <c r="C36" s="55">
        <v>58</v>
      </c>
      <c r="D36" s="58">
        <v>30.1</v>
      </c>
      <c r="E36" s="55">
        <v>29.1</v>
      </c>
      <c r="F36" s="55">
        <v>0</v>
      </c>
      <c r="G36" s="55">
        <v>98.75</v>
      </c>
      <c r="H36" s="55">
        <v>2000</v>
      </c>
      <c r="I36" s="57">
        <v>3</v>
      </c>
      <c r="J36" s="48">
        <v>2</v>
      </c>
      <c r="K36" s="48">
        <v>2</v>
      </c>
    </row>
    <row r="37" spans="1:11" x14ac:dyDescent="0.35">
      <c r="A37" s="55" t="s">
        <v>153</v>
      </c>
      <c r="B37" s="61" t="s">
        <v>199</v>
      </c>
      <c r="C37" s="55">
        <v>77</v>
      </c>
      <c r="D37" s="70">
        <v>1.79</v>
      </c>
      <c r="E37" s="55">
        <v>23.98</v>
      </c>
      <c r="F37" s="55">
        <v>0.83</v>
      </c>
      <c r="G37" s="55">
        <v>100</v>
      </c>
      <c r="H37" s="55">
        <v>1100</v>
      </c>
      <c r="I37" s="57">
        <v>2</v>
      </c>
      <c r="J37" s="48">
        <v>3</v>
      </c>
      <c r="K37" s="48">
        <v>3</v>
      </c>
    </row>
    <row r="38" spans="1:11" x14ac:dyDescent="0.35">
      <c r="A38" s="55" t="s">
        <v>153</v>
      </c>
      <c r="B38" s="61" t="s">
        <v>199</v>
      </c>
      <c r="C38" s="55">
        <v>78</v>
      </c>
      <c r="D38" s="70">
        <v>20.350000000000001</v>
      </c>
      <c r="E38" s="55">
        <v>22.55</v>
      </c>
      <c r="F38" s="55">
        <v>0</v>
      </c>
      <c r="G38" s="55">
        <v>38.33</v>
      </c>
      <c r="H38" s="48">
        <v>1420</v>
      </c>
      <c r="I38" s="57">
        <v>2</v>
      </c>
      <c r="J38" s="48">
        <v>6</v>
      </c>
      <c r="K38" s="48">
        <v>14</v>
      </c>
    </row>
    <row r="39" spans="1:11" x14ac:dyDescent="0.35">
      <c r="A39" s="55" t="s">
        <v>153</v>
      </c>
      <c r="B39" s="61" t="s">
        <v>199</v>
      </c>
      <c r="C39" s="55">
        <v>98</v>
      </c>
      <c r="D39" s="70">
        <v>3.05</v>
      </c>
      <c r="E39" s="55">
        <v>21.7</v>
      </c>
      <c r="F39" s="55">
        <v>0.9</v>
      </c>
      <c r="G39" s="55">
        <v>100</v>
      </c>
      <c r="H39" s="55">
        <v>2000</v>
      </c>
      <c r="I39" s="57">
        <v>2</v>
      </c>
      <c r="J39" s="48">
        <v>1</v>
      </c>
      <c r="K39" s="48">
        <v>1</v>
      </c>
    </row>
    <row r="40" spans="1:11" x14ac:dyDescent="0.35">
      <c r="A40" s="55" t="s">
        <v>153</v>
      </c>
      <c r="B40" s="61" t="s">
        <v>199</v>
      </c>
      <c r="C40" s="55">
        <v>77</v>
      </c>
      <c r="D40" s="70">
        <v>12.54</v>
      </c>
      <c r="E40" s="55">
        <v>25.3</v>
      </c>
      <c r="F40" s="55">
        <v>1</v>
      </c>
      <c r="G40" s="55">
        <v>100</v>
      </c>
      <c r="H40" s="55">
        <v>2000</v>
      </c>
      <c r="I40" s="57">
        <v>2</v>
      </c>
      <c r="J40" s="48">
        <v>1</v>
      </c>
      <c r="K40" s="48">
        <v>5</v>
      </c>
    </row>
    <row r="41" spans="1:11" x14ac:dyDescent="0.35">
      <c r="A41" s="55" t="s">
        <v>153</v>
      </c>
      <c r="B41" s="61" t="s">
        <v>183</v>
      </c>
      <c r="C41" s="55">
        <v>95</v>
      </c>
      <c r="D41" s="58">
        <v>10.69</v>
      </c>
      <c r="E41" s="55">
        <v>22.8</v>
      </c>
      <c r="F41" s="55">
        <v>1.2</v>
      </c>
      <c r="G41" s="55">
        <v>100</v>
      </c>
      <c r="H41" s="55">
        <v>1100</v>
      </c>
      <c r="I41" s="57">
        <v>3</v>
      </c>
      <c r="J41" s="48">
        <v>4</v>
      </c>
      <c r="K41" s="48">
        <v>7</v>
      </c>
    </row>
    <row r="42" spans="1:11" x14ac:dyDescent="0.35">
      <c r="A42" s="55" t="s">
        <v>153</v>
      </c>
      <c r="B42" s="61" t="s">
        <v>183</v>
      </c>
      <c r="C42" s="55">
        <v>95</v>
      </c>
      <c r="D42" s="58">
        <v>5.99</v>
      </c>
      <c r="E42" s="55">
        <v>25.7</v>
      </c>
      <c r="F42" s="55">
        <v>0</v>
      </c>
      <c r="G42" s="55">
        <v>100</v>
      </c>
      <c r="H42" s="55">
        <v>1420</v>
      </c>
      <c r="I42" s="57">
        <v>3</v>
      </c>
      <c r="J42" s="48">
        <v>5</v>
      </c>
      <c r="K42" s="48">
        <v>7</v>
      </c>
    </row>
    <row r="43" spans="1:11" x14ac:dyDescent="0.35">
      <c r="A43" s="55" t="s">
        <v>153</v>
      </c>
      <c r="B43" s="56" t="s">
        <v>183</v>
      </c>
      <c r="C43" s="55">
        <v>98</v>
      </c>
      <c r="D43" s="58">
        <v>3.61</v>
      </c>
      <c r="E43" s="55">
        <v>23</v>
      </c>
      <c r="F43" s="55">
        <v>0</v>
      </c>
      <c r="G43" s="55">
        <v>100</v>
      </c>
      <c r="H43" s="55">
        <v>2000</v>
      </c>
      <c r="I43" s="57">
        <v>3</v>
      </c>
      <c r="J43" s="48">
        <v>0</v>
      </c>
      <c r="K43" s="48">
        <v>0</v>
      </c>
    </row>
    <row r="44" spans="1:11" x14ac:dyDescent="0.35">
      <c r="A44" s="55" t="s">
        <v>153</v>
      </c>
      <c r="B44" s="61" t="s">
        <v>183</v>
      </c>
      <c r="C44" s="55">
        <v>80</v>
      </c>
      <c r="D44" s="58">
        <v>6.89</v>
      </c>
      <c r="E44" s="55">
        <v>24.3</v>
      </c>
      <c r="F44" s="55">
        <v>0.87</v>
      </c>
      <c r="G44" s="55">
        <v>100</v>
      </c>
      <c r="H44" s="55">
        <v>2000</v>
      </c>
      <c r="I44" s="57">
        <v>3</v>
      </c>
      <c r="J44" s="48">
        <v>2</v>
      </c>
      <c r="K44" s="48">
        <v>2</v>
      </c>
    </row>
    <row r="45" spans="1:11" x14ac:dyDescent="0.35">
      <c r="A45" s="55" t="s">
        <v>153</v>
      </c>
      <c r="B45" s="61" t="s">
        <v>185</v>
      </c>
      <c r="C45" s="55">
        <v>80</v>
      </c>
      <c r="D45" s="70">
        <v>14.7</v>
      </c>
      <c r="E45" s="55">
        <v>24.13</v>
      </c>
      <c r="F45" s="55">
        <v>2.1</v>
      </c>
      <c r="G45" s="55">
        <v>100</v>
      </c>
      <c r="H45" s="55">
        <v>1420</v>
      </c>
      <c r="I45" s="57">
        <v>1</v>
      </c>
      <c r="J45" s="48">
        <v>3</v>
      </c>
      <c r="K45" s="48">
        <v>11</v>
      </c>
    </row>
    <row r="46" spans="1:11" x14ac:dyDescent="0.35">
      <c r="A46" s="55" t="s">
        <v>153</v>
      </c>
      <c r="B46" s="61" t="s">
        <v>185</v>
      </c>
      <c r="C46" s="55">
        <v>99</v>
      </c>
      <c r="D46" s="70">
        <v>12.46</v>
      </c>
      <c r="E46" s="55">
        <v>22.9</v>
      </c>
      <c r="F46" s="55">
        <v>0</v>
      </c>
      <c r="G46" s="55">
        <v>100</v>
      </c>
      <c r="H46" s="55">
        <v>1420</v>
      </c>
      <c r="I46" s="57">
        <v>1</v>
      </c>
      <c r="J46" s="48">
        <v>4</v>
      </c>
      <c r="K46" s="48">
        <v>5</v>
      </c>
    </row>
    <row r="47" spans="1:11" x14ac:dyDescent="0.35">
      <c r="A47" s="55" t="s">
        <v>153</v>
      </c>
      <c r="B47" s="56" t="s">
        <v>185</v>
      </c>
      <c r="C47" s="55">
        <v>99</v>
      </c>
      <c r="D47" s="58">
        <v>8.2799999999999994</v>
      </c>
      <c r="E47" s="55">
        <v>24.2</v>
      </c>
      <c r="F47" s="55">
        <v>0</v>
      </c>
      <c r="G47" s="55">
        <v>100</v>
      </c>
      <c r="H47" s="55">
        <v>2000</v>
      </c>
      <c r="I47" s="57">
        <v>1</v>
      </c>
      <c r="J47" s="48">
        <v>0</v>
      </c>
      <c r="K47" s="48">
        <v>0</v>
      </c>
    </row>
    <row r="48" spans="1:11" x14ac:dyDescent="0.35">
      <c r="A48" s="55" t="s">
        <v>153</v>
      </c>
      <c r="B48" s="56" t="s">
        <v>185</v>
      </c>
      <c r="C48" s="55">
        <v>99</v>
      </c>
      <c r="D48" s="58">
        <v>7.19</v>
      </c>
      <c r="E48" s="55">
        <v>23.4</v>
      </c>
      <c r="F48" s="55">
        <v>1.5</v>
      </c>
      <c r="G48" s="55">
        <v>100</v>
      </c>
      <c r="H48" s="55">
        <v>2000</v>
      </c>
      <c r="I48" s="57">
        <v>1</v>
      </c>
      <c r="J48" s="48">
        <v>0</v>
      </c>
      <c r="K48" s="48">
        <v>0</v>
      </c>
    </row>
    <row r="49" spans="1:11" x14ac:dyDescent="0.35">
      <c r="A49" s="55" t="s">
        <v>153</v>
      </c>
      <c r="B49" s="61" t="s">
        <v>186</v>
      </c>
      <c r="C49" s="55">
        <v>95</v>
      </c>
      <c r="D49" s="58">
        <v>1.44</v>
      </c>
      <c r="E49" s="55">
        <v>25.1</v>
      </c>
      <c r="F49" s="55">
        <v>0</v>
      </c>
      <c r="G49" s="55">
        <v>100</v>
      </c>
      <c r="H49" s="55">
        <v>1420</v>
      </c>
      <c r="I49" s="57">
        <v>6</v>
      </c>
      <c r="J49" s="48">
        <v>2</v>
      </c>
      <c r="K49" s="48">
        <v>7</v>
      </c>
    </row>
    <row r="50" spans="1:11" x14ac:dyDescent="0.35">
      <c r="A50" s="55" t="s">
        <v>153</v>
      </c>
      <c r="B50" s="61" t="s">
        <v>186</v>
      </c>
      <c r="C50" s="55">
        <v>99</v>
      </c>
      <c r="D50" s="58">
        <v>0.54</v>
      </c>
      <c r="E50" s="55">
        <v>21.9</v>
      </c>
      <c r="F50" s="55">
        <v>0</v>
      </c>
      <c r="G50" s="55">
        <v>100</v>
      </c>
      <c r="H50" s="55">
        <v>1420</v>
      </c>
      <c r="I50" s="57">
        <v>6</v>
      </c>
      <c r="J50" s="48">
        <v>3</v>
      </c>
      <c r="K50" s="48">
        <v>3</v>
      </c>
    </row>
    <row r="51" spans="1:11" x14ac:dyDescent="0.35">
      <c r="A51" s="55" t="s">
        <v>153</v>
      </c>
      <c r="B51" s="61" t="s">
        <v>186</v>
      </c>
      <c r="C51" s="55">
        <v>99</v>
      </c>
      <c r="D51" s="58">
        <v>0.63</v>
      </c>
      <c r="E51" s="55">
        <v>25.1</v>
      </c>
      <c r="F51" s="55">
        <v>0</v>
      </c>
      <c r="G51" s="55">
        <v>100</v>
      </c>
      <c r="H51" s="55">
        <v>2000</v>
      </c>
      <c r="I51" s="57">
        <v>6</v>
      </c>
      <c r="J51" s="48">
        <v>3</v>
      </c>
      <c r="K51" s="48">
        <v>8</v>
      </c>
    </row>
    <row r="52" spans="1:11" x14ac:dyDescent="0.35">
      <c r="A52" s="55" t="s">
        <v>153</v>
      </c>
      <c r="B52" s="61" t="s">
        <v>186</v>
      </c>
      <c r="C52" s="55">
        <v>99</v>
      </c>
      <c r="D52" s="58">
        <v>1.67</v>
      </c>
      <c r="E52" s="55">
        <v>25.2</v>
      </c>
      <c r="F52" s="55">
        <v>0</v>
      </c>
      <c r="G52" s="55">
        <v>100</v>
      </c>
      <c r="H52" s="55">
        <v>2000</v>
      </c>
      <c r="I52" s="57">
        <v>6</v>
      </c>
      <c r="J52" s="48">
        <v>3</v>
      </c>
      <c r="K52" s="48">
        <v>4</v>
      </c>
    </row>
    <row r="53" spans="1:11" x14ac:dyDescent="0.35">
      <c r="A53" s="55" t="s">
        <v>158</v>
      </c>
      <c r="B53" s="61" t="s">
        <v>176</v>
      </c>
      <c r="C53" s="55">
        <v>96</v>
      </c>
      <c r="D53" s="58">
        <v>1.1399999999999999</v>
      </c>
      <c r="E53" s="55">
        <v>26.4</v>
      </c>
      <c r="F53" s="55">
        <v>0</v>
      </c>
      <c r="G53" s="55">
        <v>22</v>
      </c>
      <c r="H53" s="55">
        <v>550</v>
      </c>
      <c r="I53" s="57">
        <v>4</v>
      </c>
      <c r="J53" s="48">
        <v>4</v>
      </c>
      <c r="K53" s="48">
        <v>7</v>
      </c>
    </row>
    <row r="54" spans="1:11" x14ac:dyDescent="0.35">
      <c r="A54" s="55" t="s">
        <v>158</v>
      </c>
      <c r="B54" s="61" t="s">
        <v>176</v>
      </c>
      <c r="C54" s="55">
        <v>99</v>
      </c>
      <c r="D54" s="58">
        <v>8.51</v>
      </c>
      <c r="E54" s="55">
        <v>26.5</v>
      </c>
      <c r="F54" s="55">
        <v>0</v>
      </c>
      <c r="G54" s="55">
        <v>36.659999999999997</v>
      </c>
      <c r="H54" s="55">
        <v>2000</v>
      </c>
      <c r="I54" s="57">
        <v>4</v>
      </c>
      <c r="J54" s="48">
        <v>9</v>
      </c>
      <c r="K54" s="48">
        <v>9</v>
      </c>
    </row>
    <row r="55" spans="1:11" x14ac:dyDescent="0.35">
      <c r="A55" s="55" t="s">
        <v>158</v>
      </c>
      <c r="B55" s="61" t="s">
        <v>176</v>
      </c>
      <c r="C55" s="55">
        <v>99</v>
      </c>
      <c r="D55" s="58">
        <v>8.52</v>
      </c>
      <c r="E55" s="55">
        <v>26.5</v>
      </c>
      <c r="F55" s="55">
        <v>0</v>
      </c>
      <c r="G55" s="55">
        <v>100</v>
      </c>
      <c r="H55" s="55">
        <v>2000</v>
      </c>
      <c r="I55" s="57">
        <v>4</v>
      </c>
      <c r="J55" s="48">
        <v>5</v>
      </c>
      <c r="K55" s="48">
        <v>6</v>
      </c>
    </row>
    <row r="56" spans="1:11" x14ac:dyDescent="0.35">
      <c r="A56" s="55" t="s">
        <v>158</v>
      </c>
      <c r="B56" s="61" t="s">
        <v>178</v>
      </c>
      <c r="C56" s="55">
        <v>99</v>
      </c>
      <c r="D56" s="58">
        <v>6.93</v>
      </c>
      <c r="E56" s="55">
        <v>23.5</v>
      </c>
      <c r="F56" s="55">
        <v>0</v>
      </c>
      <c r="G56" s="55">
        <v>98</v>
      </c>
      <c r="H56" s="55">
        <v>2000</v>
      </c>
      <c r="I56" s="57">
        <v>3</v>
      </c>
      <c r="J56" s="48">
        <v>7</v>
      </c>
      <c r="K56" s="48">
        <v>7</v>
      </c>
    </row>
    <row r="57" spans="1:11" x14ac:dyDescent="0.35">
      <c r="A57" s="55" t="s">
        <v>158</v>
      </c>
      <c r="B57" s="61" t="s">
        <v>178</v>
      </c>
      <c r="C57" s="55">
        <v>99</v>
      </c>
      <c r="D57" s="58">
        <v>6.8</v>
      </c>
      <c r="E57" s="55">
        <v>23.5</v>
      </c>
      <c r="F57" s="55">
        <v>0</v>
      </c>
      <c r="G57" s="55">
        <v>100</v>
      </c>
      <c r="H57" s="55">
        <v>2000</v>
      </c>
      <c r="I57" s="57">
        <v>3</v>
      </c>
      <c r="J57" s="48">
        <v>1</v>
      </c>
      <c r="K57" s="48">
        <v>1</v>
      </c>
    </row>
    <row r="58" spans="1:11" x14ac:dyDescent="0.35">
      <c r="A58" s="55" t="s">
        <v>158</v>
      </c>
      <c r="B58" s="61" t="s">
        <v>200</v>
      </c>
      <c r="C58" s="55">
        <v>89</v>
      </c>
      <c r="D58" s="58">
        <v>2.74</v>
      </c>
      <c r="E58" s="55">
        <v>23.5</v>
      </c>
      <c r="F58" s="55">
        <v>0</v>
      </c>
      <c r="G58" s="55">
        <v>0</v>
      </c>
      <c r="H58" s="55">
        <v>700</v>
      </c>
      <c r="I58" s="57">
        <v>5</v>
      </c>
      <c r="J58" s="48">
        <v>13</v>
      </c>
      <c r="K58" s="48">
        <v>16</v>
      </c>
    </row>
    <row r="59" spans="1:11" x14ac:dyDescent="0.35">
      <c r="A59" s="55" t="s">
        <v>158</v>
      </c>
      <c r="B59" s="61" t="s">
        <v>200</v>
      </c>
      <c r="C59" s="55">
        <v>99</v>
      </c>
      <c r="D59" s="58">
        <v>0.32</v>
      </c>
      <c r="E59" s="55">
        <v>21.5</v>
      </c>
      <c r="F59" s="55">
        <v>0</v>
      </c>
      <c r="G59" s="55">
        <v>100</v>
      </c>
      <c r="H59" s="55">
        <v>2000</v>
      </c>
      <c r="I59" s="57">
        <v>5</v>
      </c>
      <c r="J59" s="48">
        <v>3</v>
      </c>
      <c r="K59" s="48">
        <v>3</v>
      </c>
    </row>
    <row r="60" spans="1:11" x14ac:dyDescent="0.35">
      <c r="A60" s="55" t="s">
        <v>158</v>
      </c>
      <c r="B60" s="61" t="s">
        <v>200</v>
      </c>
      <c r="C60" s="55">
        <v>87</v>
      </c>
      <c r="D60" s="58">
        <v>0.03</v>
      </c>
      <c r="E60" s="55">
        <v>23.2</v>
      </c>
      <c r="F60" s="55">
        <v>0</v>
      </c>
      <c r="G60" s="55">
        <v>100</v>
      </c>
      <c r="H60" s="55">
        <v>2000</v>
      </c>
      <c r="I60" s="57">
        <v>5</v>
      </c>
      <c r="J60" s="48">
        <v>3</v>
      </c>
      <c r="K60" s="48">
        <v>3</v>
      </c>
    </row>
    <row r="61" spans="1:11" x14ac:dyDescent="0.35">
      <c r="A61" s="55" t="s">
        <v>158</v>
      </c>
      <c r="B61" s="61" t="s">
        <v>200</v>
      </c>
      <c r="C61" s="55">
        <v>85</v>
      </c>
      <c r="D61" s="58">
        <v>0.04</v>
      </c>
      <c r="E61" s="55">
        <v>23.2</v>
      </c>
      <c r="F61" s="55">
        <v>0</v>
      </c>
      <c r="G61" s="55">
        <v>50</v>
      </c>
      <c r="H61" s="55">
        <v>2000</v>
      </c>
      <c r="I61" s="57">
        <v>5</v>
      </c>
      <c r="J61" s="48">
        <v>1</v>
      </c>
      <c r="K61" s="48">
        <v>1</v>
      </c>
    </row>
    <row r="62" spans="1:11" x14ac:dyDescent="0.35">
      <c r="A62" s="55" t="s">
        <v>158</v>
      </c>
      <c r="B62" s="61" t="s">
        <v>180</v>
      </c>
      <c r="C62" s="55">
        <v>88</v>
      </c>
      <c r="D62" s="58">
        <v>0.69</v>
      </c>
      <c r="E62" s="55">
        <v>23.4</v>
      </c>
      <c r="F62" s="55">
        <v>6</v>
      </c>
      <c r="G62" s="55">
        <v>100</v>
      </c>
      <c r="H62" s="55">
        <v>700</v>
      </c>
      <c r="I62" s="57">
        <v>5</v>
      </c>
      <c r="J62" s="48">
        <v>8</v>
      </c>
      <c r="K62" s="48">
        <v>9</v>
      </c>
    </row>
    <row r="63" spans="1:11" x14ac:dyDescent="0.35">
      <c r="A63" s="55" t="s">
        <v>158</v>
      </c>
      <c r="B63" s="61" t="s">
        <v>180</v>
      </c>
      <c r="C63" s="55">
        <v>88</v>
      </c>
      <c r="D63" s="58">
        <v>1.86</v>
      </c>
      <c r="E63" s="55">
        <v>27.2</v>
      </c>
      <c r="F63" s="55">
        <v>0.6</v>
      </c>
      <c r="G63" s="55">
        <v>100</v>
      </c>
      <c r="H63" s="55">
        <v>2000</v>
      </c>
      <c r="I63" s="57">
        <v>5</v>
      </c>
      <c r="J63" s="48">
        <v>4</v>
      </c>
      <c r="K63" s="48">
        <v>4</v>
      </c>
    </row>
    <row r="64" spans="1:11" x14ac:dyDescent="0.35">
      <c r="A64" s="55" t="s">
        <v>158</v>
      </c>
      <c r="B64" s="61" t="s">
        <v>181</v>
      </c>
      <c r="C64" s="55">
        <v>80</v>
      </c>
      <c r="D64" s="58">
        <v>51.6</v>
      </c>
      <c r="E64" s="55">
        <v>28.7</v>
      </c>
      <c r="F64" s="55">
        <v>2.5</v>
      </c>
      <c r="G64" s="55">
        <v>0</v>
      </c>
      <c r="H64" s="55">
        <v>700</v>
      </c>
      <c r="I64" s="57">
        <v>3</v>
      </c>
      <c r="J64" s="48">
        <v>5</v>
      </c>
      <c r="K64" s="48">
        <v>5</v>
      </c>
    </row>
    <row r="65" spans="1:11" x14ac:dyDescent="0.35">
      <c r="A65" s="55" t="s">
        <v>158</v>
      </c>
      <c r="B65" s="61" t="s">
        <v>198</v>
      </c>
      <c r="C65" s="55">
        <v>71</v>
      </c>
      <c r="D65" s="58">
        <v>7.17</v>
      </c>
      <c r="E65" s="55">
        <v>26.1</v>
      </c>
      <c r="F65" s="55">
        <v>1.9</v>
      </c>
      <c r="G65" s="55">
        <v>0</v>
      </c>
      <c r="H65" s="55">
        <v>700</v>
      </c>
      <c r="I65" s="57">
        <v>3</v>
      </c>
      <c r="J65" s="48">
        <v>9</v>
      </c>
      <c r="K65" s="48">
        <v>11</v>
      </c>
    </row>
    <row r="66" spans="1:11" x14ac:dyDescent="0.35">
      <c r="A66" s="55" t="s">
        <v>158</v>
      </c>
      <c r="B66" s="61" t="s">
        <v>198</v>
      </c>
      <c r="C66" s="55">
        <v>74</v>
      </c>
      <c r="D66" s="58">
        <v>7.5</v>
      </c>
      <c r="E66" s="55">
        <v>26</v>
      </c>
      <c r="F66" s="55">
        <v>0</v>
      </c>
      <c r="G66" s="55">
        <v>100</v>
      </c>
      <c r="H66" s="55">
        <v>2000</v>
      </c>
      <c r="I66" s="57">
        <v>3</v>
      </c>
      <c r="J66" s="48">
        <v>1</v>
      </c>
      <c r="K66" s="48">
        <v>1</v>
      </c>
    </row>
    <row r="67" spans="1:11" x14ac:dyDescent="0.35">
      <c r="A67" s="55" t="s">
        <v>158</v>
      </c>
      <c r="B67" s="61" t="s">
        <v>198</v>
      </c>
      <c r="C67" s="55">
        <v>54</v>
      </c>
      <c r="D67" s="58">
        <v>10.85</v>
      </c>
      <c r="E67" s="55">
        <v>28.3</v>
      </c>
      <c r="F67" s="55">
        <v>1.45</v>
      </c>
      <c r="G67" s="55">
        <v>35</v>
      </c>
      <c r="H67" s="55">
        <v>2000</v>
      </c>
      <c r="I67" s="57">
        <v>3</v>
      </c>
      <c r="J67" s="48">
        <v>4</v>
      </c>
      <c r="K67" s="48">
        <v>4</v>
      </c>
    </row>
    <row r="68" spans="1:11" x14ac:dyDescent="0.35">
      <c r="A68" s="55" t="s">
        <v>158</v>
      </c>
      <c r="B68" s="61" t="s">
        <v>199</v>
      </c>
      <c r="C68" s="48">
        <v>72</v>
      </c>
      <c r="D68" s="48">
        <v>17.850000000000001</v>
      </c>
      <c r="E68" s="48">
        <v>26.9</v>
      </c>
      <c r="F68" s="48">
        <v>1.6</v>
      </c>
      <c r="G68" s="48">
        <v>90</v>
      </c>
      <c r="H68" s="55">
        <v>700</v>
      </c>
      <c r="I68" s="57">
        <v>2</v>
      </c>
      <c r="J68" s="48">
        <v>2</v>
      </c>
      <c r="K68" s="48">
        <v>3</v>
      </c>
    </row>
    <row r="69" spans="1:11" x14ac:dyDescent="0.35">
      <c r="A69" s="55" t="s">
        <v>158</v>
      </c>
      <c r="B69" s="61" t="s">
        <v>199</v>
      </c>
      <c r="C69" s="55">
        <v>66</v>
      </c>
      <c r="D69" s="58">
        <v>6.27</v>
      </c>
      <c r="E69" s="55">
        <v>26.2</v>
      </c>
      <c r="F69" s="55">
        <v>0.8</v>
      </c>
      <c r="G69" s="55">
        <v>100</v>
      </c>
      <c r="H69" s="55">
        <v>2000</v>
      </c>
      <c r="I69" s="57">
        <v>2</v>
      </c>
      <c r="J69" s="48">
        <v>1</v>
      </c>
      <c r="K69" s="48">
        <v>1</v>
      </c>
    </row>
    <row r="70" spans="1:11" x14ac:dyDescent="0.35">
      <c r="A70" s="55" t="s">
        <v>158</v>
      </c>
      <c r="B70" s="61" t="s">
        <v>183</v>
      </c>
      <c r="C70" s="55">
        <v>77</v>
      </c>
      <c r="D70" s="58">
        <v>19</v>
      </c>
      <c r="E70" s="55">
        <v>23.9</v>
      </c>
      <c r="F70" s="55">
        <v>0</v>
      </c>
      <c r="G70" s="55">
        <v>100</v>
      </c>
      <c r="H70" s="55">
        <v>2000</v>
      </c>
      <c r="I70" s="57">
        <v>3</v>
      </c>
      <c r="J70" s="48">
        <v>4</v>
      </c>
      <c r="K70" s="48">
        <v>13</v>
      </c>
    </row>
    <row r="71" spans="1:11" x14ac:dyDescent="0.35">
      <c r="A71" s="55" t="s">
        <v>158</v>
      </c>
      <c r="B71" s="61" t="s">
        <v>183</v>
      </c>
      <c r="C71" s="55">
        <v>99</v>
      </c>
      <c r="D71" s="58">
        <v>29.59</v>
      </c>
      <c r="E71" s="55">
        <v>24.9</v>
      </c>
      <c r="F71" s="55">
        <v>0.65</v>
      </c>
      <c r="G71" s="55">
        <v>99</v>
      </c>
      <c r="H71" s="55">
        <v>700</v>
      </c>
      <c r="I71" s="57">
        <v>3</v>
      </c>
      <c r="J71" s="48">
        <v>4</v>
      </c>
      <c r="K71" s="48">
        <v>7</v>
      </c>
    </row>
    <row r="72" spans="1:11" x14ac:dyDescent="0.35">
      <c r="A72" s="55" t="s">
        <v>158</v>
      </c>
      <c r="B72" s="61" t="s">
        <v>183</v>
      </c>
      <c r="C72" s="55">
        <v>74</v>
      </c>
      <c r="D72" s="58">
        <v>1.52</v>
      </c>
      <c r="E72" s="55">
        <v>19.829999999999998</v>
      </c>
      <c r="F72" s="55">
        <v>0.85</v>
      </c>
      <c r="G72" s="55">
        <v>100</v>
      </c>
      <c r="H72" s="55">
        <v>2000</v>
      </c>
      <c r="I72" s="57">
        <v>3</v>
      </c>
      <c r="J72" s="48">
        <v>2</v>
      </c>
      <c r="K72" s="48">
        <v>2</v>
      </c>
    </row>
    <row r="73" spans="1:11" x14ac:dyDescent="0.35">
      <c r="A73" s="55" t="s">
        <v>158</v>
      </c>
      <c r="B73" s="61" t="s">
        <v>185</v>
      </c>
      <c r="C73" s="55">
        <v>99</v>
      </c>
      <c r="D73" s="58">
        <v>27.94</v>
      </c>
      <c r="E73" s="55">
        <v>22.3</v>
      </c>
      <c r="F73" s="55">
        <v>1.2</v>
      </c>
      <c r="G73" s="55">
        <v>100</v>
      </c>
      <c r="H73" s="55">
        <v>700</v>
      </c>
      <c r="I73" s="57">
        <v>1</v>
      </c>
      <c r="J73" s="48">
        <v>5</v>
      </c>
      <c r="K73" s="48">
        <v>15</v>
      </c>
    </row>
    <row r="74" spans="1:11" x14ac:dyDescent="0.35">
      <c r="A74" s="55" t="s">
        <v>158</v>
      </c>
      <c r="B74" s="61" t="s">
        <v>185</v>
      </c>
      <c r="C74" s="55">
        <v>80</v>
      </c>
      <c r="D74" s="58">
        <v>6.81</v>
      </c>
      <c r="E74" s="55">
        <v>19.03</v>
      </c>
      <c r="F74" s="55">
        <v>1.8</v>
      </c>
      <c r="G74" s="55">
        <v>100</v>
      </c>
      <c r="H74" s="55">
        <v>2000</v>
      </c>
      <c r="I74" s="57">
        <v>1</v>
      </c>
      <c r="J74" s="48">
        <v>2</v>
      </c>
      <c r="K74" s="48">
        <v>4</v>
      </c>
    </row>
    <row r="75" spans="1:11" x14ac:dyDescent="0.35">
      <c r="A75" s="55" t="s">
        <v>158</v>
      </c>
      <c r="B75" s="61" t="s">
        <v>186</v>
      </c>
      <c r="C75" s="55">
        <v>95</v>
      </c>
      <c r="D75" s="58">
        <v>0.4</v>
      </c>
      <c r="E75" s="55">
        <v>17.100000000000001</v>
      </c>
      <c r="F75" s="55">
        <v>0</v>
      </c>
      <c r="G75" s="55">
        <v>0</v>
      </c>
      <c r="H75" s="55">
        <v>700</v>
      </c>
      <c r="I75" s="57">
        <v>6</v>
      </c>
      <c r="J75" s="48">
        <v>10</v>
      </c>
      <c r="K75" s="48">
        <v>33</v>
      </c>
    </row>
    <row r="76" spans="1:11" x14ac:dyDescent="0.35">
      <c r="A76" s="55" t="s">
        <v>158</v>
      </c>
      <c r="B76" s="61" t="s">
        <v>186</v>
      </c>
      <c r="C76" s="55">
        <v>95</v>
      </c>
      <c r="D76" s="58">
        <v>0.42</v>
      </c>
      <c r="E76" s="55">
        <v>17.2</v>
      </c>
      <c r="F76" s="55">
        <v>0</v>
      </c>
      <c r="G76" s="55">
        <v>100</v>
      </c>
      <c r="H76" s="55">
        <v>2000</v>
      </c>
      <c r="I76" s="57">
        <v>6</v>
      </c>
      <c r="J76" s="48">
        <v>1</v>
      </c>
      <c r="K76" s="48">
        <v>1</v>
      </c>
    </row>
    <row r="77" spans="1:11" x14ac:dyDescent="0.35">
      <c r="A77" s="55" t="s">
        <v>158</v>
      </c>
      <c r="B77" s="61" t="s">
        <v>186</v>
      </c>
      <c r="C77" s="55">
        <v>95</v>
      </c>
      <c r="D77" s="58">
        <v>0.41</v>
      </c>
      <c r="E77" s="55">
        <v>17.100000000000001</v>
      </c>
      <c r="F77" s="55">
        <v>0</v>
      </c>
      <c r="G77" s="55">
        <v>100</v>
      </c>
      <c r="H77" s="55">
        <v>700</v>
      </c>
      <c r="I77" s="57">
        <v>6</v>
      </c>
      <c r="J77" s="48">
        <v>8</v>
      </c>
      <c r="K77" s="48">
        <v>11</v>
      </c>
    </row>
    <row r="78" spans="1:11" x14ac:dyDescent="0.35">
      <c r="A78" s="55" t="s">
        <v>158</v>
      </c>
      <c r="B78" s="61" t="s">
        <v>186</v>
      </c>
      <c r="C78" s="55">
        <v>87</v>
      </c>
      <c r="D78" s="58">
        <v>0.16</v>
      </c>
      <c r="E78" s="55">
        <v>20.2</v>
      </c>
      <c r="F78" s="55">
        <v>0</v>
      </c>
      <c r="G78" s="55">
        <v>100</v>
      </c>
      <c r="H78" s="55">
        <v>2000</v>
      </c>
      <c r="I78" s="57">
        <v>6</v>
      </c>
      <c r="J78" s="48">
        <v>6</v>
      </c>
      <c r="K78" s="48">
        <v>6</v>
      </c>
    </row>
    <row r="79" spans="1:11" x14ac:dyDescent="0.35">
      <c r="A79" s="55" t="s">
        <v>164</v>
      </c>
      <c r="B79" s="61" t="s">
        <v>176</v>
      </c>
      <c r="C79" s="55">
        <v>89</v>
      </c>
      <c r="D79" s="58">
        <v>1.36</v>
      </c>
      <c r="E79" s="55">
        <v>23.18</v>
      </c>
      <c r="F79" s="55">
        <v>0</v>
      </c>
      <c r="G79" s="55">
        <v>100</v>
      </c>
      <c r="H79" s="55">
        <v>2000</v>
      </c>
      <c r="I79" s="57">
        <v>4</v>
      </c>
      <c r="J79" s="48">
        <v>8</v>
      </c>
      <c r="K79" s="48">
        <v>11</v>
      </c>
    </row>
    <row r="80" spans="1:11" x14ac:dyDescent="0.35">
      <c r="A80" s="55" t="s">
        <v>164</v>
      </c>
      <c r="B80" s="61" t="s">
        <v>177</v>
      </c>
      <c r="C80" s="55">
        <v>94</v>
      </c>
      <c r="D80" s="58">
        <v>7.68</v>
      </c>
      <c r="E80" s="55">
        <v>26.7</v>
      </c>
      <c r="F80" s="55">
        <v>0.75</v>
      </c>
      <c r="G80" s="55">
        <v>100</v>
      </c>
      <c r="H80" s="55">
        <v>2000</v>
      </c>
      <c r="I80" s="57">
        <v>3</v>
      </c>
      <c r="J80" s="48">
        <v>6</v>
      </c>
      <c r="K80" s="48">
        <v>8</v>
      </c>
    </row>
    <row r="81" spans="1:11" x14ac:dyDescent="0.35">
      <c r="A81" s="55" t="s">
        <v>164</v>
      </c>
      <c r="B81" s="61" t="s">
        <v>177</v>
      </c>
      <c r="C81" s="55">
        <v>90</v>
      </c>
      <c r="D81" s="58">
        <v>1.5</v>
      </c>
      <c r="E81" s="55">
        <v>23.4</v>
      </c>
      <c r="F81" s="55">
        <v>0</v>
      </c>
      <c r="G81" s="55">
        <v>100</v>
      </c>
      <c r="H81" s="55">
        <v>2000</v>
      </c>
      <c r="I81" s="57">
        <v>3</v>
      </c>
      <c r="J81" s="48">
        <v>1</v>
      </c>
      <c r="K81" s="48">
        <v>1</v>
      </c>
    </row>
    <row r="82" spans="1:11" x14ac:dyDescent="0.35">
      <c r="A82" s="55" t="s">
        <v>164</v>
      </c>
      <c r="B82" s="61" t="s">
        <v>200</v>
      </c>
      <c r="C82" s="55">
        <v>91</v>
      </c>
      <c r="D82" s="58">
        <v>1.1499999999999999</v>
      </c>
      <c r="E82" s="55">
        <v>24.4</v>
      </c>
      <c r="F82" s="55">
        <v>0</v>
      </c>
      <c r="G82" s="55">
        <v>100</v>
      </c>
      <c r="H82" s="55">
        <v>480</v>
      </c>
      <c r="I82" s="57">
        <v>5</v>
      </c>
      <c r="J82" s="48">
        <v>8</v>
      </c>
      <c r="K82" s="48">
        <v>8</v>
      </c>
    </row>
    <row r="83" spans="1:11" x14ac:dyDescent="0.35">
      <c r="A83" s="55" t="s">
        <v>164</v>
      </c>
      <c r="B83" s="61" t="s">
        <v>200</v>
      </c>
      <c r="C83" s="55">
        <v>94</v>
      </c>
      <c r="D83" s="58">
        <v>1.2</v>
      </c>
      <c r="E83" s="55">
        <v>24.4</v>
      </c>
      <c r="F83" s="55">
        <v>0</v>
      </c>
      <c r="G83" s="55">
        <v>100</v>
      </c>
      <c r="H83" s="55">
        <v>2000</v>
      </c>
      <c r="I83" s="57">
        <v>5</v>
      </c>
      <c r="J83" s="48">
        <v>1</v>
      </c>
      <c r="K83" s="48">
        <v>1</v>
      </c>
    </row>
    <row r="84" spans="1:11" x14ac:dyDescent="0.35">
      <c r="A84" s="55" t="s">
        <v>164</v>
      </c>
      <c r="B84" s="61" t="s">
        <v>200</v>
      </c>
      <c r="C84" s="55">
        <v>85</v>
      </c>
      <c r="D84" s="58">
        <v>1.3</v>
      </c>
      <c r="E84" s="55">
        <v>24.4</v>
      </c>
      <c r="F84" s="55">
        <v>0</v>
      </c>
      <c r="G84" s="55">
        <v>100</v>
      </c>
      <c r="H84" s="55">
        <v>2000</v>
      </c>
      <c r="I84" s="57">
        <v>5</v>
      </c>
      <c r="J84" s="48">
        <v>8</v>
      </c>
      <c r="K84" s="48">
        <v>8</v>
      </c>
    </row>
    <row r="85" spans="1:11" x14ac:dyDescent="0.35">
      <c r="A85" s="55" t="s">
        <v>164</v>
      </c>
      <c r="B85" s="61" t="s">
        <v>180</v>
      </c>
      <c r="C85" s="55">
        <v>91</v>
      </c>
      <c r="D85" s="58">
        <v>0.57999999999999996</v>
      </c>
      <c r="E85" s="55">
        <v>26.4</v>
      </c>
      <c r="F85" s="55">
        <v>0</v>
      </c>
      <c r="G85" s="55">
        <v>100</v>
      </c>
      <c r="H85" s="55">
        <v>780</v>
      </c>
      <c r="I85" s="57">
        <v>5</v>
      </c>
      <c r="J85" s="48">
        <v>10</v>
      </c>
      <c r="K85" s="48">
        <v>10</v>
      </c>
    </row>
    <row r="86" spans="1:11" x14ac:dyDescent="0.35">
      <c r="A86" s="55" t="s">
        <v>164</v>
      </c>
      <c r="B86" s="61" t="s">
        <v>180</v>
      </c>
      <c r="C86" s="55">
        <v>91</v>
      </c>
      <c r="D86" s="58">
        <v>0.81</v>
      </c>
      <c r="E86" s="55">
        <v>23.28</v>
      </c>
      <c r="F86" s="55">
        <v>0</v>
      </c>
      <c r="G86" s="55">
        <v>100</v>
      </c>
      <c r="H86" s="55">
        <v>480</v>
      </c>
      <c r="I86" s="57">
        <v>5</v>
      </c>
      <c r="J86" s="48">
        <v>5</v>
      </c>
      <c r="K86" s="48">
        <v>5</v>
      </c>
    </row>
    <row r="87" spans="1:11" x14ac:dyDescent="0.35">
      <c r="A87" s="55" t="s">
        <v>164</v>
      </c>
      <c r="B87" s="61" t="s">
        <v>181</v>
      </c>
      <c r="C87" s="55">
        <v>91</v>
      </c>
      <c r="D87" s="58">
        <v>0.81</v>
      </c>
      <c r="E87" s="55">
        <v>23.3</v>
      </c>
      <c r="F87" s="55">
        <v>0</v>
      </c>
      <c r="G87" s="55">
        <v>100</v>
      </c>
      <c r="H87" s="55">
        <v>2000</v>
      </c>
      <c r="I87" s="57">
        <v>3</v>
      </c>
      <c r="J87" s="48">
        <v>1</v>
      </c>
      <c r="K87" s="48">
        <v>2</v>
      </c>
    </row>
    <row r="88" spans="1:11" x14ac:dyDescent="0.35">
      <c r="A88" s="55" t="s">
        <v>164</v>
      </c>
      <c r="B88" s="61" t="s">
        <v>181</v>
      </c>
      <c r="C88" s="55">
        <v>99</v>
      </c>
      <c r="D88" s="58">
        <v>85.6</v>
      </c>
      <c r="E88" s="55">
        <v>28.5</v>
      </c>
      <c r="F88" s="55">
        <v>1.2</v>
      </c>
      <c r="G88" s="55">
        <v>100</v>
      </c>
      <c r="H88" s="55">
        <v>780</v>
      </c>
      <c r="I88" s="57">
        <v>3</v>
      </c>
      <c r="J88" s="48">
        <v>1</v>
      </c>
      <c r="K88" s="48">
        <v>1</v>
      </c>
    </row>
    <row r="89" spans="1:11" x14ac:dyDescent="0.35">
      <c r="A89" s="55" t="s">
        <v>164</v>
      </c>
      <c r="B89" s="61" t="s">
        <v>181</v>
      </c>
      <c r="C89" s="55">
        <v>91</v>
      </c>
      <c r="D89" s="58">
        <v>13.15</v>
      </c>
      <c r="E89" s="55">
        <v>26.13</v>
      </c>
      <c r="F89" s="55">
        <v>0</v>
      </c>
      <c r="G89" s="55">
        <v>100</v>
      </c>
      <c r="H89" s="55">
        <v>480</v>
      </c>
      <c r="I89" s="57">
        <v>3</v>
      </c>
      <c r="J89" s="48">
        <v>3</v>
      </c>
      <c r="K89" s="48">
        <v>3</v>
      </c>
    </row>
    <row r="90" spans="1:11" x14ac:dyDescent="0.35">
      <c r="A90" s="55" t="s">
        <v>164</v>
      </c>
      <c r="B90" s="61" t="s">
        <v>198</v>
      </c>
      <c r="C90" s="55">
        <v>75</v>
      </c>
      <c r="D90" s="58">
        <v>17.2</v>
      </c>
      <c r="E90" s="55">
        <v>28</v>
      </c>
      <c r="F90" s="55">
        <v>0</v>
      </c>
      <c r="G90" s="55">
        <v>100</v>
      </c>
      <c r="H90" s="55">
        <v>2000</v>
      </c>
      <c r="I90" s="57">
        <v>3</v>
      </c>
      <c r="J90" s="48">
        <v>2</v>
      </c>
      <c r="K90" s="48">
        <v>2</v>
      </c>
    </row>
    <row r="91" spans="1:11" x14ac:dyDescent="0.35">
      <c r="A91" s="71" t="s">
        <v>164</v>
      </c>
      <c r="B91" s="72" t="s">
        <v>198</v>
      </c>
      <c r="C91" s="71">
        <v>93</v>
      </c>
      <c r="D91" s="73">
        <v>14.5</v>
      </c>
      <c r="E91" s="71">
        <v>28.73</v>
      </c>
      <c r="F91" s="71">
        <v>0</v>
      </c>
      <c r="G91" s="71">
        <v>100</v>
      </c>
      <c r="H91" s="71">
        <v>480</v>
      </c>
      <c r="I91" s="74">
        <v>3</v>
      </c>
      <c r="J91" s="75">
        <v>6</v>
      </c>
      <c r="K91" s="75">
        <v>9</v>
      </c>
    </row>
    <row r="92" spans="1:11" x14ac:dyDescent="0.35">
      <c r="A92" s="55" t="s">
        <v>164</v>
      </c>
      <c r="B92" s="61" t="s">
        <v>198</v>
      </c>
      <c r="C92" s="55">
        <v>74</v>
      </c>
      <c r="D92" s="58">
        <v>18</v>
      </c>
      <c r="E92" s="55">
        <v>28</v>
      </c>
      <c r="F92" s="55">
        <v>0</v>
      </c>
      <c r="G92" s="55">
        <v>2</v>
      </c>
      <c r="H92" s="55">
        <v>2000</v>
      </c>
      <c r="I92" s="57">
        <v>3</v>
      </c>
      <c r="J92" s="48">
        <v>2</v>
      </c>
      <c r="K92" s="48">
        <v>2</v>
      </c>
    </row>
    <row r="93" spans="1:11" x14ac:dyDescent="0.35">
      <c r="A93" s="55" t="s">
        <v>164</v>
      </c>
      <c r="B93" s="61" t="s">
        <v>199</v>
      </c>
      <c r="C93" s="55">
        <v>92</v>
      </c>
      <c r="D93" s="58">
        <v>97.97</v>
      </c>
      <c r="E93" s="55">
        <v>28.73</v>
      </c>
      <c r="F93" s="55">
        <v>0.97</v>
      </c>
      <c r="G93" s="55">
        <v>100</v>
      </c>
      <c r="H93" s="55">
        <v>480</v>
      </c>
      <c r="I93" s="57">
        <v>2</v>
      </c>
      <c r="J93" s="48">
        <v>0</v>
      </c>
      <c r="K93" s="48">
        <v>0</v>
      </c>
    </row>
    <row r="94" spans="1:11" x14ac:dyDescent="0.35">
      <c r="A94" s="55" t="s">
        <v>164</v>
      </c>
      <c r="B94" s="61" t="s">
        <v>199</v>
      </c>
      <c r="C94" s="55">
        <v>86.5</v>
      </c>
      <c r="D94" s="58">
        <v>33.18</v>
      </c>
      <c r="E94" s="55">
        <v>25.7</v>
      </c>
      <c r="F94" s="55">
        <v>1.2</v>
      </c>
      <c r="G94" s="55">
        <v>100</v>
      </c>
      <c r="H94" s="55">
        <v>2000</v>
      </c>
      <c r="I94" s="57">
        <v>2</v>
      </c>
      <c r="J94" s="48">
        <v>3</v>
      </c>
      <c r="K94" s="48">
        <v>6</v>
      </c>
    </row>
    <row r="95" spans="1:11" x14ac:dyDescent="0.35">
      <c r="A95" s="55" t="s">
        <v>164</v>
      </c>
      <c r="B95" s="61" t="s">
        <v>199</v>
      </c>
      <c r="C95" s="55">
        <v>70</v>
      </c>
      <c r="D95" s="58">
        <v>5.91</v>
      </c>
      <c r="E95" s="55">
        <v>20.5</v>
      </c>
      <c r="F95" s="55">
        <v>1.5</v>
      </c>
      <c r="G95" s="55">
        <v>2</v>
      </c>
      <c r="H95" s="55">
        <v>2000</v>
      </c>
      <c r="I95" s="57">
        <v>2</v>
      </c>
      <c r="J95" s="48">
        <v>3</v>
      </c>
      <c r="K95" s="48">
        <v>3</v>
      </c>
    </row>
    <row r="96" spans="1:11" x14ac:dyDescent="0.35">
      <c r="A96" s="55" t="s">
        <v>164</v>
      </c>
      <c r="B96" s="61" t="s">
        <v>183</v>
      </c>
      <c r="C96" s="55">
        <v>89</v>
      </c>
      <c r="D96" s="58">
        <v>7.61</v>
      </c>
      <c r="E96" s="55">
        <v>23.8</v>
      </c>
      <c r="F96" s="55">
        <v>0.75</v>
      </c>
      <c r="G96" s="55">
        <v>100</v>
      </c>
      <c r="H96" s="55">
        <v>2000</v>
      </c>
      <c r="I96" s="57">
        <v>3</v>
      </c>
      <c r="J96" s="48">
        <v>5</v>
      </c>
      <c r="K96" s="48">
        <v>10</v>
      </c>
    </row>
    <row r="97" spans="1:11" x14ac:dyDescent="0.35">
      <c r="A97" s="55" t="s">
        <v>164</v>
      </c>
      <c r="B97" s="61" t="s">
        <v>183</v>
      </c>
      <c r="C97" s="55">
        <v>81</v>
      </c>
      <c r="D97" s="58">
        <v>5.23</v>
      </c>
      <c r="E97" s="55">
        <v>27.03</v>
      </c>
      <c r="F97" s="55">
        <v>0</v>
      </c>
      <c r="G97" s="55">
        <v>100</v>
      </c>
      <c r="H97" s="55">
        <v>480</v>
      </c>
      <c r="I97" s="57">
        <v>3</v>
      </c>
      <c r="J97" s="48">
        <v>4</v>
      </c>
      <c r="K97" s="48">
        <v>5</v>
      </c>
    </row>
    <row r="98" spans="1:11" x14ac:dyDescent="0.35">
      <c r="A98" s="55" t="s">
        <v>164</v>
      </c>
      <c r="B98" s="61" t="s">
        <v>185</v>
      </c>
      <c r="C98" s="55">
        <v>88</v>
      </c>
      <c r="D98" s="58">
        <v>24.87</v>
      </c>
      <c r="E98" s="55">
        <v>23.25</v>
      </c>
      <c r="F98" s="55">
        <v>0.45</v>
      </c>
      <c r="G98" s="55">
        <v>100</v>
      </c>
      <c r="H98" s="55">
        <v>2000</v>
      </c>
      <c r="I98" s="57">
        <v>1</v>
      </c>
      <c r="J98" s="48">
        <v>1</v>
      </c>
      <c r="K98" s="48">
        <v>1</v>
      </c>
    </row>
    <row r="99" spans="1:11" x14ac:dyDescent="0.35">
      <c r="A99" s="55" t="s">
        <v>164</v>
      </c>
      <c r="B99" s="61" t="s">
        <v>185</v>
      </c>
      <c r="C99" s="55">
        <v>72</v>
      </c>
      <c r="D99" s="58">
        <v>4.6399999999999997</v>
      </c>
      <c r="E99" s="55">
        <v>24.9</v>
      </c>
      <c r="F99" s="55">
        <v>3.17</v>
      </c>
      <c r="G99" s="55">
        <v>100</v>
      </c>
      <c r="H99" s="55">
        <v>480</v>
      </c>
      <c r="I99" s="57">
        <v>1</v>
      </c>
      <c r="J99" s="48">
        <v>2</v>
      </c>
      <c r="K99" s="48">
        <v>4</v>
      </c>
    </row>
    <row r="100" spans="1:11" x14ac:dyDescent="0.35">
      <c r="A100" s="55" t="s">
        <v>164</v>
      </c>
      <c r="B100" s="61" t="s">
        <v>186</v>
      </c>
      <c r="C100" s="55">
        <v>86</v>
      </c>
      <c r="D100" s="58">
        <v>0.14000000000000001</v>
      </c>
      <c r="E100" s="55">
        <v>18.55</v>
      </c>
      <c r="F100" s="55">
        <v>0</v>
      </c>
      <c r="G100" s="55">
        <v>100</v>
      </c>
      <c r="H100" s="55">
        <v>2000</v>
      </c>
      <c r="I100" s="57">
        <v>6</v>
      </c>
      <c r="J100" s="48">
        <v>5</v>
      </c>
      <c r="K100" s="48">
        <v>5</v>
      </c>
    </row>
    <row r="101" spans="1:11" x14ac:dyDescent="0.35">
      <c r="A101" s="55" t="s">
        <v>164</v>
      </c>
      <c r="B101" s="61" t="s">
        <v>186</v>
      </c>
      <c r="C101" s="55">
        <v>87</v>
      </c>
      <c r="D101" s="58">
        <v>0.15</v>
      </c>
      <c r="E101" s="55">
        <v>15.2</v>
      </c>
      <c r="F101" s="55">
        <v>0</v>
      </c>
      <c r="G101" s="55">
        <v>100</v>
      </c>
      <c r="H101" s="55">
        <v>2000</v>
      </c>
      <c r="I101" s="57">
        <v>6</v>
      </c>
      <c r="J101" s="48">
        <v>3</v>
      </c>
      <c r="K101" s="48">
        <v>3</v>
      </c>
    </row>
    <row r="102" spans="1:11" x14ac:dyDescent="0.35">
      <c r="A102" s="55" t="s">
        <v>164</v>
      </c>
      <c r="B102" s="61" t="s">
        <v>186</v>
      </c>
      <c r="C102" s="55">
        <v>83</v>
      </c>
      <c r="D102" s="58">
        <v>0.20499999999999999</v>
      </c>
      <c r="E102" s="55">
        <v>24.8</v>
      </c>
      <c r="F102" s="55">
        <v>0</v>
      </c>
      <c r="G102" s="55">
        <v>100</v>
      </c>
      <c r="H102" s="55">
        <v>480</v>
      </c>
      <c r="I102" s="57">
        <v>6</v>
      </c>
      <c r="J102" s="48">
        <v>0</v>
      </c>
      <c r="K102" s="48">
        <v>0</v>
      </c>
    </row>
    <row r="103" spans="1:11" x14ac:dyDescent="0.35">
      <c r="A103" s="55" t="s">
        <v>168</v>
      </c>
      <c r="B103" s="55" t="s">
        <v>176</v>
      </c>
      <c r="C103" s="55">
        <v>92</v>
      </c>
      <c r="D103" s="58">
        <v>0.14000000000000001</v>
      </c>
      <c r="E103" s="55">
        <v>22.5</v>
      </c>
      <c r="F103" s="55">
        <v>0</v>
      </c>
      <c r="G103" s="55">
        <v>100</v>
      </c>
      <c r="H103" s="55">
        <v>480</v>
      </c>
      <c r="I103" s="57">
        <v>4</v>
      </c>
      <c r="J103" s="48">
        <v>6</v>
      </c>
      <c r="K103" s="48">
        <v>11</v>
      </c>
    </row>
    <row r="104" spans="1:11" x14ac:dyDescent="0.35">
      <c r="A104" s="55" t="s">
        <v>168</v>
      </c>
      <c r="B104" s="55" t="s">
        <v>176</v>
      </c>
      <c r="C104" s="55">
        <v>92</v>
      </c>
      <c r="D104" s="58">
        <v>0.14000000000000001</v>
      </c>
      <c r="E104" s="55">
        <v>22.5</v>
      </c>
      <c r="F104" s="55">
        <v>0</v>
      </c>
      <c r="G104" s="55">
        <v>60</v>
      </c>
      <c r="H104" s="55">
        <v>2000</v>
      </c>
      <c r="I104" s="57">
        <v>4</v>
      </c>
      <c r="J104" s="48">
        <v>1</v>
      </c>
      <c r="K104" s="48">
        <v>2</v>
      </c>
    </row>
    <row r="105" spans="1:11" x14ac:dyDescent="0.35">
      <c r="A105" s="55" t="s">
        <v>168</v>
      </c>
      <c r="B105" s="55" t="s">
        <v>177</v>
      </c>
      <c r="C105" s="55">
        <v>97</v>
      </c>
      <c r="D105" s="58">
        <v>4.5999999999999996</v>
      </c>
      <c r="E105" s="55">
        <v>24.3</v>
      </c>
      <c r="F105" s="55">
        <v>0</v>
      </c>
      <c r="G105" s="55">
        <v>100</v>
      </c>
      <c r="H105" s="55">
        <v>480</v>
      </c>
      <c r="I105" s="57">
        <v>3</v>
      </c>
      <c r="J105" s="48">
        <v>17</v>
      </c>
      <c r="K105" s="48">
        <v>24</v>
      </c>
    </row>
    <row r="106" spans="1:11" x14ac:dyDescent="0.35">
      <c r="A106" s="55" t="s">
        <v>168</v>
      </c>
      <c r="B106" s="55" t="s">
        <v>200</v>
      </c>
      <c r="C106" s="55">
        <v>99</v>
      </c>
      <c r="D106" s="58">
        <v>24.2</v>
      </c>
      <c r="E106" s="55">
        <v>26.1</v>
      </c>
      <c r="F106" s="55">
        <v>0</v>
      </c>
      <c r="G106" s="55">
        <v>60</v>
      </c>
      <c r="H106" s="55">
        <v>2000</v>
      </c>
      <c r="I106" s="57">
        <v>5</v>
      </c>
      <c r="J106" s="48">
        <v>1</v>
      </c>
      <c r="K106" s="48">
        <v>1</v>
      </c>
    </row>
    <row r="107" spans="1:11" x14ac:dyDescent="0.35">
      <c r="A107" s="55" t="s">
        <v>168</v>
      </c>
      <c r="B107" s="55" t="s">
        <v>200</v>
      </c>
      <c r="C107" s="55">
        <v>99</v>
      </c>
      <c r="D107" s="58">
        <v>24.2</v>
      </c>
      <c r="E107" s="55">
        <v>26.1</v>
      </c>
      <c r="F107" s="55">
        <v>0</v>
      </c>
      <c r="G107" s="55">
        <v>35</v>
      </c>
      <c r="H107" s="55">
        <v>480</v>
      </c>
      <c r="I107" s="57">
        <v>5</v>
      </c>
      <c r="J107" s="48">
        <v>11</v>
      </c>
      <c r="K107" s="48">
        <v>11</v>
      </c>
    </row>
    <row r="108" spans="1:11" x14ac:dyDescent="0.35">
      <c r="A108" s="55" t="s">
        <v>168</v>
      </c>
      <c r="B108" s="55" t="s">
        <v>200</v>
      </c>
      <c r="C108" s="55">
        <v>84</v>
      </c>
      <c r="D108" s="58">
        <v>0.17</v>
      </c>
      <c r="E108" s="55">
        <v>24</v>
      </c>
      <c r="F108" s="55">
        <v>0</v>
      </c>
      <c r="G108" s="55">
        <v>100</v>
      </c>
      <c r="H108" s="55">
        <v>2000</v>
      </c>
      <c r="I108" s="57">
        <v>5</v>
      </c>
      <c r="J108" s="48">
        <v>2</v>
      </c>
      <c r="K108" s="48">
        <v>2</v>
      </c>
    </row>
    <row r="109" spans="1:11" x14ac:dyDescent="0.35">
      <c r="A109" s="55" t="s">
        <v>168</v>
      </c>
      <c r="B109" s="55" t="s">
        <v>180</v>
      </c>
      <c r="C109" s="55">
        <v>97</v>
      </c>
      <c r="D109" s="58">
        <v>1.08</v>
      </c>
      <c r="E109" s="55">
        <v>25.4</v>
      </c>
      <c r="F109" s="55">
        <v>0</v>
      </c>
      <c r="G109" s="55">
        <v>100</v>
      </c>
      <c r="H109" s="55">
        <v>2000</v>
      </c>
      <c r="I109" s="57">
        <v>5</v>
      </c>
      <c r="J109" s="48">
        <v>6</v>
      </c>
      <c r="K109" s="48">
        <v>8</v>
      </c>
    </row>
    <row r="110" spans="1:11" x14ac:dyDescent="0.35">
      <c r="A110" s="55" t="s">
        <v>168</v>
      </c>
      <c r="B110" s="55" t="s">
        <v>180</v>
      </c>
      <c r="C110" s="55">
        <v>97</v>
      </c>
      <c r="D110" s="58">
        <v>1.08</v>
      </c>
      <c r="E110" s="55">
        <v>25.4</v>
      </c>
      <c r="F110" s="55">
        <v>0</v>
      </c>
      <c r="G110" s="55">
        <v>65</v>
      </c>
      <c r="H110" s="55">
        <v>480</v>
      </c>
      <c r="I110" s="57">
        <v>5</v>
      </c>
      <c r="J110" s="48">
        <v>9</v>
      </c>
      <c r="K110" s="48">
        <v>9</v>
      </c>
    </row>
    <row r="111" spans="1:11" x14ac:dyDescent="0.35">
      <c r="A111" s="55" t="s">
        <v>168</v>
      </c>
      <c r="B111" s="48" t="s">
        <v>180</v>
      </c>
      <c r="C111" s="48">
        <v>80</v>
      </c>
      <c r="D111" s="76">
        <v>0.04</v>
      </c>
      <c r="E111" s="48">
        <v>25.3</v>
      </c>
      <c r="F111" s="48">
        <v>0</v>
      </c>
      <c r="G111" s="48">
        <v>100</v>
      </c>
      <c r="H111" s="55">
        <v>2000</v>
      </c>
      <c r="I111" s="49">
        <v>5</v>
      </c>
      <c r="J111" s="48">
        <v>0</v>
      </c>
      <c r="K111" s="48">
        <v>0</v>
      </c>
    </row>
    <row r="112" spans="1:11" x14ac:dyDescent="0.35">
      <c r="A112" s="55" t="s">
        <v>168</v>
      </c>
      <c r="B112" s="48" t="s">
        <v>181</v>
      </c>
      <c r="C112" s="48">
        <v>87</v>
      </c>
      <c r="D112" s="76">
        <v>9.8000000000000007</v>
      </c>
      <c r="E112" s="48">
        <v>34.5</v>
      </c>
      <c r="F112" s="48">
        <v>0</v>
      </c>
      <c r="G112" s="48">
        <v>90</v>
      </c>
      <c r="H112" s="55">
        <v>2000</v>
      </c>
      <c r="I112" s="49">
        <v>3</v>
      </c>
      <c r="J112" s="48">
        <v>4</v>
      </c>
      <c r="K112" s="48">
        <v>4</v>
      </c>
    </row>
    <row r="113" spans="1:11" x14ac:dyDescent="0.35">
      <c r="A113" s="55" t="s">
        <v>168</v>
      </c>
      <c r="B113" s="48" t="s">
        <v>181</v>
      </c>
      <c r="C113" s="48">
        <v>87</v>
      </c>
      <c r="D113" s="76">
        <v>9.8000000000000007</v>
      </c>
      <c r="E113" s="48">
        <v>34.5</v>
      </c>
      <c r="F113" s="48">
        <v>0</v>
      </c>
      <c r="G113" s="48">
        <v>0</v>
      </c>
      <c r="H113" s="48">
        <v>480</v>
      </c>
      <c r="I113" s="49">
        <v>3</v>
      </c>
      <c r="J113" s="48">
        <v>3</v>
      </c>
      <c r="K113" s="48">
        <v>3</v>
      </c>
    </row>
    <row r="114" spans="1:11" x14ac:dyDescent="0.35">
      <c r="A114" s="55" t="s">
        <v>168</v>
      </c>
      <c r="B114" s="48" t="s">
        <v>181</v>
      </c>
      <c r="C114" s="48">
        <v>80</v>
      </c>
      <c r="D114" s="76">
        <v>1.5</v>
      </c>
      <c r="E114" s="48">
        <v>26.9</v>
      </c>
      <c r="F114" s="48">
        <v>0</v>
      </c>
      <c r="G114" s="48">
        <v>100</v>
      </c>
      <c r="H114" s="48">
        <v>2000</v>
      </c>
      <c r="I114" s="49">
        <v>3</v>
      </c>
      <c r="J114" s="48">
        <v>3</v>
      </c>
      <c r="K114" s="48">
        <v>4</v>
      </c>
    </row>
    <row r="115" spans="1:11" x14ac:dyDescent="0.35">
      <c r="A115" s="55" t="s">
        <v>168</v>
      </c>
      <c r="B115" s="48" t="s">
        <v>198</v>
      </c>
      <c r="C115" s="48">
        <v>81</v>
      </c>
      <c r="D115" s="76">
        <v>36.6</v>
      </c>
      <c r="E115" s="48">
        <v>31.4</v>
      </c>
      <c r="F115" s="48">
        <v>0.8</v>
      </c>
      <c r="G115" s="48">
        <v>96</v>
      </c>
      <c r="H115" s="48">
        <v>480</v>
      </c>
      <c r="I115" s="49">
        <v>3</v>
      </c>
      <c r="J115" s="48">
        <v>7</v>
      </c>
      <c r="K115" s="48">
        <v>7</v>
      </c>
    </row>
    <row r="116" spans="1:11" x14ac:dyDescent="0.35">
      <c r="A116" s="55" t="s">
        <v>168</v>
      </c>
      <c r="B116" s="48" t="s">
        <v>198</v>
      </c>
      <c r="C116" s="48">
        <v>79</v>
      </c>
      <c r="D116" s="76">
        <v>13.35</v>
      </c>
      <c r="E116" s="48">
        <v>29.2</v>
      </c>
      <c r="F116" s="48">
        <v>0</v>
      </c>
      <c r="G116" s="48">
        <v>100</v>
      </c>
      <c r="H116" s="48">
        <v>2000</v>
      </c>
      <c r="I116" s="49">
        <v>3</v>
      </c>
      <c r="J116" s="48">
        <v>2</v>
      </c>
      <c r="K116" s="48">
        <v>2</v>
      </c>
    </row>
    <row r="117" spans="1:11" x14ac:dyDescent="0.35">
      <c r="A117" s="55" t="s">
        <v>168</v>
      </c>
      <c r="B117" s="48" t="s">
        <v>199</v>
      </c>
      <c r="C117" s="48">
        <v>92</v>
      </c>
      <c r="D117" s="76">
        <v>15.6</v>
      </c>
      <c r="E117" s="48">
        <v>23.5</v>
      </c>
      <c r="F117" s="48">
        <v>0.7</v>
      </c>
      <c r="G117" s="48">
        <v>2</v>
      </c>
      <c r="H117" s="48">
        <v>480</v>
      </c>
      <c r="I117" s="49">
        <v>2</v>
      </c>
      <c r="J117" s="48">
        <v>1</v>
      </c>
      <c r="K117" s="48">
        <v>1</v>
      </c>
    </row>
    <row r="118" spans="1:11" x14ac:dyDescent="0.35">
      <c r="A118" s="55" t="s">
        <v>168</v>
      </c>
      <c r="B118" s="48" t="s">
        <v>199</v>
      </c>
      <c r="C118" s="48">
        <v>79</v>
      </c>
      <c r="D118" s="76">
        <v>7.6</v>
      </c>
      <c r="E118" s="48">
        <v>25.4</v>
      </c>
      <c r="F118" s="48">
        <v>0</v>
      </c>
      <c r="G118" s="48">
        <v>100</v>
      </c>
      <c r="H118" s="48">
        <v>2000</v>
      </c>
      <c r="I118" s="49">
        <v>2</v>
      </c>
      <c r="J118" s="48">
        <v>2</v>
      </c>
      <c r="K118" s="48">
        <v>5</v>
      </c>
    </row>
    <row r="119" spans="1:11" x14ac:dyDescent="0.35">
      <c r="A119" s="55" t="s">
        <v>168</v>
      </c>
      <c r="B119" s="48" t="s">
        <v>183</v>
      </c>
      <c r="C119" s="48">
        <v>89</v>
      </c>
      <c r="D119" s="76">
        <v>1.1000000000000001</v>
      </c>
      <c r="E119" s="48">
        <v>22.3</v>
      </c>
      <c r="F119" s="48">
        <v>0</v>
      </c>
      <c r="G119" s="48">
        <v>2</v>
      </c>
      <c r="H119" s="48">
        <v>2000</v>
      </c>
      <c r="I119" s="49">
        <v>3</v>
      </c>
      <c r="J119" s="48">
        <v>7</v>
      </c>
      <c r="K119" s="48">
        <v>10</v>
      </c>
    </row>
    <row r="120" spans="1:11" x14ac:dyDescent="0.35">
      <c r="A120" s="55" t="s">
        <v>168</v>
      </c>
      <c r="B120" s="48" t="s">
        <v>183</v>
      </c>
      <c r="C120" s="48">
        <v>89</v>
      </c>
      <c r="D120" s="76">
        <v>1</v>
      </c>
      <c r="E120" s="48">
        <v>22.2</v>
      </c>
      <c r="F120" s="48">
        <v>0</v>
      </c>
      <c r="G120" s="48">
        <v>100</v>
      </c>
      <c r="H120" s="48">
        <v>1420</v>
      </c>
      <c r="I120" s="49">
        <v>3</v>
      </c>
      <c r="J120" s="48">
        <v>4</v>
      </c>
      <c r="K120" s="48">
        <v>4</v>
      </c>
    </row>
    <row r="121" spans="1:11" x14ac:dyDescent="0.35">
      <c r="A121" s="55" t="s">
        <v>168</v>
      </c>
      <c r="B121" s="48" t="s">
        <v>183</v>
      </c>
      <c r="C121" s="48">
        <v>72</v>
      </c>
      <c r="D121" s="48">
        <v>0.75</v>
      </c>
      <c r="E121" s="48">
        <v>25</v>
      </c>
      <c r="F121" s="48">
        <v>0.9</v>
      </c>
      <c r="G121" s="48">
        <v>100</v>
      </c>
      <c r="H121" s="48">
        <v>2000</v>
      </c>
      <c r="I121" s="49">
        <v>3</v>
      </c>
      <c r="J121" s="48">
        <v>2</v>
      </c>
      <c r="K121" s="48">
        <v>3</v>
      </c>
    </row>
    <row r="122" spans="1:11" x14ac:dyDescent="0.35">
      <c r="A122" s="55" t="s">
        <v>168</v>
      </c>
      <c r="B122" s="48" t="s">
        <v>185</v>
      </c>
      <c r="C122" s="48">
        <v>60</v>
      </c>
      <c r="D122" s="76">
        <v>44</v>
      </c>
      <c r="E122" s="48">
        <v>32.6</v>
      </c>
      <c r="F122" s="48">
        <v>0</v>
      </c>
      <c r="G122" s="48">
        <v>85</v>
      </c>
      <c r="H122" s="48">
        <v>1420</v>
      </c>
      <c r="I122" s="49">
        <v>1</v>
      </c>
      <c r="J122" s="48">
        <v>2</v>
      </c>
      <c r="K122" s="48">
        <v>4</v>
      </c>
    </row>
    <row r="123" spans="1:11" x14ac:dyDescent="0.35">
      <c r="A123" s="55" t="s">
        <v>168</v>
      </c>
      <c r="B123" s="48" t="s">
        <v>185</v>
      </c>
      <c r="C123" s="48">
        <v>79</v>
      </c>
      <c r="D123" s="76">
        <v>39.200000000000003</v>
      </c>
      <c r="E123" s="48">
        <v>31.4</v>
      </c>
      <c r="F123" s="48">
        <v>0</v>
      </c>
      <c r="G123" s="48">
        <v>100</v>
      </c>
      <c r="H123" s="48">
        <v>2000</v>
      </c>
      <c r="I123" s="49">
        <v>1</v>
      </c>
      <c r="J123" s="48">
        <v>0</v>
      </c>
      <c r="K123" s="48">
        <v>0</v>
      </c>
    </row>
    <row r="124" spans="1:11" x14ac:dyDescent="0.35">
      <c r="A124" s="55" t="s">
        <v>168</v>
      </c>
      <c r="B124" s="48" t="s">
        <v>186</v>
      </c>
      <c r="C124" s="48">
        <v>76</v>
      </c>
      <c r="D124" s="76">
        <v>1.53</v>
      </c>
      <c r="E124" s="48">
        <v>25.4</v>
      </c>
      <c r="F124" s="48">
        <v>0</v>
      </c>
      <c r="G124" s="48">
        <v>100</v>
      </c>
      <c r="H124" s="48">
        <v>1420</v>
      </c>
      <c r="I124" s="49">
        <v>6</v>
      </c>
      <c r="J124" s="48">
        <v>4</v>
      </c>
      <c r="K124" s="48">
        <v>5</v>
      </c>
    </row>
    <row r="125" spans="1:11" x14ac:dyDescent="0.35">
      <c r="A125" s="48" t="s">
        <v>172</v>
      </c>
      <c r="B125" s="48" t="s">
        <v>176</v>
      </c>
      <c r="C125" s="48">
        <v>81</v>
      </c>
      <c r="D125" s="76">
        <v>1.6</v>
      </c>
      <c r="E125" s="48">
        <v>26.5</v>
      </c>
      <c r="F125" s="48">
        <v>0</v>
      </c>
      <c r="G125" s="48">
        <v>30</v>
      </c>
      <c r="H125" s="48">
        <v>2000</v>
      </c>
      <c r="I125" s="49">
        <v>4</v>
      </c>
      <c r="J125" s="48">
        <v>12</v>
      </c>
      <c r="K125" s="48">
        <v>18</v>
      </c>
    </row>
    <row r="126" spans="1:11" x14ac:dyDescent="0.35">
      <c r="A126" s="48" t="s">
        <v>172</v>
      </c>
      <c r="B126" s="48" t="s">
        <v>177</v>
      </c>
      <c r="C126" s="48">
        <v>96</v>
      </c>
      <c r="D126" s="76">
        <v>1.1299999999999999</v>
      </c>
      <c r="E126" s="48">
        <v>26.4</v>
      </c>
      <c r="F126" s="48">
        <v>0</v>
      </c>
      <c r="G126" s="48">
        <v>100</v>
      </c>
      <c r="H126" s="48">
        <v>2000</v>
      </c>
      <c r="I126" s="49">
        <v>3</v>
      </c>
      <c r="J126" s="48">
        <v>5</v>
      </c>
      <c r="K126" s="48">
        <v>5</v>
      </c>
    </row>
    <row r="127" spans="1:11" x14ac:dyDescent="0.35">
      <c r="A127" s="48" t="s">
        <v>172</v>
      </c>
      <c r="B127" s="48" t="s">
        <v>200</v>
      </c>
      <c r="C127" s="48">
        <v>99</v>
      </c>
      <c r="D127" s="76">
        <v>0.28000000000000003</v>
      </c>
      <c r="E127" s="48">
        <v>23.5</v>
      </c>
      <c r="F127" s="48">
        <v>0</v>
      </c>
      <c r="G127" s="48">
        <v>100</v>
      </c>
      <c r="H127" s="48">
        <v>650</v>
      </c>
      <c r="I127" s="49">
        <v>5</v>
      </c>
      <c r="J127" s="48">
        <v>7</v>
      </c>
      <c r="K127" s="48">
        <v>10</v>
      </c>
    </row>
    <row r="128" spans="1:11" x14ac:dyDescent="0.35">
      <c r="A128" s="48" t="s">
        <v>172</v>
      </c>
      <c r="B128" s="48" t="s">
        <v>180</v>
      </c>
      <c r="C128" s="48">
        <v>96</v>
      </c>
      <c r="D128" s="76">
        <v>0.64</v>
      </c>
      <c r="E128" s="48">
        <v>24.9</v>
      </c>
      <c r="F128" s="48">
        <v>0</v>
      </c>
      <c r="G128" s="48">
        <v>100</v>
      </c>
      <c r="H128" s="48">
        <v>650</v>
      </c>
      <c r="I128" s="49">
        <v>5</v>
      </c>
      <c r="J128" s="48">
        <v>9</v>
      </c>
      <c r="K128" s="48">
        <v>9</v>
      </c>
    </row>
    <row r="129" spans="1:11" x14ac:dyDescent="0.35">
      <c r="A129" s="48" t="s">
        <v>172</v>
      </c>
      <c r="B129" s="48" t="s">
        <v>181</v>
      </c>
      <c r="C129" s="48">
        <v>98</v>
      </c>
      <c r="D129" s="76">
        <v>2.2799999999999998</v>
      </c>
      <c r="E129" s="48">
        <v>23.7</v>
      </c>
      <c r="F129" s="48">
        <v>0</v>
      </c>
      <c r="G129" s="48">
        <v>100</v>
      </c>
      <c r="H129" s="48">
        <v>650</v>
      </c>
      <c r="I129" s="49">
        <v>3</v>
      </c>
      <c r="J129" s="48">
        <v>4</v>
      </c>
      <c r="K129" s="48">
        <v>4</v>
      </c>
    </row>
    <row r="130" spans="1:11" x14ac:dyDescent="0.35">
      <c r="A130" s="48" t="s">
        <v>172</v>
      </c>
      <c r="B130" s="48" t="s">
        <v>198</v>
      </c>
      <c r="C130" s="48">
        <v>99</v>
      </c>
      <c r="D130" s="76">
        <v>7.2350000000000003</v>
      </c>
      <c r="E130" s="48">
        <v>24.6</v>
      </c>
      <c r="F130" s="48">
        <v>1.4</v>
      </c>
      <c r="G130" s="48">
        <v>100</v>
      </c>
      <c r="H130" s="48">
        <v>650</v>
      </c>
      <c r="I130" s="49">
        <v>3</v>
      </c>
      <c r="J130" s="48">
        <v>10</v>
      </c>
      <c r="K130" s="48">
        <v>16</v>
      </c>
    </row>
    <row r="131" spans="1:11" x14ac:dyDescent="0.35">
      <c r="A131" s="48" t="s">
        <v>172</v>
      </c>
      <c r="B131" s="48" t="s">
        <v>199</v>
      </c>
      <c r="C131" s="48">
        <v>78</v>
      </c>
      <c r="D131" s="76">
        <v>17.850000000000001</v>
      </c>
      <c r="E131" s="48">
        <v>26.8</v>
      </c>
      <c r="F131" s="48">
        <v>0.7</v>
      </c>
      <c r="G131" s="48">
        <v>100</v>
      </c>
      <c r="H131" s="48">
        <v>650</v>
      </c>
      <c r="I131" s="49">
        <v>2</v>
      </c>
      <c r="J131" s="48">
        <v>3</v>
      </c>
      <c r="K131" s="48">
        <v>3</v>
      </c>
    </row>
    <row r="132" spans="1:11" x14ac:dyDescent="0.35">
      <c r="A132" s="48" t="s">
        <v>172</v>
      </c>
      <c r="B132" s="48" t="s">
        <v>183</v>
      </c>
      <c r="C132" s="48">
        <v>84</v>
      </c>
      <c r="D132" s="76">
        <v>0.5</v>
      </c>
      <c r="E132" s="48">
        <v>25.9</v>
      </c>
      <c r="F132" s="48">
        <v>0</v>
      </c>
      <c r="G132" s="48">
        <v>100</v>
      </c>
      <c r="H132" s="48">
        <v>2000</v>
      </c>
      <c r="I132" s="49">
        <v>3</v>
      </c>
      <c r="J132" s="48">
        <v>4</v>
      </c>
      <c r="K132" s="48">
        <v>4</v>
      </c>
    </row>
    <row r="133" spans="1:11" x14ac:dyDescent="0.35">
      <c r="A133" s="48" t="s">
        <v>172</v>
      </c>
      <c r="B133" s="48" t="s">
        <v>186</v>
      </c>
      <c r="C133" s="48">
        <v>83</v>
      </c>
      <c r="D133" s="76">
        <v>1.1299999999999999</v>
      </c>
      <c r="E133" s="48">
        <v>25.5</v>
      </c>
      <c r="F133" s="48">
        <v>0</v>
      </c>
      <c r="G133" s="48">
        <v>100</v>
      </c>
      <c r="H133" s="48">
        <v>2000</v>
      </c>
      <c r="I133" s="49">
        <v>6</v>
      </c>
      <c r="J133" s="48">
        <v>9</v>
      </c>
      <c r="K133" s="48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0"/>
  <sheetViews>
    <sheetView topLeftCell="A2" workbookViewId="0">
      <selection activeCell="M9" sqref="M9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120" x14ac:dyDescent="0.35">
      <c r="A2" s="51" t="s">
        <v>196</v>
      </c>
      <c r="B2" s="51" t="s">
        <v>187</v>
      </c>
      <c r="C2" s="52" t="s">
        <v>188</v>
      </c>
      <c r="D2" s="54" t="s">
        <v>189</v>
      </c>
      <c r="E2" s="52" t="s">
        <v>190</v>
      </c>
      <c r="F2" s="52" t="s">
        <v>191</v>
      </c>
      <c r="G2" s="52" t="s">
        <v>192</v>
      </c>
      <c r="H2" s="52" t="s">
        <v>197</v>
      </c>
      <c r="I2" s="53" t="s">
        <v>194</v>
      </c>
      <c r="J2" s="48" t="s">
        <v>195</v>
      </c>
      <c r="K2" s="48" t="s">
        <v>175</v>
      </c>
    </row>
    <row r="3" spans="1:11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5">
        <v>2000</v>
      </c>
      <c r="I3" s="57">
        <v>4</v>
      </c>
      <c r="J3" s="48">
        <v>6</v>
      </c>
      <c r="K3" s="48">
        <v>22</v>
      </c>
    </row>
    <row r="4" spans="1:11" ht="15.75" customHeight="1" x14ac:dyDescent="0.35">
      <c r="A4" s="55" t="s">
        <v>146</v>
      </c>
      <c r="B4" s="61" t="s">
        <v>177</v>
      </c>
      <c r="C4" s="55">
        <v>92</v>
      </c>
      <c r="D4" s="58">
        <v>0.78</v>
      </c>
      <c r="E4" s="55">
        <v>24.6</v>
      </c>
      <c r="F4" s="55">
        <v>0</v>
      </c>
      <c r="G4" s="55">
        <v>5</v>
      </c>
      <c r="H4" s="55">
        <v>2000</v>
      </c>
      <c r="I4" s="57">
        <v>3</v>
      </c>
      <c r="J4" s="48">
        <v>9</v>
      </c>
      <c r="K4" s="48">
        <v>14</v>
      </c>
    </row>
    <row r="5" spans="1:11" ht="15.75" customHeight="1" x14ac:dyDescent="0.35">
      <c r="A5" s="55" t="s">
        <v>146</v>
      </c>
      <c r="B5" s="61" t="s">
        <v>200</v>
      </c>
      <c r="C5" s="55">
        <v>94</v>
      </c>
      <c r="D5" s="70">
        <v>0.50800000000000001</v>
      </c>
      <c r="E5" s="55">
        <v>24.8</v>
      </c>
      <c r="F5" s="55">
        <v>0</v>
      </c>
      <c r="G5" s="55">
        <v>5</v>
      </c>
      <c r="H5" s="55">
        <v>2000</v>
      </c>
      <c r="I5" s="57">
        <v>5</v>
      </c>
      <c r="J5" s="48">
        <v>8</v>
      </c>
      <c r="K5" s="48">
        <v>8</v>
      </c>
    </row>
    <row r="6" spans="1:11" ht="15.75" customHeight="1" x14ac:dyDescent="0.35">
      <c r="A6" s="55" t="s">
        <v>146</v>
      </c>
      <c r="B6" s="61" t="s">
        <v>200</v>
      </c>
      <c r="C6" s="55">
        <v>94</v>
      </c>
      <c r="D6" s="70">
        <v>0.5</v>
      </c>
      <c r="E6" s="55">
        <v>24.8</v>
      </c>
      <c r="F6" s="55">
        <v>0</v>
      </c>
      <c r="G6" s="55">
        <v>100</v>
      </c>
      <c r="H6" s="55">
        <v>870</v>
      </c>
      <c r="I6" s="57">
        <v>5</v>
      </c>
      <c r="J6" s="48">
        <v>2</v>
      </c>
      <c r="K6" s="48">
        <v>6</v>
      </c>
    </row>
    <row r="7" spans="1:11" ht="15.75" customHeight="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23</v>
      </c>
      <c r="F7" s="55">
        <v>0</v>
      </c>
      <c r="G7" s="55">
        <v>100</v>
      </c>
      <c r="H7" s="55">
        <v>2000</v>
      </c>
      <c r="I7" s="57">
        <v>5</v>
      </c>
      <c r="J7" s="48">
        <v>5</v>
      </c>
      <c r="K7" s="48">
        <v>5</v>
      </c>
    </row>
    <row r="8" spans="1:11" ht="15.75" customHeight="1" x14ac:dyDescent="0.35">
      <c r="A8" s="55" t="s">
        <v>146</v>
      </c>
      <c r="B8" s="61" t="s">
        <v>200</v>
      </c>
      <c r="C8" s="59">
        <v>94</v>
      </c>
      <c r="D8" s="70">
        <v>0.5</v>
      </c>
      <c r="E8" s="55">
        <v>22</v>
      </c>
      <c r="F8" s="55">
        <v>0</v>
      </c>
      <c r="G8" s="55">
        <v>100</v>
      </c>
      <c r="H8" s="55">
        <v>2000</v>
      </c>
      <c r="I8" s="57">
        <v>5</v>
      </c>
      <c r="J8" s="48">
        <v>1</v>
      </c>
      <c r="K8" s="48">
        <v>1</v>
      </c>
    </row>
    <row r="9" spans="1:11" ht="15.75" customHeight="1" x14ac:dyDescent="0.35">
      <c r="A9" s="55" t="s">
        <v>146</v>
      </c>
      <c r="B9" s="61" t="s">
        <v>181</v>
      </c>
      <c r="C9" s="55">
        <v>99</v>
      </c>
      <c r="D9" s="58">
        <v>7.59</v>
      </c>
      <c r="E9" s="55">
        <v>23.9</v>
      </c>
      <c r="F9" s="55">
        <v>0</v>
      </c>
      <c r="G9" s="55">
        <v>100</v>
      </c>
      <c r="H9" s="55">
        <v>870</v>
      </c>
      <c r="I9" s="57">
        <v>3</v>
      </c>
      <c r="J9" s="48">
        <v>5</v>
      </c>
      <c r="K9" s="48">
        <v>6</v>
      </c>
    </row>
    <row r="10" spans="1:11" ht="15.75" customHeight="1" x14ac:dyDescent="0.35">
      <c r="A10" s="55" t="s">
        <v>146</v>
      </c>
      <c r="B10" s="61" t="s">
        <v>198</v>
      </c>
      <c r="C10" s="55">
        <v>99</v>
      </c>
      <c r="D10" s="58">
        <v>13.05</v>
      </c>
      <c r="E10" s="55">
        <v>25.9</v>
      </c>
      <c r="F10" s="55">
        <v>0.45</v>
      </c>
      <c r="G10" s="55">
        <v>100</v>
      </c>
      <c r="H10" s="55">
        <v>870</v>
      </c>
      <c r="I10" s="57">
        <v>3</v>
      </c>
      <c r="J10" s="48">
        <v>4</v>
      </c>
      <c r="K10" s="48">
        <v>4</v>
      </c>
    </row>
    <row r="11" spans="1:11" ht="15.75" customHeight="1" x14ac:dyDescent="0.35">
      <c r="A11" s="55" t="s">
        <v>146</v>
      </c>
      <c r="B11" s="61" t="s">
        <v>183</v>
      </c>
      <c r="C11" s="55">
        <v>79</v>
      </c>
      <c r="D11" s="58">
        <v>15.5</v>
      </c>
      <c r="E11" s="55">
        <v>28.3</v>
      </c>
      <c r="F11" s="55">
        <v>0</v>
      </c>
      <c r="G11" s="55">
        <v>100</v>
      </c>
      <c r="H11" s="55">
        <v>1360</v>
      </c>
      <c r="I11" s="57">
        <v>3</v>
      </c>
      <c r="J11" s="48">
        <v>3</v>
      </c>
      <c r="K11" s="48">
        <v>3</v>
      </c>
    </row>
    <row r="12" spans="1:11" ht="15.75" customHeight="1" x14ac:dyDescent="0.35">
      <c r="A12" s="55" t="s">
        <v>146</v>
      </c>
      <c r="B12" s="61" t="s">
        <v>183</v>
      </c>
      <c r="C12" s="55">
        <v>79</v>
      </c>
      <c r="D12" s="58">
        <v>4.87</v>
      </c>
      <c r="E12" s="55">
        <v>25.2</v>
      </c>
      <c r="F12" s="55">
        <v>0</v>
      </c>
      <c r="G12" s="55">
        <v>100</v>
      </c>
      <c r="H12" s="55">
        <v>2000</v>
      </c>
      <c r="I12" s="57">
        <v>3</v>
      </c>
      <c r="J12" s="48">
        <v>0</v>
      </c>
      <c r="K12" s="48">
        <v>0</v>
      </c>
    </row>
    <row r="13" spans="1:11" ht="15.75" customHeight="1" x14ac:dyDescent="0.35">
      <c r="A13" s="55" t="s">
        <v>146</v>
      </c>
      <c r="B13" s="61" t="s">
        <v>186</v>
      </c>
      <c r="C13" s="55">
        <v>79</v>
      </c>
      <c r="D13" s="58">
        <v>0.56999999999999995</v>
      </c>
      <c r="E13" s="55">
        <v>24.8</v>
      </c>
      <c r="F13" s="55">
        <v>0</v>
      </c>
      <c r="G13" s="55">
        <v>100</v>
      </c>
      <c r="H13" s="55">
        <v>1360</v>
      </c>
      <c r="I13" s="57">
        <v>6</v>
      </c>
      <c r="J13" s="48">
        <v>3</v>
      </c>
      <c r="K13" s="48">
        <v>4</v>
      </c>
    </row>
    <row r="14" spans="1:11" ht="15.75" customHeight="1" x14ac:dyDescent="0.35">
      <c r="A14" s="55" t="s">
        <v>146</v>
      </c>
      <c r="B14" s="61" t="s">
        <v>186</v>
      </c>
      <c r="C14" s="55">
        <v>96</v>
      </c>
      <c r="D14" s="58">
        <v>15.05</v>
      </c>
      <c r="E14" s="55">
        <v>30.2</v>
      </c>
      <c r="F14" s="55">
        <v>0</v>
      </c>
      <c r="G14" s="55">
        <v>100</v>
      </c>
      <c r="H14" s="55">
        <v>2000</v>
      </c>
      <c r="I14" s="57">
        <v>6</v>
      </c>
      <c r="J14" s="48">
        <v>2</v>
      </c>
      <c r="K14" s="48">
        <v>6</v>
      </c>
    </row>
    <row r="15" spans="1:11" ht="15.75" customHeight="1" x14ac:dyDescent="0.35">
      <c r="A15" s="55" t="s">
        <v>146</v>
      </c>
      <c r="B15" s="55" t="s">
        <v>186</v>
      </c>
      <c r="C15" s="55">
        <v>57</v>
      </c>
      <c r="D15" s="58">
        <v>153.19999999999999</v>
      </c>
      <c r="E15" s="55">
        <v>30.2</v>
      </c>
      <c r="F15" s="55">
        <v>0.4</v>
      </c>
      <c r="G15" s="55">
        <v>100</v>
      </c>
      <c r="H15" s="55">
        <v>2000</v>
      </c>
      <c r="I15" s="57">
        <v>6</v>
      </c>
      <c r="J15" s="48">
        <v>2</v>
      </c>
      <c r="K15" s="48">
        <v>3</v>
      </c>
    </row>
    <row r="16" spans="1:11" ht="15.75" customHeight="1" x14ac:dyDescent="0.35">
      <c r="A16" s="55" t="s">
        <v>153</v>
      </c>
      <c r="B16" s="61" t="s">
        <v>176</v>
      </c>
      <c r="C16" s="55">
        <v>98</v>
      </c>
      <c r="D16" s="58">
        <v>7.54</v>
      </c>
      <c r="E16" s="55">
        <v>25.8</v>
      </c>
      <c r="F16" s="55">
        <v>0</v>
      </c>
      <c r="G16" s="55">
        <v>100</v>
      </c>
      <c r="H16" s="55">
        <v>2000</v>
      </c>
      <c r="I16" s="57">
        <v>4</v>
      </c>
      <c r="J16" s="48">
        <v>5</v>
      </c>
      <c r="K16" s="48">
        <v>7</v>
      </c>
    </row>
    <row r="17" spans="1:11" ht="15.75" customHeight="1" x14ac:dyDescent="0.35">
      <c r="A17" s="55" t="s">
        <v>153</v>
      </c>
      <c r="B17" s="61" t="s">
        <v>176</v>
      </c>
      <c r="C17" s="55">
        <v>99</v>
      </c>
      <c r="D17" s="58">
        <v>6.06</v>
      </c>
      <c r="E17" s="55">
        <v>25.35</v>
      </c>
      <c r="F17" s="55">
        <v>0</v>
      </c>
      <c r="G17" s="55">
        <v>100</v>
      </c>
      <c r="H17" s="55">
        <v>580</v>
      </c>
      <c r="I17" s="57">
        <v>4</v>
      </c>
      <c r="J17" s="48">
        <v>9</v>
      </c>
      <c r="K17" s="48">
        <v>9</v>
      </c>
    </row>
    <row r="18" spans="1:11" ht="15.75" customHeight="1" x14ac:dyDescent="0.35">
      <c r="A18" s="55" t="s">
        <v>153</v>
      </c>
      <c r="B18" s="61" t="s">
        <v>177</v>
      </c>
      <c r="C18" s="55">
        <v>98</v>
      </c>
      <c r="D18" s="58">
        <v>0.77</v>
      </c>
      <c r="E18" s="55">
        <v>22.6</v>
      </c>
      <c r="F18" s="55">
        <v>0</v>
      </c>
      <c r="G18" s="55">
        <v>100</v>
      </c>
      <c r="H18" s="55">
        <v>580</v>
      </c>
      <c r="I18" s="57">
        <v>3</v>
      </c>
      <c r="J18" s="48">
        <v>8</v>
      </c>
      <c r="K18" s="48">
        <v>14</v>
      </c>
    </row>
    <row r="19" spans="1:11" ht="15.75" customHeight="1" x14ac:dyDescent="0.35">
      <c r="A19" s="55" t="s">
        <v>153</v>
      </c>
      <c r="B19" s="61" t="s">
        <v>177</v>
      </c>
      <c r="C19" s="55">
        <v>82</v>
      </c>
      <c r="D19" s="70">
        <v>0.19800000000000001</v>
      </c>
      <c r="E19" s="55">
        <v>24.3</v>
      </c>
      <c r="F19" s="55">
        <v>0</v>
      </c>
      <c r="G19" s="55">
        <v>20</v>
      </c>
      <c r="H19" s="55">
        <v>2000</v>
      </c>
      <c r="I19" s="57">
        <v>3</v>
      </c>
      <c r="J19" s="48">
        <v>9</v>
      </c>
      <c r="K19" s="48">
        <v>12</v>
      </c>
    </row>
    <row r="20" spans="1:11" ht="15.75" customHeight="1" x14ac:dyDescent="0.35">
      <c r="A20" s="55" t="s">
        <v>153</v>
      </c>
      <c r="B20" s="61" t="s">
        <v>200</v>
      </c>
      <c r="C20" s="55">
        <v>98</v>
      </c>
      <c r="D20" s="58">
        <v>3.69</v>
      </c>
      <c r="E20" s="55">
        <v>22.35</v>
      </c>
      <c r="F20" s="55">
        <v>0</v>
      </c>
      <c r="G20" s="55">
        <v>0</v>
      </c>
      <c r="H20" s="55">
        <v>870</v>
      </c>
      <c r="I20" s="57">
        <v>5</v>
      </c>
      <c r="J20" s="48">
        <v>3</v>
      </c>
      <c r="K20" s="48">
        <v>7</v>
      </c>
    </row>
    <row r="21" spans="1:11" ht="15.75" customHeight="1" x14ac:dyDescent="0.35">
      <c r="A21" s="55" t="s">
        <v>153</v>
      </c>
      <c r="B21" s="61" t="s">
        <v>200</v>
      </c>
      <c r="C21" s="55">
        <v>98</v>
      </c>
      <c r="D21" s="58">
        <v>3.69</v>
      </c>
      <c r="E21" s="55">
        <v>22.35</v>
      </c>
      <c r="F21" s="55">
        <v>0</v>
      </c>
      <c r="G21" s="55">
        <v>0</v>
      </c>
      <c r="H21" s="55">
        <v>870</v>
      </c>
      <c r="I21" s="57">
        <v>5</v>
      </c>
      <c r="J21" s="48">
        <v>13</v>
      </c>
      <c r="K21" s="48">
        <v>14</v>
      </c>
    </row>
    <row r="22" spans="1:11" ht="15.75" customHeight="1" x14ac:dyDescent="0.35">
      <c r="A22" s="55" t="s">
        <v>153</v>
      </c>
      <c r="B22" s="61" t="s">
        <v>200</v>
      </c>
      <c r="C22" s="55">
        <v>90</v>
      </c>
      <c r="D22" s="70">
        <v>3.5000000000000003E-2</v>
      </c>
      <c r="E22" s="55">
        <v>24.2</v>
      </c>
      <c r="F22" s="55">
        <v>0</v>
      </c>
      <c r="G22" s="55">
        <v>20</v>
      </c>
      <c r="H22" s="55">
        <v>2000</v>
      </c>
      <c r="I22" s="57">
        <v>5</v>
      </c>
      <c r="J22" s="48">
        <v>1</v>
      </c>
      <c r="K22" s="48">
        <v>1</v>
      </c>
    </row>
    <row r="23" spans="1:11" ht="15.75" customHeight="1" x14ac:dyDescent="0.35">
      <c r="A23" s="55" t="s">
        <v>153</v>
      </c>
      <c r="B23" s="61" t="s">
        <v>200</v>
      </c>
      <c r="C23" s="55">
        <v>61</v>
      </c>
      <c r="D23" s="70">
        <v>9.4E-2</v>
      </c>
      <c r="E23" s="55">
        <v>25.5</v>
      </c>
      <c r="F23" s="55">
        <v>0</v>
      </c>
      <c r="G23" s="55">
        <v>15</v>
      </c>
      <c r="H23" s="55">
        <v>2000</v>
      </c>
      <c r="I23" s="57">
        <v>5</v>
      </c>
      <c r="J23" s="48">
        <v>6</v>
      </c>
      <c r="K23" s="48">
        <v>8</v>
      </c>
    </row>
    <row r="24" spans="1:11" ht="15.75" customHeight="1" x14ac:dyDescent="0.35">
      <c r="A24" s="55" t="s">
        <v>153</v>
      </c>
      <c r="B24" s="61" t="s">
        <v>200</v>
      </c>
      <c r="C24" s="55">
        <v>65</v>
      </c>
      <c r="D24" s="70">
        <v>3.5000000000000003E-2</v>
      </c>
      <c r="E24" s="55">
        <v>25.7</v>
      </c>
      <c r="F24" s="55">
        <v>0</v>
      </c>
      <c r="G24" s="55">
        <v>100</v>
      </c>
      <c r="H24" s="55">
        <v>2000</v>
      </c>
      <c r="I24" s="57">
        <v>5</v>
      </c>
      <c r="J24" s="48">
        <v>3</v>
      </c>
      <c r="K24" s="48">
        <v>3</v>
      </c>
    </row>
    <row r="25" spans="1:11" ht="15.75" customHeight="1" x14ac:dyDescent="0.35">
      <c r="A25" s="55" t="s">
        <v>153</v>
      </c>
      <c r="B25" s="61" t="s">
        <v>180</v>
      </c>
      <c r="C25" s="55">
        <v>85</v>
      </c>
      <c r="D25" s="58">
        <v>3.81</v>
      </c>
      <c r="E25" s="55">
        <v>25</v>
      </c>
      <c r="F25" s="55">
        <v>0</v>
      </c>
      <c r="G25" s="55">
        <v>78.33</v>
      </c>
      <c r="H25" s="55">
        <v>870</v>
      </c>
      <c r="I25" s="57">
        <v>5</v>
      </c>
      <c r="J25" s="48">
        <v>3</v>
      </c>
      <c r="K25" s="48">
        <v>3</v>
      </c>
    </row>
    <row r="26" spans="1:11" ht="15.75" customHeight="1" x14ac:dyDescent="0.35">
      <c r="A26" s="55" t="s">
        <v>153</v>
      </c>
      <c r="B26" s="61" t="s">
        <v>180</v>
      </c>
      <c r="C26" s="55">
        <v>61</v>
      </c>
      <c r="D26" s="58">
        <v>4.78</v>
      </c>
      <c r="E26" s="55">
        <v>28.7</v>
      </c>
      <c r="F26" s="55">
        <v>0</v>
      </c>
      <c r="G26" s="55">
        <v>100</v>
      </c>
      <c r="H26" s="55">
        <v>2000</v>
      </c>
      <c r="I26" s="57">
        <v>5</v>
      </c>
      <c r="J26" s="48">
        <v>0</v>
      </c>
      <c r="K26" s="48">
        <v>0</v>
      </c>
    </row>
    <row r="27" spans="1:11" ht="15.75" customHeight="1" x14ac:dyDescent="0.35">
      <c r="A27" s="55" t="s">
        <v>153</v>
      </c>
      <c r="B27" s="61" t="s">
        <v>180</v>
      </c>
      <c r="C27" s="55">
        <v>47</v>
      </c>
      <c r="D27" s="70">
        <v>0.74399999999999999</v>
      </c>
      <c r="E27" s="55">
        <v>29.9</v>
      </c>
      <c r="F27" s="55">
        <v>0</v>
      </c>
      <c r="G27" s="55">
        <v>2</v>
      </c>
      <c r="H27" s="55">
        <v>2000</v>
      </c>
      <c r="I27" s="57">
        <v>5</v>
      </c>
      <c r="J27" s="48">
        <v>2</v>
      </c>
      <c r="K27" s="48">
        <v>2</v>
      </c>
    </row>
    <row r="28" spans="1:11" ht="15.75" customHeight="1" x14ac:dyDescent="0.35">
      <c r="A28" s="55" t="s">
        <v>153</v>
      </c>
      <c r="B28" s="61" t="s">
        <v>180</v>
      </c>
      <c r="C28" s="55">
        <v>50</v>
      </c>
      <c r="D28" s="70">
        <v>0.7</v>
      </c>
      <c r="E28" s="55">
        <v>26.3</v>
      </c>
      <c r="F28" s="55">
        <v>0</v>
      </c>
      <c r="G28" s="55">
        <v>100</v>
      </c>
      <c r="H28" s="55">
        <v>2000</v>
      </c>
      <c r="I28" s="57">
        <v>5</v>
      </c>
      <c r="J28" s="48">
        <v>2</v>
      </c>
      <c r="K28" s="48">
        <v>5</v>
      </c>
    </row>
    <row r="29" spans="1:11" ht="15.75" customHeight="1" x14ac:dyDescent="0.35">
      <c r="A29" s="55" t="s">
        <v>153</v>
      </c>
      <c r="B29" s="61" t="s">
        <v>181</v>
      </c>
      <c r="C29" s="55">
        <v>85</v>
      </c>
      <c r="D29" s="58">
        <v>13.84</v>
      </c>
      <c r="E29" s="55">
        <v>26.7</v>
      </c>
      <c r="F29" s="55">
        <v>0</v>
      </c>
      <c r="G29" s="55">
        <v>100</v>
      </c>
      <c r="H29" s="55">
        <v>870</v>
      </c>
      <c r="I29" s="57">
        <v>3</v>
      </c>
      <c r="J29" s="48">
        <v>4</v>
      </c>
      <c r="K29" s="48">
        <v>6</v>
      </c>
    </row>
    <row r="30" spans="1:11" ht="15.75" customHeight="1" x14ac:dyDescent="0.35">
      <c r="A30" s="55" t="s">
        <v>153</v>
      </c>
      <c r="B30" s="61" t="s">
        <v>181</v>
      </c>
      <c r="C30" s="55">
        <v>55</v>
      </c>
      <c r="D30" s="58">
        <v>55.3</v>
      </c>
      <c r="E30" s="55">
        <v>30.2</v>
      </c>
      <c r="F30" s="55">
        <v>0</v>
      </c>
      <c r="G30" s="55">
        <v>100</v>
      </c>
      <c r="H30" s="55">
        <v>2000</v>
      </c>
      <c r="I30" s="57">
        <v>3</v>
      </c>
      <c r="J30" s="48">
        <v>0</v>
      </c>
      <c r="K30" s="48">
        <v>0</v>
      </c>
    </row>
    <row r="31" spans="1:11" ht="15.75" customHeight="1" x14ac:dyDescent="0.35">
      <c r="A31" s="55" t="s">
        <v>153</v>
      </c>
      <c r="B31" s="61" t="s">
        <v>181</v>
      </c>
      <c r="C31" s="55">
        <v>51</v>
      </c>
      <c r="D31" s="58">
        <v>26.78</v>
      </c>
      <c r="E31" s="55">
        <v>30.7</v>
      </c>
      <c r="F31" s="55">
        <v>0</v>
      </c>
      <c r="G31" s="55">
        <v>23.33</v>
      </c>
      <c r="H31" s="55">
        <v>2000</v>
      </c>
      <c r="I31" s="57">
        <v>3</v>
      </c>
      <c r="J31" s="48">
        <v>2</v>
      </c>
      <c r="K31" s="48">
        <v>2</v>
      </c>
    </row>
    <row r="32" spans="1:11" ht="15.75" customHeight="1" x14ac:dyDescent="0.35">
      <c r="A32" s="55" t="s">
        <v>153</v>
      </c>
      <c r="B32" s="61" t="s">
        <v>198</v>
      </c>
      <c r="C32" s="55">
        <v>90</v>
      </c>
      <c r="D32" s="58">
        <v>8.44</v>
      </c>
      <c r="E32" s="55">
        <v>27.4</v>
      </c>
      <c r="F32" s="55">
        <v>0.8</v>
      </c>
      <c r="G32" s="55">
        <v>100</v>
      </c>
      <c r="H32" s="55">
        <v>870</v>
      </c>
      <c r="I32" s="57">
        <v>3</v>
      </c>
      <c r="J32" s="48">
        <v>12</v>
      </c>
      <c r="K32" s="48">
        <v>17</v>
      </c>
    </row>
    <row r="33" spans="1:11" ht="15.75" customHeight="1" x14ac:dyDescent="0.35">
      <c r="A33" s="55" t="s">
        <v>153</v>
      </c>
      <c r="B33" s="56" t="s">
        <v>198</v>
      </c>
      <c r="C33" s="55">
        <v>58</v>
      </c>
      <c r="D33" s="58">
        <v>30.1</v>
      </c>
      <c r="E33" s="55">
        <v>29.1</v>
      </c>
      <c r="F33" s="55">
        <v>0</v>
      </c>
      <c r="G33" s="55">
        <v>98.75</v>
      </c>
      <c r="H33" s="55">
        <v>2000</v>
      </c>
      <c r="I33" s="57">
        <v>3</v>
      </c>
      <c r="J33" s="48">
        <v>2</v>
      </c>
      <c r="K33" s="48">
        <v>2</v>
      </c>
    </row>
    <row r="34" spans="1:11" ht="15.75" customHeight="1" x14ac:dyDescent="0.35">
      <c r="A34" s="55" t="s">
        <v>153</v>
      </c>
      <c r="B34" s="61" t="s">
        <v>183</v>
      </c>
      <c r="C34" s="55">
        <v>95</v>
      </c>
      <c r="D34" s="58">
        <v>10.69</v>
      </c>
      <c r="E34" s="55">
        <v>22.8</v>
      </c>
      <c r="F34" s="55">
        <v>1.2</v>
      </c>
      <c r="G34" s="55">
        <v>100</v>
      </c>
      <c r="H34" s="55">
        <v>1100</v>
      </c>
      <c r="I34" s="57">
        <v>3</v>
      </c>
      <c r="J34" s="48">
        <v>4</v>
      </c>
      <c r="K34" s="48">
        <v>7</v>
      </c>
    </row>
    <row r="35" spans="1:11" ht="15.75" customHeight="1" x14ac:dyDescent="0.35">
      <c r="A35" s="55" t="s">
        <v>153</v>
      </c>
      <c r="B35" s="61" t="s">
        <v>183</v>
      </c>
      <c r="C35" s="55">
        <v>95</v>
      </c>
      <c r="D35" s="58">
        <v>5.99</v>
      </c>
      <c r="E35" s="55">
        <v>25.7</v>
      </c>
      <c r="F35" s="55">
        <v>0</v>
      </c>
      <c r="G35" s="55">
        <v>100</v>
      </c>
      <c r="H35" s="55">
        <v>1420</v>
      </c>
      <c r="I35" s="57">
        <v>3</v>
      </c>
      <c r="J35" s="48">
        <v>5</v>
      </c>
      <c r="K35" s="48">
        <v>7</v>
      </c>
    </row>
    <row r="36" spans="1:11" ht="15.75" customHeight="1" x14ac:dyDescent="0.35">
      <c r="A36" s="55" t="s">
        <v>153</v>
      </c>
      <c r="B36" s="56" t="s">
        <v>183</v>
      </c>
      <c r="C36" s="55">
        <v>98</v>
      </c>
      <c r="D36" s="58">
        <v>3.61</v>
      </c>
      <c r="E36" s="55">
        <v>23</v>
      </c>
      <c r="F36" s="55">
        <v>0</v>
      </c>
      <c r="G36" s="55">
        <v>100</v>
      </c>
      <c r="H36" s="55">
        <v>2000</v>
      </c>
      <c r="I36" s="57">
        <v>3</v>
      </c>
      <c r="J36" s="48">
        <v>0</v>
      </c>
      <c r="K36" s="48">
        <v>0</v>
      </c>
    </row>
    <row r="37" spans="1:11" ht="15.75" customHeight="1" x14ac:dyDescent="0.35">
      <c r="A37" s="55" t="s">
        <v>153</v>
      </c>
      <c r="B37" s="61" t="s">
        <v>183</v>
      </c>
      <c r="C37" s="55">
        <v>80</v>
      </c>
      <c r="D37" s="58">
        <v>6.89</v>
      </c>
      <c r="E37" s="55">
        <v>24.3</v>
      </c>
      <c r="F37" s="55">
        <v>0.87</v>
      </c>
      <c r="G37" s="55">
        <v>100</v>
      </c>
      <c r="H37" s="55">
        <v>2000</v>
      </c>
      <c r="I37" s="57">
        <v>3</v>
      </c>
      <c r="J37" s="48">
        <v>2</v>
      </c>
      <c r="K37" s="48">
        <v>2</v>
      </c>
    </row>
    <row r="38" spans="1:11" ht="15.75" customHeight="1" x14ac:dyDescent="0.35">
      <c r="A38" s="55" t="s">
        <v>153</v>
      </c>
      <c r="B38" s="61" t="s">
        <v>186</v>
      </c>
      <c r="C38" s="55">
        <v>95</v>
      </c>
      <c r="D38" s="58">
        <v>1.44</v>
      </c>
      <c r="E38" s="55">
        <v>25.1</v>
      </c>
      <c r="F38" s="55">
        <v>0</v>
      </c>
      <c r="G38" s="55">
        <v>100</v>
      </c>
      <c r="H38" s="55">
        <v>1420</v>
      </c>
      <c r="I38" s="57">
        <v>6</v>
      </c>
      <c r="J38" s="48">
        <v>2</v>
      </c>
      <c r="K38" s="48">
        <v>7</v>
      </c>
    </row>
    <row r="39" spans="1:11" ht="15.75" customHeight="1" x14ac:dyDescent="0.35">
      <c r="A39" s="55" t="s">
        <v>153</v>
      </c>
      <c r="B39" s="61" t="s">
        <v>186</v>
      </c>
      <c r="C39" s="55">
        <v>99</v>
      </c>
      <c r="D39" s="58">
        <v>0.54</v>
      </c>
      <c r="E39" s="55">
        <v>21.9</v>
      </c>
      <c r="F39" s="55">
        <v>0</v>
      </c>
      <c r="G39" s="55">
        <v>100</v>
      </c>
      <c r="H39" s="55">
        <v>1420</v>
      </c>
      <c r="I39" s="57">
        <v>6</v>
      </c>
      <c r="J39" s="48">
        <v>3</v>
      </c>
      <c r="K39" s="48">
        <v>3</v>
      </c>
    </row>
    <row r="40" spans="1:11" ht="15.75" customHeight="1" x14ac:dyDescent="0.35">
      <c r="A40" s="55" t="s">
        <v>153</v>
      </c>
      <c r="B40" s="61" t="s">
        <v>186</v>
      </c>
      <c r="C40" s="55">
        <v>99</v>
      </c>
      <c r="D40" s="58">
        <v>0.63</v>
      </c>
      <c r="E40" s="55">
        <v>25.1</v>
      </c>
      <c r="F40" s="55">
        <v>0</v>
      </c>
      <c r="G40" s="55">
        <v>100</v>
      </c>
      <c r="H40" s="55">
        <v>2000</v>
      </c>
      <c r="I40" s="57">
        <v>6</v>
      </c>
      <c r="J40" s="48">
        <v>3</v>
      </c>
      <c r="K40" s="48">
        <v>8</v>
      </c>
    </row>
    <row r="41" spans="1:11" ht="15.75" customHeight="1" x14ac:dyDescent="0.35">
      <c r="A41" s="55" t="s">
        <v>153</v>
      </c>
      <c r="B41" s="61" t="s">
        <v>186</v>
      </c>
      <c r="C41" s="55">
        <v>99</v>
      </c>
      <c r="D41" s="58">
        <v>1.67</v>
      </c>
      <c r="E41" s="55">
        <v>25.2</v>
      </c>
      <c r="F41" s="55">
        <v>0</v>
      </c>
      <c r="G41" s="55">
        <v>100</v>
      </c>
      <c r="H41" s="55">
        <v>2000</v>
      </c>
      <c r="I41" s="57">
        <v>6</v>
      </c>
      <c r="J41" s="48">
        <v>3</v>
      </c>
      <c r="K41" s="48">
        <v>4</v>
      </c>
    </row>
    <row r="42" spans="1:11" ht="15.75" customHeight="1" x14ac:dyDescent="0.35">
      <c r="A42" s="55" t="s">
        <v>158</v>
      </c>
      <c r="B42" s="61" t="s">
        <v>176</v>
      </c>
      <c r="C42" s="55">
        <v>96</v>
      </c>
      <c r="D42" s="58">
        <v>1.1399999999999999</v>
      </c>
      <c r="E42" s="55">
        <v>26.4</v>
      </c>
      <c r="F42" s="55">
        <v>0</v>
      </c>
      <c r="G42" s="55">
        <v>22</v>
      </c>
      <c r="H42" s="55">
        <v>550</v>
      </c>
      <c r="I42" s="57">
        <v>4</v>
      </c>
      <c r="J42" s="48">
        <v>4</v>
      </c>
      <c r="K42" s="48">
        <v>7</v>
      </c>
    </row>
    <row r="43" spans="1:11" ht="15.75" customHeight="1" x14ac:dyDescent="0.35">
      <c r="A43" s="55" t="s">
        <v>158</v>
      </c>
      <c r="B43" s="61" t="s">
        <v>176</v>
      </c>
      <c r="C43" s="55">
        <v>99</v>
      </c>
      <c r="D43" s="58">
        <v>8.51</v>
      </c>
      <c r="E43" s="55">
        <v>26.5</v>
      </c>
      <c r="F43" s="55">
        <v>0</v>
      </c>
      <c r="G43" s="55">
        <v>36.659999999999997</v>
      </c>
      <c r="H43" s="55">
        <v>2000</v>
      </c>
      <c r="I43" s="57">
        <v>4</v>
      </c>
      <c r="J43" s="48">
        <v>9</v>
      </c>
      <c r="K43" s="48">
        <v>9</v>
      </c>
    </row>
    <row r="44" spans="1:11" ht="15.75" customHeight="1" x14ac:dyDescent="0.35">
      <c r="A44" s="55" t="s">
        <v>158</v>
      </c>
      <c r="B44" s="61" t="s">
        <v>176</v>
      </c>
      <c r="C44" s="55">
        <v>99</v>
      </c>
      <c r="D44" s="58">
        <v>8.52</v>
      </c>
      <c r="E44" s="55">
        <v>26.5</v>
      </c>
      <c r="F44" s="55">
        <v>0</v>
      </c>
      <c r="G44" s="55">
        <v>100</v>
      </c>
      <c r="H44" s="55">
        <v>2000</v>
      </c>
      <c r="I44" s="57">
        <v>4</v>
      </c>
      <c r="J44" s="48">
        <v>5</v>
      </c>
      <c r="K44" s="48">
        <v>6</v>
      </c>
    </row>
    <row r="45" spans="1:11" ht="15.75" customHeight="1" x14ac:dyDescent="0.35">
      <c r="A45" s="55" t="s">
        <v>158</v>
      </c>
      <c r="B45" s="61" t="s">
        <v>178</v>
      </c>
      <c r="C45" s="55">
        <v>99</v>
      </c>
      <c r="D45" s="58">
        <v>6.93</v>
      </c>
      <c r="E45" s="55">
        <v>23.5</v>
      </c>
      <c r="F45" s="55">
        <v>0</v>
      </c>
      <c r="G45" s="55">
        <v>98</v>
      </c>
      <c r="H45" s="55">
        <v>2000</v>
      </c>
      <c r="I45" s="57">
        <v>3</v>
      </c>
      <c r="J45" s="48">
        <v>7</v>
      </c>
      <c r="K45" s="48">
        <v>7</v>
      </c>
    </row>
    <row r="46" spans="1:11" ht="15.75" customHeight="1" x14ac:dyDescent="0.35">
      <c r="A46" s="55" t="s">
        <v>158</v>
      </c>
      <c r="B46" s="61" t="s">
        <v>178</v>
      </c>
      <c r="C46" s="55">
        <v>99</v>
      </c>
      <c r="D46" s="58">
        <v>6.8</v>
      </c>
      <c r="E46" s="55">
        <v>23.5</v>
      </c>
      <c r="F46" s="55">
        <v>0</v>
      </c>
      <c r="G46" s="55">
        <v>100</v>
      </c>
      <c r="H46" s="55">
        <v>2000</v>
      </c>
      <c r="I46" s="57">
        <v>3</v>
      </c>
      <c r="J46" s="48">
        <v>1</v>
      </c>
      <c r="K46" s="48">
        <v>1</v>
      </c>
    </row>
    <row r="47" spans="1:11" ht="15.75" customHeight="1" x14ac:dyDescent="0.35">
      <c r="A47" s="55" t="s">
        <v>158</v>
      </c>
      <c r="B47" s="61" t="s">
        <v>200</v>
      </c>
      <c r="C47" s="55">
        <v>89</v>
      </c>
      <c r="D47" s="58">
        <v>2.74</v>
      </c>
      <c r="E47" s="55">
        <v>23.5</v>
      </c>
      <c r="F47" s="55">
        <v>0</v>
      </c>
      <c r="G47" s="55">
        <v>0</v>
      </c>
      <c r="H47" s="55">
        <v>700</v>
      </c>
      <c r="I47" s="57">
        <v>5</v>
      </c>
      <c r="J47" s="48">
        <v>13</v>
      </c>
      <c r="K47" s="48">
        <v>16</v>
      </c>
    </row>
    <row r="48" spans="1:11" ht="15.75" customHeight="1" x14ac:dyDescent="0.35">
      <c r="A48" s="55" t="s">
        <v>158</v>
      </c>
      <c r="B48" s="61" t="s">
        <v>200</v>
      </c>
      <c r="C48" s="55">
        <v>99</v>
      </c>
      <c r="D48" s="58">
        <v>0.32</v>
      </c>
      <c r="E48" s="55">
        <v>21.5</v>
      </c>
      <c r="F48" s="55">
        <v>0</v>
      </c>
      <c r="G48" s="55">
        <v>100</v>
      </c>
      <c r="H48" s="55">
        <v>2000</v>
      </c>
      <c r="I48" s="57">
        <v>5</v>
      </c>
      <c r="J48" s="48">
        <v>3</v>
      </c>
      <c r="K48" s="48">
        <v>3</v>
      </c>
    </row>
    <row r="49" spans="1:11" ht="15.75" customHeight="1" x14ac:dyDescent="0.35">
      <c r="A49" s="55" t="s">
        <v>158</v>
      </c>
      <c r="B49" s="61" t="s">
        <v>200</v>
      </c>
      <c r="C49" s="55">
        <v>87</v>
      </c>
      <c r="D49" s="58">
        <v>0.03</v>
      </c>
      <c r="E49" s="55">
        <v>23.2</v>
      </c>
      <c r="F49" s="55">
        <v>0</v>
      </c>
      <c r="G49" s="55">
        <v>100</v>
      </c>
      <c r="H49" s="55">
        <v>2000</v>
      </c>
      <c r="I49" s="57">
        <v>5</v>
      </c>
      <c r="J49" s="48">
        <v>3</v>
      </c>
      <c r="K49" s="48">
        <v>3</v>
      </c>
    </row>
    <row r="50" spans="1:11" ht="15.75" customHeight="1" x14ac:dyDescent="0.35">
      <c r="A50" s="55" t="s">
        <v>158</v>
      </c>
      <c r="B50" s="61" t="s">
        <v>200</v>
      </c>
      <c r="C50" s="55">
        <v>85</v>
      </c>
      <c r="D50" s="58">
        <v>0.04</v>
      </c>
      <c r="E50" s="55">
        <v>23.2</v>
      </c>
      <c r="F50" s="55">
        <v>0</v>
      </c>
      <c r="G50" s="55">
        <v>50</v>
      </c>
      <c r="H50" s="55">
        <v>2000</v>
      </c>
      <c r="I50" s="57">
        <v>5</v>
      </c>
      <c r="J50" s="48">
        <v>1</v>
      </c>
      <c r="K50" s="48">
        <v>1</v>
      </c>
    </row>
    <row r="51" spans="1:11" ht="15.75" customHeight="1" x14ac:dyDescent="0.35">
      <c r="A51" s="55" t="s">
        <v>158</v>
      </c>
      <c r="B51" s="61" t="s">
        <v>180</v>
      </c>
      <c r="C51" s="55">
        <v>88</v>
      </c>
      <c r="D51" s="58">
        <v>0.69</v>
      </c>
      <c r="E51" s="55">
        <v>23.4</v>
      </c>
      <c r="F51" s="55">
        <v>6</v>
      </c>
      <c r="G51" s="55">
        <v>100</v>
      </c>
      <c r="H51" s="55">
        <v>700</v>
      </c>
      <c r="I51" s="57">
        <v>5</v>
      </c>
      <c r="J51" s="48">
        <v>8</v>
      </c>
      <c r="K51" s="48">
        <v>9</v>
      </c>
    </row>
    <row r="52" spans="1:11" ht="15.75" customHeight="1" x14ac:dyDescent="0.35">
      <c r="A52" s="55" t="s">
        <v>158</v>
      </c>
      <c r="B52" s="61" t="s">
        <v>180</v>
      </c>
      <c r="C52" s="55">
        <v>88</v>
      </c>
      <c r="D52" s="58">
        <v>1.86</v>
      </c>
      <c r="E52" s="55">
        <v>27.2</v>
      </c>
      <c r="F52" s="55">
        <v>0.6</v>
      </c>
      <c r="G52" s="55">
        <v>100</v>
      </c>
      <c r="H52" s="55">
        <v>2000</v>
      </c>
      <c r="I52" s="57">
        <v>5</v>
      </c>
      <c r="J52" s="48">
        <v>4</v>
      </c>
      <c r="K52" s="48">
        <v>4</v>
      </c>
    </row>
    <row r="53" spans="1:11" ht="15.75" customHeight="1" x14ac:dyDescent="0.35">
      <c r="A53" s="55" t="s">
        <v>158</v>
      </c>
      <c r="B53" s="61" t="s">
        <v>181</v>
      </c>
      <c r="C53" s="55">
        <v>80</v>
      </c>
      <c r="D53" s="58">
        <v>51.6</v>
      </c>
      <c r="E53" s="55">
        <v>28.7</v>
      </c>
      <c r="F53" s="55">
        <v>2.5</v>
      </c>
      <c r="G53" s="55">
        <v>0</v>
      </c>
      <c r="H53" s="55">
        <v>700</v>
      </c>
      <c r="I53" s="57">
        <v>3</v>
      </c>
      <c r="J53" s="48">
        <v>5</v>
      </c>
      <c r="K53" s="48">
        <v>5</v>
      </c>
    </row>
    <row r="54" spans="1:11" ht="15.75" customHeight="1" x14ac:dyDescent="0.35">
      <c r="A54" s="55" t="s">
        <v>158</v>
      </c>
      <c r="B54" s="61" t="s">
        <v>198</v>
      </c>
      <c r="C54" s="55">
        <v>71</v>
      </c>
      <c r="D54" s="58">
        <v>7.17</v>
      </c>
      <c r="E54" s="55">
        <v>26.1</v>
      </c>
      <c r="F54" s="55">
        <v>1.9</v>
      </c>
      <c r="G54" s="55">
        <v>0</v>
      </c>
      <c r="H54" s="55">
        <v>700</v>
      </c>
      <c r="I54" s="57">
        <v>3</v>
      </c>
      <c r="J54" s="48">
        <v>9</v>
      </c>
      <c r="K54" s="48">
        <v>11</v>
      </c>
    </row>
    <row r="55" spans="1:11" ht="15.75" customHeight="1" x14ac:dyDescent="0.35">
      <c r="A55" s="55" t="s">
        <v>158</v>
      </c>
      <c r="B55" s="61" t="s">
        <v>198</v>
      </c>
      <c r="C55" s="55">
        <v>74</v>
      </c>
      <c r="D55" s="58">
        <v>7.5</v>
      </c>
      <c r="E55" s="55">
        <v>26</v>
      </c>
      <c r="F55" s="55">
        <v>0</v>
      </c>
      <c r="G55" s="55">
        <v>100</v>
      </c>
      <c r="H55" s="55">
        <v>2000</v>
      </c>
      <c r="I55" s="57">
        <v>3</v>
      </c>
      <c r="J55" s="48">
        <v>1</v>
      </c>
      <c r="K55" s="48">
        <v>1</v>
      </c>
    </row>
    <row r="56" spans="1:11" ht="15.75" customHeight="1" x14ac:dyDescent="0.35">
      <c r="A56" s="55" t="s">
        <v>158</v>
      </c>
      <c r="B56" s="61" t="s">
        <v>198</v>
      </c>
      <c r="C56" s="55">
        <v>54</v>
      </c>
      <c r="D56" s="58">
        <v>10.85</v>
      </c>
      <c r="E56" s="55">
        <v>28.3</v>
      </c>
      <c r="F56" s="55">
        <v>1.45</v>
      </c>
      <c r="G56" s="55">
        <v>35</v>
      </c>
      <c r="H56" s="55">
        <v>2000</v>
      </c>
      <c r="I56" s="57">
        <v>3</v>
      </c>
      <c r="J56" s="48">
        <v>4</v>
      </c>
      <c r="K56" s="48">
        <v>4</v>
      </c>
    </row>
    <row r="57" spans="1:11" ht="15.75" customHeight="1" x14ac:dyDescent="0.35">
      <c r="A57" s="55" t="s">
        <v>158</v>
      </c>
      <c r="B57" s="61" t="s">
        <v>183</v>
      </c>
      <c r="C57" s="55">
        <v>77</v>
      </c>
      <c r="D57" s="58">
        <v>19</v>
      </c>
      <c r="E57" s="55">
        <v>23.9</v>
      </c>
      <c r="F57" s="55">
        <v>0</v>
      </c>
      <c r="G57" s="55">
        <v>100</v>
      </c>
      <c r="H57" s="55">
        <v>2000</v>
      </c>
      <c r="I57" s="57">
        <v>3</v>
      </c>
      <c r="J57" s="48">
        <v>4</v>
      </c>
      <c r="K57" s="48">
        <v>13</v>
      </c>
    </row>
    <row r="58" spans="1:11" ht="15.75" customHeight="1" x14ac:dyDescent="0.35">
      <c r="A58" s="55" t="s">
        <v>158</v>
      </c>
      <c r="B58" s="61" t="s">
        <v>183</v>
      </c>
      <c r="C58" s="55">
        <v>99</v>
      </c>
      <c r="D58" s="58">
        <v>29.59</v>
      </c>
      <c r="E58" s="55">
        <v>24.9</v>
      </c>
      <c r="F58" s="55">
        <v>0.65</v>
      </c>
      <c r="G58" s="55">
        <v>99</v>
      </c>
      <c r="H58" s="55">
        <v>700</v>
      </c>
      <c r="I58" s="57">
        <v>3</v>
      </c>
      <c r="J58" s="48">
        <v>4</v>
      </c>
      <c r="K58" s="48">
        <v>7</v>
      </c>
    </row>
    <row r="59" spans="1:11" ht="15.75" customHeight="1" x14ac:dyDescent="0.35">
      <c r="A59" s="55" t="s">
        <v>158</v>
      </c>
      <c r="B59" s="61" t="s">
        <v>183</v>
      </c>
      <c r="C59" s="55">
        <v>74</v>
      </c>
      <c r="D59" s="58">
        <v>1.52</v>
      </c>
      <c r="E59" s="55">
        <v>19.829999999999998</v>
      </c>
      <c r="F59" s="55">
        <v>0.85</v>
      </c>
      <c r="G59" s="55">
        <v>100</v>
      </c>
      <c r="H59" s="55">
        <v>2000</v>
      </c>
      <c r="I59" s="57">
        <v>3</v>
      </c>
      <c r="J59" s="48">
        <v>2</v>
      </c>
      <c r="K59" s="48">
        <v>2</v>
      </c>
    </row>
    <row r="60" spans="1:11" ht="15.75" customHeight="1" x14ac:dyDescent="0.35">
      <c r="A60" s="55" t="s">
        <v>158</v>
      </c>
      <c r="B60" s="61" t="s">
        <v>186</v>
      </c>
      <c r="C60" s="55">
        <v>95</v>
      </c>
      <c r="D60" s="58">
        <v>0.4</v>
      </c>
      <c r="E60" s="55">
        <v>17.100000000000001</v>
      </c>
      <c r="F60" s="55">
        <v>0</v>
      </c>
      <c r="G60" s="55">
        <v>0</v>
      </c>
      <c r="H60" s="55">
        <v>700</v>
      </c>
      <c r="I60" s="57">
        <v>6</v>
      </c>
      <c r="J60" s="48">
        <v>10</v>
      </c>
      <c r="K60" s="48">
        <v>33</v>
      </c>
    </row>
    <row r="61" spans="1:11" ht="15.75" customHeight="1" x14ac:dyDescent="0.35">
      <c r="A61" s="55" t="s">
        <v>158</v>
      </c>
      <c r="B61" s="61" t="s">
        <v>186</v>
      </c>
      <c r="C61" s="55">
        <v>95</v>
      </c>
      <c r="D61" s="58">
        <v>0.42</v>
      </c>
      <c r="E61" s="55">
        <v>17.2</v>
      </c>
      <c r="F61" s="55">
        <v>0</v>
      </c>
      <c r="G61" s="55">
        <v>100</v>
      </c>
      <c r="H61" s="55">
        <v>2000</v>
      </c>
      <c r="I61" s="57">
        <v>6</v>
      </c>
      <c r="J61" s="48">
        <v>1</v>
      </c>
      <c r="K61" s="48">
        <v>1</v>
      </c>
    </row>
    <row r="62" spans="1:11" ht="15.75" customHeight="1" x14ac:dyDescent="0.35">
      <c r="A62" s="55" t="s">
        <v>158</v>
      </c>
      <c r="B62" s="61" t="s">
        <v>186</v>
      </c>
      <c r="C62" s="55">
        <v>95</v>
      </c>
      <c r="D62" s="58">
        <v>0.41</v>
      </c>
      <c r="E62" s="55">
        <v>17.100000000000001</v>
      </c>
      <c r="F62" s="55">
        <v>0</v>
      </c>
      <c r="G62" s="55">
        <v>100</v>
      </c>
      <c r="H62" s="55">
        <v>700</v>
      </c>
      <c r="I62" s="57">
        <v>6</v>
      </c>
      <c r="J62" s="48">
        <v>8</v>
      </c>
      <c r="K62" s="48">
        <v>11</v>
      </c>
    </row>
    <row r="63" spans="1:11" ht="15.75" customHeight="1" x14ac:dyDescent="0.35">
      <c r="A63" s="55" t="s">
        <v>158</v>
      </c>
      <c r="B63" s="61" t="s">
        <v>186</v>
      </c>
      <c r="C63" s="55">
        <v>87</v>
      </c>
      <c r="D63" s="58">
        <v>0.16</v>
      </c>
      <c r="E63" s="55">
        <v>20.2</v>
      </c>
      <c r="F63" s="55">
        <v>0</v>
      </c>
      <c r="G63" s="55">
        <v>100</v>
      </c>
      <c r="H63" s="55">
        <v>2000</v>
      </c>
      <c r="I63" s="57">
        <v>6</v>
      </c>
      <c r="J63" s="48">
        <v>6</v>
      </c>
      <c r="K63" s="48">
        <v>6</v>
      </c>
    </row>
    <row r="64" spans="1:11" ht="15.75" customHeight="1" x14ac:dyDescent="0.35">
      <c r="A64" s="55" t="s">
        <v>164</v>
      </c>
      <c r="B64" s="61" t="s">
        <v>176</v>
      </c>
      <c r="C64" s="55">
        <v>89</v>
      </c>
      <c r="D64" s="58">
        <v>1.36</v>
      </c>
      <c r="E64" s="55">
        <v>23.18</v>
      </c>
      <c r="F64" s="55">
        <v>0</v>
      </c>
      <c r="G64" s="55">
        <v>100</v>
      </c>
      <c r="H64" s="55">
        <v>2000</v>
      </c>
      <c r="I64" s="57">
        <v>4</v>
      </c>
      <c r="J64" s="48">
        <v>8</v>
      </c>
      <c r="K64" s="48">
        <v>11</v>
      </c>
    </row>
    <row r="65" spans="1:11" ht="15.75" customHeight="1" x14ac:dyDescent="0.35">
      <c r="A65" s="55" t="s">
        <v>164</v>
      </c>
      <c r="B65" s="61" t="s">
        <v>177</v>
      </c>
      <c r="C65" s="55">
        <v>94</v>
      </c>
      <c r="D65" s="58">
        <v>7.68</v>
      </c>
      <c r="E65" s="55">
        <v>26.7</v>
      </c>
      <c r="F65" s="55">
        <v>0.75</v>
      </c>
      <c r="G65" s="55">
        <v>100</v>
      </c>
      <c r="H65" s="55">
        <v>2000</v>
      </c>
      <c r="I65" s="57">
        <v>3</v>
      </c>
      <c r="J65" s="48">
        <v>6</v>
      </c>
      <c r="K65" s="48">
        <v>8</v>
      </c>
    </row>
    <row r="66" spans="1:11" ht="15.75" customHeight="1" x14ac:dyDescent="0.35">
      <c r="A66" s="55" t="s">
        <v>164</v>
      </c>
      <c r="B66" s="61" t="s">
        <v>177</v>
      </c>
      <c r="C66" s="55">
        <v>90</v>
      </c>
      <c r="D66" s="58">
        <v>1.5</v>
      </c>
      <c r="E66" s="55">
        <v>23.4</v>
      </c>
      <c r="F66" s="55">
        <v>0</v>
      </c>
      <c r="G66" s="55">
        <v>100</v>
      </c>
      <c r="H66" s="55">
        <v>2000</v>
      </c>
      <c r="I66" s="57">
        <v>3</v>
      </c>
      <c r="J66" s="48">
        <v>1</v>
      </c>
      <c r="K66" s="48">
        <v>1</v>
      </c>
    </row>
    <row r="67" spans="1:11" ht="15.75" customHeight="1" x14ac:dyDescent="0.35">
      <c r="A67" s="55" t="s">
        <v>164</v>
      </c>
      <c r="B67" s="61" t="s">
        <v>200</v>
      </c>
      <c r="C67" s="55">
        <v>91</v>
      </c>
      <c r="D67" s="58">
        <v>1.1499999999999999</v>
      </c>
      <c r="E67" s="55">
        <v>24.4</v>
      </c>
      <c r="F67" s="55">
        <v>0</v>
      </c>
      <c r="G67" s="55">
        <v>100</v>
      </c>
      <c r="H67" s="55">
        <v>480</v>
      </c>
      <c r="I67" s="57">
        <v>5</v>
      </c>
      <c r="J67" s="48">
        <v>8</v>
      </c>
      <c r="K67" s="48">
        <v>8</v>
      </c>
    </row>
    <row r="68" spans="1:11" ht="15.75" customHeight="1" x14ac:dyDescent="0.35">
      <c r="A68" s="55" t="s">
        <v>164</v>
      </c>
      <c r="B68" s="61" t="s">
        <v>200</v>
      </c>
      <c r="C68" s="55">
        <v>94</v>
      </c>
      <c r="D68" s="58">
        <v>1.2</v>
      </c>
      <c r="E68" s="55">
        <v>24.4</v>
      </c>
      <c r="F68" s="55">
        <v>0</v>
      </c>
      <c r="G68" s="55">
        <v>100</v>
      </c>
      <c r="H68" s="55">
        <v>2000</v>
      </c>
      <c r="I68" s="57">
        <v>5</v>
      </c>
      <c r="J68" s="48">
        <v>1</v>
      </c>
      <c r="K68" s="48">
        <v>1</v>
      </c>
    </row>
    <row r="69" spans="1:11" ht="15.75" customHeight="1" x14ac:dyDescent="0.35">
      <c r="A69" s="55" t="s">
        <v>164</v>
      </c>
      <c r="B69" s="61" t="s">
        <v>200</v>
      </c>
      <c r="C69" s="55">
        <v>85</v>
      </c>
      <c r="D69" s="58">
        <v>1.3</v>
      </c>
      <c r="E69" s="55">
        <v>24.4</v>
      </c>
      <c r="F69" s="55">
        <v>0</v>
      </c>
      <c r="G69" s="55">
        <v>100</v>
      </c>
      <c r="H69" s="55">
        <v>2000</v>
      </c>
      <c r="I69" s="57">
        <v>5</v>
      </c>
      <c r="J69" s="48">
        <v>8</v>
      </c>
      <c r="K69" s="48">
        <v>8</v>
      </c>
    </row>
    <row r="70" spans="1:11" ht="15.75" customHeight="1" x14ac:dyDescent="0.35">
      <c r="A70" s="55" t="s">
        <v>164</v>
      </c>
      <c r="B70" s="61" t="s">
        <v>180</v>
      </c>
      <c r="C70" s="55">
        <v>91</v>
      </c>
      <c r="D70" s="58">
        <v>0.57999999999999996</v>
      </c>
      <c r="E70" s="55">
        <v>26.4</v>
      </c>
      <c r="F70" s="55">
        <v>0</v>
      </c>
      <c r="G70" s="55">
        <v>100</v>
      </c>
      <c r="H70" s="55">
        <v>780</v>
      </c>
      <c r="I70" s="57">
        <v>5</v>
      </c>
      <c r="J70" s="48">
        <v>10</v>
      </c>
      <c r="K70" s="48">
        <v>10</v>
      </c>
    </row>
    <row r="71" spans="1:11" ht="15.75" customHeight="1" x14ac:dyDescent="0.35">
      <c r="A71" s="55" t="s">
        <v>164</v>
      </c>
      <c r="B71" s="61" t="s">
        <v>180</v>
      </c>
      <c r="C71" s="55">
        <v>91</v>
      </c>
      <c r="D71" s="58">
        <v>0.81</v>
      </c>
      <c r="E71" s="55">
        <v>23.28</v>
      </c>
      <c r="F71" s="55">
        <v>0</v>
      </c>
      <c r="G71" s="55">
        <v>100</v>
      </c>
      <c r="H71" s="55">
        <v>480</v>
      </c>
      <c r="I71" s="57">
        <v>5</v>
      </c>
      <c r="J71" s="48">
        <v>5</v>
      </c>
      <c r="K71" s="48">
        <v>5</v>
      </c>
    </row>
    <row r="72" spans="1:11" ht="15.75" customHeight="1" x14ac:dyDescent="0.35">
      <c r="A72" s="55" t="s">
        <v>164</v>
      </c>
      <c r="B72" s="61" t="s">
        <v>181</v>
      </c>
      <c r="C72" s="55">
        <v>91</v>
      </c>
      <c r="D72" s="58">
        <v>0.81</v>
      </c>
      <c r="E72" s="55">
        <v>23.3</v>
      </c>
      <c r="F72" s="55">
        <v>0</v>
      </c>
      <c r="G72" s="55">
        <v>100</v>
      </c>
      <c r="H72" s="55">
        <v>2000</v>
      </c>
      <c r="I72" s="57">
        <v>3</v>
      </c>
      <c r="J72" s="48">
        <v>1</v>
      </c>
      <c r="K72" s="48">
        <v>2</v>
      </c>
    </row>
    <row r="73" spans="1:11" ht="15.75" customHeight="1" x14ac:dyDescent="0.35">
      <c r="A73" s="55" t="s">
        <v>164</v>
      </c>
      <c r="B73" s="61" t="s">
        <v>181</v>
      </c>
      <c r="C73" s="55">
        <v>99</v>
      </c>
      <c r="D73" s="58">
        <v>85.6</v>
      </c>
      <c r="E73" s="55">
        <v>28.5</v>
      </c>
      <c r="F73" s="55">
        <v>1.2</v>
      </c>
      <c r="G73" s="55">
        <v>100</v>
      </c>
      <c r="H73" s="55">
        <v>780</v>
      </c>
      <c r="I73" s="57">
        <v>3</v>
      </c>
      <c r="J73" s="48">
        <v>1</v>
      </c>
      <c r="K73" s="48">
        <v>1</v>
      </c>
    </row>
    <row r="74" spans="1:11" ht="15.75" customHeight="1" x14ac:dyDescent="0.35">
      <c r="A74" s="55" t="s">
        <v>164</v>
      </c>
      <c r="B74" s="61" t="s">
        <v>181</v>
      </c>
      <c r="C74" s="55">
        <v>91</v>
      </c>
      <c r="D74" s="58">
        <v>13.15</v>
      </c>
      <c r="E74" s="55">
        <v>26.13</v>
      </c>
      <c r="F74" s="55">
        <v>0</v>
      </c>
      <c r="G74" s="55">
        <v>100</v>
      </c>
      <c r="H74" s="55">
        <v>480</v>
      </c>
      <c r="I74" s="57">
        <v>3</v>
      </c>
      <c r="J74" s="48">
        <v>3</v>
      </c>
      <c r="K74" s="48">
        <v>3</v>
      </c>
    </row>
    <row r="75" spans="1:11" ht="15.75" customHeight="1" x14ac:dyDescent="0.35">
      <c r="A75" s="55" t="s">
        <v>164</v>
      </c>
      <c r="B75" s="61" t="s">
        <v>198</v>
      </c>
      <c r="C75" s="55">
        <v>75</v>
      </c>
      <c r="D75" s="58">
        <v>17.2</v>
      </c>
      <c r="E75" s="55">
        <v>28</v>
      </c>
      <c r="F75" s="55">
        <v>0</v>
      </c>
      <c r="G75" s="55">
        <v>100</v>
      </c>
      <c r="H75" s="55">
        <v>2000</v>
      </c>
      <c r="I75" s="57">
        <v>3</v>
      </c>
      <c r="J75" s="48">
        <v>2</v>
      </c>
      <c r="K75" s="48">
        <v>2</v>
      </c>
    </row>
    <row r="76" spans="1:11" s="75" customFormat="1" ht="15.75" customHeight="1" x14ac:dyDescent="0.35">
      <c r="A76" s="71" t="s">
        <v>164</v>
      </c>
      <c r="B76" s="72" t="s">
        <v>198</v>
      </c>
      <c r="C76" s="71">
        <v>93</v>
      </c>
      <c r="D76" s="73">
        <v>14.5</v>
      </c>
      <c r="E76" s="71">
        <v>28.73</v>
      </c>
      <c r="F76" s="71">
        <v>0</v>
      </c>
      <c r="G76" s="71">
        <v>100</v>
      </c>
      <c r="H76" s="71">
        <v>480</v>
      </c>
      <c r="I76" s="74">
        <v>3</v>
      </c>
      <c r="J76" s="75">
        <v>6</v>
      </c>
      <c r="K76" s="75">
        <v>9</v>
      </c>
    </row>
    <row r="77" spans="1:11" ht="15.75" customHeight="1" x14ac:dyDescent="0.35">
      <c r="A77" s="55" t="s">
        <v>164</v>
      </c>
      <c r="B77" s="61" t="s">
        <v>198</v>
      </c>
      <c r="C77" s="55">
        <v>74</v>
      </c>
      <c r="D77" s="58">
        <v>18</v>
      </c>
      <c r="E77" s="55">
        <v>28</v>
      </c>
      <c r="F77" s="55">
        <v>0</v>
      </c>
      <c r="G77" s="55">
        <v>2</v>
      </c>
      <c r="H77" s="55">
        <v>2000</v>
      </c>
      <c r="I77" s="57">
        <v>3</v>
      </c>
      <c r="J77" s="48">
        <v>2</v>
      </c>
      <c r="K77" s="48">
        <v>2</v>
      </c>
    </row>
    <row r="78" spans="1:11" ht="15.75" customHeight="1" x14ac:dyDescent="0.35">
      <c r="A78" s="55" t="s">
        <v>164</v>
      </c>
      <c r="B78" s="61" t="s">
        <v>183</v>
      </c>
      <c r="C78" s="55">
        <v>89</v>
      </c>
      <c r="D78" s="58">
        <v>7.61</v>
      </c>
      <c r="E78" s="55">
        <v>23.8</v>
      </c>
      <c r="F78" s="55">
        <v>0.75</v>
      </c>
      <c r="G78" s="55">
        <v>100</v>
      </c>
      <c r="H78" s="55">
        <v>2000</v>
      </c>
      <c r="I78" s="57">
        <v>3</v>
      </c>
      <c r="J78" s="48">
        <v>5</v>
      </c>
      <c r="K78" s="48">
        <v>10</v>
      </c>
    </row>
    <row r="79" spans="1:11" ht="15.75" customHeight="1" x14ac:dyDescent="0.35">
      <c r="A79" s="55" t="s">
        <v>164</v>
      </c>
      <c r="B79" s="61" t="s">
        <v>183</v>
      </c>
      <c r="C79" s="55">
        <v>81</v>
      </c>
      <c r="D79" s="58">
        <v>5.23</v>
      </c>
      <c r="E79" s="55">
        <v>27.03</v>
      </c>
      <c r="F79" s="55">
        <v>0</v>
      </c>
      <c r="G79" s="55">
        <v>100</v>
      </c>
      <c r="H79" s="55">
        <v>480</v>
      </c>
      <c r="I79" s="57">
        <v>3</v>
      </c>
      <c r="J79" s="48">
        <v>4</v>
      </c>
      <c r="K79" s="48">
        <v>5</v>
      </c>
    </row>
    <row r="80" spans="1:11" ht="15.75" customHeight="1" x14ac:dyDescent="0.35">
      <c r="A80" s="55" t="s">
        <v>164</v>
      </c>
      <c r="B80" s="61" t="s">
        <v>186</v>
      </c>
      <c r="C80" s="55">
        <v>86</v>
      </c>
      <c r="D80" s="58">
        <v>0.14000000000000001</v>
      </c>
      <c r="E80" s="55">
        <v>18.55</v>
      </c>
      <c r="F80" s="55">
        <v>0</v>
      </c>
      <c r="G80" s="55">
        <v>100</v>
      </c>
      <c r="H80" s="55">
        <v>2000</v>
      </c>
      <c r="I80" s="57">
        <v>6</v>
      </c>
      <c r="J80" s="48">
        <v>5</v>
      </c>
      <c r="K80" s="48">
        <v>5</v>
      </c>
    </row>
    <row r="81" spans="1:11" ht="15.75" customHeight="1" x14ac:dyDescent="0.35">
      <c r="A81" s="55" t="s">
        <v>164</v>
      </c>
      <c r="B81" s="61" t="s">
        <v>186</v>
      </c>
      <c r="C81" s="55">
        <v>87</v>
      </c>
      <c r="D81" s="58">
        <v>0.15</v>
      </c>
      <c r="E81" s="55">
        <v>15.2</v>
      </c>
      <c r="F81" s="55">
        <v>0</v>
      </c>
      <c r="G81" s="55">
        <v>100</v>
      </c>
      <c r="H81" s="55">
        <v>2000</v>
      </c>
      <c r="I81" s="57">
        <v>6</v>
      </c>
      <c r="J81" s="48">
        <v>3</v>
      </c>
      <c r="K81" s="48">
        <v>3</v>
      </c>
    </row>
    <row r="82" spans="1:11" ht="15.75" customHeight="1" x14ac:dyDescent="0.35">
      <c r="A82" s="55" t="s">
        <v>164</v>
      </c>
      <c r="B82" s="61" t="s">
        <v>186</v>
      </c>
      <c r="C82" s="55">
        <v>83</v>
      </c>
      <c r="D82" s="58">
        <v>0.20499999999999999</v>
      </c>
      <c r="E82" s="55">
        <v>24.8</v>
      </c>
      <c r="F82" s="55">
        <v>0</v>
      </c>
      <c r="G82" s="55">
        <v>100</v>
      </c>
      <c r="H82" s="55">
        <v>480</v>
      </c>
      <c r="I82" s="57">
        <v>6</v>
      </c>
      <c r="J82" s="48">
        <v>0</v>
      </c>
      <c r="K82" s="48">
        <v>0</v>
      </c>
    </row>
    <row r="83" spans="1:11" ht="15.75" customHeight="1" x14ac:dyDescent="0.35">
      <c r="A83" s="55" t="s">
        <v>168</v>
      </c>
      <c r="B83" s="55" t="s">
        <v>176</v>
      </c>
      <c r="C83" s="55">
        <v>92</v>
      </c>
      <c r="D83" s="58">
        <v>0.14000000000000001</v>
      </c>
      <c r="E83" s="55">
        <v>22.5</v>
      </c>
      <c r="F83" s="55">
        <v>0</v>
      </c>
      <c r="G83" s="55">
        <v>100</v>
      </c>
      <c r="H83" s="55">
        <v>480</v>
      </c>
      <c r="I83" s="57">
        <v>4</v>
      </c>
      <c r="J83" s="48">
        <v>6</v>
      </c>
      <c r="K83" s="48">
        <v>11</v>
      </c>
    </row>
    <row r="84" spans="1:11" ht="15.75" customHeight="1" x14ac:dyDescent="0.35">
      <c r="A84" s="55" t="s">
        <v>168</v>
      </c>
      <c r="B84" s="55" t="s">
        <v>176</v>
      </c>
      <c r="C84" s="55">
        <v>92</v>
      </c>
      <c r="D84" s="58">
        <v>0.14000000000000001</v>
      </c>
      <c r="E84" s="55">
        <v>22.5</v>
      </c>
      <c r="F84" s="55">
        <v>0</v>
      </c>
      <c r="G84" s="55">
        <v>60</v>
      </c>
      <c r="H84" s="55">
        <v>2000</v>
      </c>
      <c r="I84" s="57">
        <v>4</v>
      </c>
      <c r="J84" s="48">
        <v>1</v>
      </c>
      <c r="K84" s="48">
        <v>2</v>
      </c>
    </row>
    <row r="85" spans="1:11" ht="15.75" customHeight="1" x14ac:dyDescent="0.35">
      <c r="A85" s="55" t="s">
        <v>168</v>
      </c>
      <c r="B85" s="55" t="s">
        <v>177</v>
      </c>
      <c r="C85" s="55">
        <v>97</v>
      </c>
      <c r="D85" s="58">
        <v>4.5999999999999996</v>
      </c>
      <c r="E85" s="55">
        <v>24.3</v>
      </c>
      <c r="F85" s="55">
        <v>0</v>
      </c>
      <c r="G85" s="55">
        <v>100</v>
      </c>
      <c r="H85" s="55">
        <v>480</v>
      </c>
      <c r="I85" s="57">
        <v>3</v>
      </c>
      <c r="J85" s="48">
        <v>17</v>
      </c>
      <c r="K85" s="48">
        <v>24</v>
      </c>
    </row>
    <row r="86" spans="1:11" ht="15.75" customHeight="1" x14ac:dyDescent="0.35">
      <c r="A86" s="55" t="s">
        <v>168</v>
      </c>
      <c r="B86" s="55" t="s">
        <v>200</v>
      </c>
      <c r="C86" s="55">
        <v>99</v>
      </c>
      <c r="D86" s="58">
        <v>24.2</v>
      </c>
      <c r="E86" s="55">
        <v>26.1</v>
      </c>
      <c r="F86" s="55">
        <v>0</v>
      </c>
      <c r="G86" s="55">
        <v>60</v>
      </c>
      <c r="H86" s="55">
        <v>2000</v>
      </c>
      <c r="I86" s="57">
        <v>5</v>
      </c>
      <c r="J86" s="48">
        <v>1</v>
      </c>
      <c r="K86" s="48">
        <v>1</v>
      </c>
    </row>
    <row r="87" spans="1:11" ht="15.75" customHeight="1" x14ac:dyDescent="0.35">
      <c r="A87" s="55" t="s">
        <v>168</v>
      </c>
      <c r="B87" s="55" t="s">
        <v>200</v>
      </c>
      <c r="C87" s="55">
        <v>99</v>
      </c>
      <c r="D87" s="58">
        <v>24.2</v>
      </c>
      <c r="E87" s="55">
        <v>26.1</v>
      </c>
      <c r="F87" s="55">
        <v>0</v>
      </c>
      <c r="G87" s="55">
        <v>35</v>
      </c>
      <c r="H87" s="55">
        <v>480</v>
      </c>
      <c r="I87" s="57">
        <v>5</v>
      </c>
      <c r="J87" s="48">
        <v>11</v>
      </c>
      <c r="K87" s="48">
        <v>11</v>
      </c>
    </row>
    <row r="88" spans="1:11" ht="15.75" customHeight="1" x14ac:dyDescent="0.35">
      <c r="A88" s="55" t="s">
        <v>168</v>
      </c>
      <c r="B88" s="55" t="s">
        <v>200</v>
      </c>
      <c r="C88" s="55">
        <v>84</v>
      </c>
      <c r="D88" s="58">
        <v>0.17</v>
      </c>
      <c r="E88" s="55">
        <v>24</v>
      </c>
      <c r="F88" s="55">
        <v>0</v>
      </c>
      <c r="G88" s="55">
        <v>100</v>
      </c>
      <c r="H88" s="55">
        <v>2000</v>
      </c>
      <c r="I88" s="57">
        <v>5</v>
      </c>
      <c r="J88" s="48">
        <v>2</v>
      </c>
      <c r="K88" s="48">
        <v>2</v>
      </c>
    </row>
    <row r="89" spans="1:11" ht="15.75" customHeight="1" x14ac:dyDescent="0.35">
      <c r="A89" s="55" t="s">
        <v>168</v>
      </c>
      <c r="B89" s="55" t="s">
        <v>180</v>
      </c>
      <c r="C89" s="55">
        <v>97</v>
      </c>
      <c r="D89" s="58">
        <v>1.08</v>
      </c>
      <c r="E89" s="55">
        <v>25.4</v>
      </c>
      <c r="F89" s="55">
        <v>0</v>
      </c>
      <c r="G89" s="55">
        <v>100</v>
      </c>
      <c r="H89" s="55">
        <v>2000</v>
      </c>
      <c r="I89" s="57">
        <v>5</v>
      </c>
      <c r="J89" s="48">
        <v>6</v>
      </c>
      <c r="K89" s="48">
        <v>8</v>
      </c>
    </row>
    <row r="90" spans="1:11" ht="15.75" customHeight="1" x14ac:dyDescent="0.35">
      <c r="A90" s="55" t="s">
        <v>168</v>
      </c>
      <c r="B90" s="55" t="s">
        <v>180</v>
      </c>
      <c r="C90" s="55">
        <v>97</v>
      </c>
      <c r="D90" s="58">
        <v>1.08</v>
      </c>
      <c r="E90" s="55">
        <v>25.4</v>
      </c>
      <c r="F90" s="55">
        <v>0</v>
      </c>
      <c r="G90" s="55">
        <v>65</v>
      </c>
      <c r="H90" s="55">
        <v>480</v>
      </c>
      <c r="I90" s="57">
        <v>5</v>
      </c>
      <c r="J90" s="48">
        <v>9</v>
      </c>
      <c r="K90" s="48">
        <v>9</v>
      </c>
    </row>
    <row r="91" spans="1:11" ht="15.75" customHeight="1" x14ac:dyDescent="0.35">
      <c r="A91" s="55" t="s">
        <v>168</v>
      </c>
      <c r="B91" s="48" t="s">
        <v>180</v>
      </c>
      <c r="C91" s="48">
        <v>80</v>
      </c>
      <c r="D91" s="76">
        <v>0.04</v>
      </c>
      <c r="E91" s="48">
        <v>25.3</v>
      </c>
      <c r="F91" s="48">
        <v>0</v>
      </c>
      <c r="G91" s="48">
        <v>100</v>
      </c>
      <c r="H91" s="55">
        <v>2000</v>
      </c>
      <c r="I91" s="49">
        <v>5</v>
      </c>
      <c r="J91" s="48">
        <v>0</v>
      </c>
      <c r="K91" s="48">
        <v>0</v>
      </c>
    </row>
    <row r="92" spans="1:11" ht="15.75" customHeight="1" x14ac:dyDescent="0.35">
      <c r="A92" s="55" t="s">
        <v>168</v>
      </c>
      <c r="B92" s="48" t="s">
        <v>181</v>
      </c>
      <c r="C92" s="48">
        <v>87</v>
      </c>
      <c r="D92" s="76">
        <v>9.8000000000000007</v>
      </c>
      <c r="E92" s="48">
        <v>34.5</v>
      </c>
      <c r="F92" s="48">
        <v>0</v>
      </c>
      <c r="G92" s="48">
        <v>90</v>
      </c>
      <c r="H92" s="48">
        <v>2000</v>
      </c>
      <c r="I92" s="49">
        <v>3</v>
      </c>
      <c r="J92" s="48">
        <v>4</v>
      </c>
      <c r="K92" s="48">
        <v>4</v>
      </c>
    </row>
    <row r="93" spans="1:11" ht="15.75" customHeight="1" x14ac:dyDescent="0.35">
      <c r="A93" s="55" t="s">
        <v>168</v>
      </c>
      <c r="B93" s="48" t="s">
        <v>181</v>
      </c>
      <c r="C93" s="48">
        <v>87</v>
      </c>
      <c r="D93" s="76">
        <v>9.8000000000000007</v>
      </c>
      <c r="E93" s="48">
        <v>34.5</v>
      </c>
      <c r="F93" s="48">
        <v>0</v>
      </c>
      <c r="G93" s="48">
        <v>0</v>
      </c>
      <c r="H93" s="48">
        <v>480</v>
      </c>
      <c r="I93" s="49">
        <v>3</v>
      </c>
      <c r="J93" s="48">
        <v>3</v>
      </c>
      <c r="K93" s="48">
        <v>3</v>
      </c>
    </row>
    <row r="94" spans="1:11" ht="15.75" customHeight="1" x14ac:dyDescent="0.35">
      <c r="A94" s="55" t="s">
        <v>168</v>
      </c>
      <c r="B94" s="48" t="s">
        <v>181</v>
      </c>
      <c r="C94" s="48">
        <v>80</v>
      </c>
      <c r="D94" s="76">
        <v>1.5</v>
      </c>
      <c r="E94" s="48">
        <v>26.9</v>
      </c>
      <c r="F94" s="48">
        <v>0</v>
      </c>
      <c r="G94" s="48">
        <v>100</v>
      </c>
      <c r="H94" s="48">
        <v>2000</v>
      </c>
      <c r="I94" s="49">
        <v>3</v>
      </c>
      <c r="J94" s="48">
        <v>3</v>
      </c>
      <c r="K94" s="48">
        <v>4</v>
      </c>
    </row>
    <row r="95" spans="1:11" ht="15.75" customHeight="1" x14ac:dyDescent="0.35">
      <c r="A95" s="55" t="s">
        <v>168</v>
      </c>
      <c r="B95" s="48" t="s">
        <v>198</v>
      </c>
      <c r="C95" s="48">
        <v>81</v>
      </c>
      <c r="D95" s="76">
        <v>36.6</v>
      </c>
      <c r="E95" s="48">
        <v>31.4</v>
      </c>
      <c r="F95" s="48">
        <v>0.8</v>
      </c>
      <c r="G95" s="48">
        <v>96</v>
      </c>
      <c r="H95" s="48">
        <v>480</v>
      </c>
      <c r="I95" s="49">
        <v>3</v>
      </c>
      <c r="J95" s="48">
        <v>7</v>
      </c>
      <c r="K95" s="48">
        <v>7</v>
      </c>
    </row>
    <row r="96" spans="1:11" ht="15.75" customHeight="1" x14ac:dyDescent="0.35">
      <c r="A96" s="55" t="s">
        <v>168</v>
      </c>
      <c r="B96" s="48" t="s">
        <v>198</v>
      </c>
      <c r="C96" s="48">
        <v>79</v>
      </c>
      <c r="D96" s="76">
        <v>13.35</v>
      </c>
      <c r="E96" s="48">
        <v>29.2</v>
      </c>
      <c r="F96" s="48">
        <v>0</v>
      </c>
      <c r="G96" s="48">
        <v>100</v>
      </c>
      <c r="H96" s="48">
        <v>2000</v>
      </c>
      <c r="I96" s="49">
        <v>3</v>
      </c>
      <c r="J96" s="48">
        <v>2</v>
      </c>
      <c r="K96" s="48">
        <v>2</v>
      </c>
    </row>
    <row r="97" spans="1:11" ht="15.75" customHeight="1" x14ac:dyDescent="0.35">
      <c r="A97" s="55" t="s">
        <v>168</v>
      </c>
      <c r="B97" s="48" t="s">
        <v>183</v>
      </c>
      <c r="C97" s="48">
        <v>89</v>
      </c>
      <c r="D97" s="76">
        <v>1.1000000000000001</v>
      </c>
      <c r="E97" s="48">
        <v>22.3</v>
      </c>
      <c r="F97" s="48">
        <v>0</v>
      </c>
      <c r="G97" s="48">
        <v>2</v>
      </c>
      <c r="H97" s="48">
        <v>2000</v>
      </c>
      <c r="I97" s="49">
        <v>3</v>
      </c>
      <c r="J97" s="48">
        <v>7</v>
      </c>
      <c r="K97" s="48">
        <v>10</v>
      </c>
    </row>
    <row r="98" spans="1:11" ht="15.75" customHeight="1" x14ac:dyDescent="0.35">
      <c r="A98" s="55" t="s">
        <v>168</v>
      </c>
      <c r="B98" s="48" t="s">
        <v>183</v>
      </c>
      <c r="C98" s="48">
        <v>89</v>
      </c>
      <c r="D98" s="76">
        <v>1</v>
      </c>
      <c r="E98" s="48">
        <v>22.2</v>
      </c>
      <c r="F98" s="48">
        <v>0</v>
      </c>
      <c r="G98" s="48">
        <v>100</v>
      </c>
      <c r="H98" s="48">
        <v>1420</v>
      </c>
      <c r="I98" s="49">
        <v>3</v>
      </c>
      <c r="J98" s="48">
        <v>4</v>
      </c>
      <c r="K98" s="48">
        <v>4</v>
      </c>
    </row>
    <row r="99" spans="1:11" ht="15.75" customHeight="1" x14ac:dyDescent="0.35">
      <c r="A99" s="55" t="s">
        <v>168</v>
      </c>
      <c r="B99" s="48" t="s">
        <v>183</v>
      </c>
      <c r="C99" s="48">
        <v>72</v>
      </c>
      <c r="D99" s="48">
        <v>0.75</v>
      </c>
      <c r="E99" s="48">
        <v>25</v>
      </c>
      <c r="F99" s="48">
        <v>0.9</v>
      </c>
      <c r="G99" s="48">
        <v>100</v>
      </c>
      <c r="H99" s="48">
        <v>2000</v>
      </c>
      <c r="I99" s="49">
        <v>3</v>
      </c>
      <c r="J99" s="48">
        <v>2</v>
      </c>
      <c r="K99" s="48">
        <v>3</v>
      </c>
    </row>
    <row r="100" spans="1:11" ht="15.75" customHeight="1" x14ac:dyDescent="0.35">
      <c r="A100" s="55" t="s">
        <v>168</v>
      </c>
      <c r="B100" s="48" t="s">
        <v>186</v>
      </c>
      <c r="C100" s="48">
        <v>76</v>
      </c>
      <c r="D100" s="76">
        <v>1.53</v>
      </c>
      <c r="E100" s="48">
        <v>25.4</v>
      </c>
      <c r="F100" s="48">
        <v>0</v>
      </c>
      <c r="G100" s="48">
        <v>100</v>
      </c>
      <c r="H100" s="48">
        <v>1420</v>
      </c>
      <c r="I100" s="49">
        <v>6</v>
      </c>
      <c r="J100" s="48">
        <v>4</v>
      </c>
      <c r="K100" s="48">
        <v>5</v>
      </c>
    </row>
    <row r="101" spans="1:11" ht="15.75" customHeight="1" x14ac:dyDescent="0.35">
      <c r="A101" s="48" t="s">
        <v>172</v>
      </c>
      <c r="B101" s="48" t="s">
        <v>176</v>
      </c>
      <c r="C101" s="48">
        <v>81</v>
      </c>
      <c r="D101" s="76">
        <v>1.6</v>
      </c>
      <c r="E101" s="48">
        <v>26.5</v>
      </c>
      <c r="F101" s="48">
        <v>0</v>
      </c>
      <c r="G101" s="48">
        <v>30</v>
      </c>
      <c r="H101" s="48">
        <v>2000</v>
      </c>
      <c r="I101" s="49">
        <v>4</v>
      </c>
      <c r="J101" s="48">
        <v>12</v>
      </c>
      <c r="K101" s="48">
        <v>18</v>
      </c>
    </row>
    <row r="102" spans="1:11" ht="15.75" customHeight="1" x14ac:dyDescent="0.35">
      <c r="A102" s="48" t="s">
        <v>172</v>
      </c>
      <c r="B102" s="48" t="s">
        <v>177</v>
      </c>
      <c r="C102" s="48">
        <v>96</v>
      </c>
      <c r="D102" s="76">
        <v>1.1299999999999999</v>
      </c>
      <c r="E102" s="48">
        <v>26.4</v>
      </c>
      <c r="F102" s="48">
        <v>0</v>
      </c>
      <c r="G102" s="48">
        <v>100</v>
      </c>
      <c r="H102" s="48">
        <v>2000</v>
      </c>
      <c r="I102" s="49">
        <v>3</v>
      </c>
      <c r="J102" s="48">
        <v>5</v>
      </c>
      <c r="K102" s="48">
        <v>5</v>
      </c>
    </row>
    <row r="103" spans="1:11" ht="15.75" customHeight="1" x14ac:dyDescent="0.35">
      <c r="A103" s="48" t="s">
        <v>172</v>
      </c>
      <c r="B103" s="48" t="s">
        <v>200</v>
      </c>
      <c r="C103" s="48">
        <v>99</v>
      </c>
      <c r="D103" s="76">
        <v>0.28000000000000003</v>
      </c>
      <c r="E103" s="48">
        <v>23.5</v>
      </c>
      <c r="F103" s="48">
        <v>0</v>
      </c>
      <c r="G103" s="48">
        <v>100</v>
      </c>
      <c r="H103" s="48">
        <v>650</v>
      </c>
      <c r="I103" s="49">
        <v>5</v>
      </c>
      <c r="J103" s="48">
        <v>7</v>
      </c>
      <c r="K103" s="48">
        <v>10</v>
      </c>
    </row>
    <row r="104" spans="1:11" ht="15.75" customHeight="1" x14ac:dyDescent="0.35">
      <c r="A104" s="48" t="s">
        <v>172</v>
      </c>
      <c r="B104" s="48" t="s">
        <v>180</v>
      </c>
      <c r="C104" s="48">
        <v>96</v>
      </c>
      <c r="D104" s="76">
        <v>0.64</v>
      </c>
      <c r="E104" s="48">
        <v>24.9</v>
      </c>
      <c r="F104" s="48">
        <v>0</v>
      </c>
      <c r="G104" s="48">
        <v>100</v>
      </c>
      <c r="H104" s="48">
        <v>650</v>
      </c>
      <c r="I104" s="49">
        <v>5</v>
      </c>
      <c r="J104" s="48">
        <v>9</v>
      </c>
      <c r="K104" s="48">
        <v>9</v>
      </c>
    </row>
    <row r="105" spans="1:11" ht="15.75" customHeight="1" x14ac:dyDescent="0.35">
      <c r="A105" s="48" t="s">
        <v>172</v>
      </c>
      <c r="B105" s="48" t="s">
        <v>181</v>
      </c>
      <c r="C105" s="48">
        <v>98</v>
      </c>
      <c r="D105" s="76">
        <v>2.2799999999999998</v>
      </c>
      <c r="E105" s="48">
        <v>23.7</v>
      </c>
      <c r="F105" s="48">
        <v>0</v>
      </c>
      <c r="G105" s="48">
        <v>100</v>
      </c>
      <c r="H105" s="48">
        <v>650</v>
      </c>
      <c r="I105" s="49">
        <v>3</v>
      </c>
      <c r="J105" s="48">
        <v>4</v>
      </c>
      <c r="K105" s="48">
        <v>4</v>
      </c>
    </row>
    <row r="106" spans="1:11" ht="15.75" customHeight="1" x14ac:dyDescent="0.35">
      <c r="A106" s="48" t="s">
        <v>172</v>
      </c>
      <c r="B106" s="48" t="s">
        <v>198</v>
      </c>
      <c r="C106" s="48">
        <v>99</v>
      </c>
      <c r="D106" s="76">
        <v>7.2350000000000003</v>
      </c>
      <c r="E106" s="48">
        <v>24.6</v>
      </c>
      <c r="F106" s="48">
        <v>1.4</v>
      </c>
      <c r="G106" s="48">
        <v>100</v>
      </c>
      <c r="H106" s="48">
        <v>650</v>
      </c>
      <c r="I106" s="49">
        <v>3</v>
      </c>
      <c r="J106" s="48">
        <v>10</v>
      </c>
      <c r="K106" s="48">
        <v>16</v>
      </c>
    </row>
    <row r="107" spans="1:11" ht="15.75" customHeight="1" x14ac:dyDescent="0.35">
      <c r="A107" s="48" t="s">
        <v>172</v>
      </c>
      <c r="B107" s="48" t="s">
        <v>183</v>
      </c>
      <c r="C107" s="48">
        <v>84</v>
      </c>
      <c r="D107" s="76">
        <v>0.5</v>
      </c>
      <c r="E107" s="48">
        <v>25.9</v>
      </c>
      <c r="F107" s="48">
        <v>0</v>
      </c>
      <c r="G107" s="48">
        <v>100</v>
      </c>
      <c r="H107" s="48">
        <v>2000</v>
      </c>
      <c r="I107" s="49">
        <v>3</v>
      </c>
      <c r="J107" s="48">
        <v>4</v>
      </c>
      <c r="K107" s="48">
        <v>4</v>
      </c>
    </row>
    <row r="108" spans="1:11" ht="15.75" customHeight="1" x14ac:dyDescent="0.35">
      <c r="A108" s="48" t="s">
        <v>172</v>
      </c>
      <c r="B108" s="48" t="s">
        <v>186</v>
      </c>
      <c r="C108" s="48">
        <v>83</v>
      </c>
      <c r="D108" s="76">
        <v>1.1299999999999999</v>
      </c>
      <c r="E108" s="48">
        <v>25.5</v>
      </c>
      <c r="F108" s="48">
        <v>0</v>
      </c>
      <c r="G108" s="48">
        <v>100</v>
      </c>
      <c r="H108" s="48">
        <v>2000</v>
      </c>
      <c r="I108" s="49">
        <v>6</v>
      </c>
      <c r="J108" s="48">
        <v>9</v>
      </c>
      <c r="K108" s="48">
        <v>19</v>
      </c>
    </row>
    <row r="109" spans="1:11" ht="15.75" customHeight="1" x14ac:dyDescent="0.35">
      <c r="D109" s="76"/>
    </row>
    <row r="110" spans="1:11" ht="15.75" customHeight="1" x14ac:dyDescent="0.35">
      <c r="D110" s="76"/>
    </row>
    <row r="111" spans="1:11" ht="15.75" customHeight="1" x14ac:dyDescent="0.35">
      <c r="D111" s="76"/>
    </row>
    <row r="112" spans="1:11" ht="15.75" customHeight="1" x14ac:dyDescent="0.35">
      <c r="D112" s="76"/>
    </row>
    <row r="113" spans="4:4" ht="15.75" customHeight="1" x14ac:dyDescent="0.35">
      <c r="D113" s="76"/>
    </row>
    <row r="114" spans="4:4" ht="15.75" customHeight="1" x14ac:dyDescent="0.35">
      <c r="D114" s="76"/>
    </row>
    <row r="115" spans="4:4" ht="15.75" customHeight="1" x14ac:dyDescent="0.35">
      <c r="D115" s="76"/>
    </row>
    <row r="116" spans="4:4" ht="15.75" customHeight="1" x14ac:dyDescent="0.35">
      <c r="D116" s="76"/>
    </row>
    <row r="117" spans="4:4" ht="15.75" customHeight="1" x14ac:dyDescent="0.35">
      <c r="D117" s="76"/>
    </row>
    <row r="118" spans="4:4" ht="15.75" customHeight="1" x14ac:dyDescent="0.35">
      <c r="D118" s="76"/>
    </row>
    <row r="119" spans="4:4" ht="15.75" customHeight="1" x14ac:dyDescent="0.35">
      <c r="D119" s="76"/>
    </row>
    <row r="120" spans="4:4" ht="15.75" customHeight="1" x14ac:dyDescent="0.35">
      <c r="D120" s="76"/>
    </row>
    <row r="121" spans="4:4" ht="15.75" customHeight="1" x14ac:dyDescent="0.35">
      <c r="D121" s="76"/>
    </row>
    <row r="122" spans="4:4" ht="15.75" customHeight="1" x14ac:dyDescent="0.35">
      <c r="D122" s="76"/>
    </row>
    <row r="123" spans="4:4" ht="15.75" customHeight="1" x14ac:dyDescent="0.35">
      <c r="D123" s="76"/>
    </row>
    <row r="124" spans="4:4" ht="15.75" customHeight="1" x14ac:dyDescent="0.35">
      <c r="D124" s="76"/>
    </row>
    <row r="125" spans="4:4" ht="15.75" customHeight="1" x14ac:dyDescent="0.35">
      <c r="D125" s="76"/>
    </row>
    <row r="126" spans="4:4" ht="15.75" customHeight="1" x14ac:dyDescent="0.35">
      <c r="D126" s="76"/>
    </row>
    <row r="127" spans="4:4" ht="15.75" customHeight="1" x14ac:dyDescent="0.35">
      <c r="D127" s="76"/>
    </row>
    <row r="128" spans="4:4" ht="15.75" customHeight="1" x14ac:dyDescent="0.35">
      <c r="D128" s="76"/>
    </row>
    <row r="129" spans="4:4" ht="15.75" customHeight="1" x14ac:dyDescent="0.35">
      <c r="D129" s="76"/>
    </row>
    <row r="130" spans="4:4" ht="15.75" customHeight="1" x14ac:dyDescent="0.35">
      <c r="D130" s="76"/>
    </row>
    <row r="131" spans="4:4" ht="15.75" customHeight="1" x14ac:dyDescent="0.35">
      <c r="D131" s="76"/>
    </row>
    <row r="132" spans="4:4" ht="15.75" customHeight="1" x14ac:dyDescent="0.35">
      <c r="D132" s="76"/>
    </row>
    <row r="133" spans="4:4" ht="15.75" customHeight="1" x14ac:dyDescent="0.35">
      <c r="D133" s="76"/>
    </row>
    <row r="134" spans="4:4" ht="15.75" customHeight="1" x14ac:dyDescent="0.35">
      <c r="D134" s="76"/>
    </row>
    <row r="135" spans="4:4" ht="15.75" customHeight="1" x14ac:dyDescent="0.35">
      <c r="D135" s="76"/>
    </row>
    <row r="136" spans="4:4" ht="15.75" customHeight="1" x14ac:dyDescent="0.35">
      <c r="D136" s="76"/>
    </row>
    <row r="137" spans="4:4" ht="15.75" customHeight="1" x14ac:dyDescent="0.35">
      <c r="D137" s="76"/>
    </row>
    <row r="138" spans="4:4" ht="15.75" customHeight="1" x14ac:dyDescent="0.35">
      <c r="D138" s="76"/>
    </row>
    <row r="139" spans="4:4" ht="15.75" customHeight="1" x14ac:dyDescent="0.35">
      <c r="D139" s="76"/>
    </row>
    <row r="140" spans="4:4" ht="15.75" customHeight="1" x14ac:dyDescent="0.35">
      <c r="D140" s="76"/>
    </row>
    <row r="141" spans="4:4" ht="15.75" customHeight="1" x14ac:dyDescent="0.35">
      <c r="D141" s="76"/>
    </row>
    <row r="142" spans="4:4" ht="15.75" customHeight="1" x14ac:dyDescent="0.35">
      <c r="D142" s="76"/>
    </row>
    <row r="143" spans="4:4" ht="15.75" customHeight="1" x14ac:dyDescent="0.35">
      <c r="D143" s="76"/>
    </row>
    <row r="144" spans="4:4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>
      <c r="D169" s="76"/>
    </row>
    <row r="170" spans="4:4" ht="15.75" customHeight="1" x14ac:dyDescent="0.35">
      <c r="D170" s="76"/>
    </row>
    <row r="171" spans="4:4" ht="15.75" customHeight="1" x14ac:dyDescent="0.35">
      <c r="D171" s="76"/>
    </row>
    <row r="172" spans="4:4" ht="15.75" customHeight="1" x14ac:dyDescent="0.35">
      <c r="D172" s="76"/>
    </row>
    <row r="173" spans="4:4" ht="15.75" customHeight="1" x14ac:dyDescent="0.35">
      <c r="D173" s="76"/>
    </row>
    <row r="174" spans="4:4" ht="15.75" customHeight="1" x14ac:dyDescent="0.35">
      <c r="D174" s="76"/>
    </row>
    <row r="175" spans="4:4" ht="15.75" customHeight="1" x14ac:dyDescent="0.35">
      <c r="D175" s="76"/>
    </row>
    <row r="176" spans="4:4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/>
    <row r="182" spans="4:4" ht="15.75" customHeight="1" x14ac:dyDescent="0.35"/>
    <row r="183" spans="4:4" ht="15.75" customHeight="1" x14ac:dyDescent="0.35"/>
    <row r="184" spans="4:4" ht="15.75" customHeight="1" x14ac:dyDescent="0.35"/>
    <row r="185" spans="4:4" ht="15.75" customHeight="1" x14ac:dyDescent="0.35"/>
    <row r="186" spans="4:4" ht="15.75" customHeight="1" x14ac:dyDescent="0.35"/>
    <row r="187" spans="4:4" ht="15.75" customHeight="1" x14ac:dyDescent="0.35"/>
    <row r="188" spans="4:4" ht="15.75" customHeight="1" x14ac:dyDescent="0.35"/>
    <row r="189" spans="4:4" ht="15.75" customHeight="1" x14ac:dyDescent="0.35"/>
    <row r="190" spans="4:4" ht="15.75" customHeight="1" x14ac:dyDescent="0.35"/>
    <row r="191" spans="4:4" ht="15.75" customHeight="1" x14ac:dyDescent="0.35"/>
    <row r="192" spans="4:4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workbookViewId="0">
      <selection activeCell="K6" sqref="K6"/>
    </sheetView>
  </sheetViews>
  <sheetFormatPr defaultRowHeight="14.5" x14ac:dyDescent="0.35"/>
  <sheetData>
    <row r="1" spans="1:10" ht="120" x14ac:dyDescent="0.35">
      <c r="A1" s="51" t="s">
        <v>196</v>
      </c>
      <c r="B1" s="51" t="s">
        <v>187</v>
      </c>
      <c r="C1" s="52" t="s">
        <v>188</v>
      </c>
      <c r="D1" s="54" t="s">
        <v>189</v>
      </c>
      <c r="E1" s="52" t="s">
        <v>190</v>
      </c>
      <c r="F1" s="52" t="s">
        <v>191</v>
      </c>
      <c r="G1" s="52" t="s">
        <v>197</v>
      </c>
      <c r="H1" s="53" t="s">
        <v>194</v>
      </c>
      <c r="I1" s="48" t="s">
        <v>195</v>
      </c>
      <c r="J1" s="48" t="s">
        <v>175</v>
      </c>
    </row>
    <row r="2" spans="1:10" x14ac:dyDescent="0.35">
      <c r="A2" s="55" t="s">
        <v>146</v>
      </c>
      <c r="B2" s="61" t="s">
        <v>176</v>
      </c>
      <c r="C2" s="55">
        <v>99</v>
      </c>
      <c r="D2" s="70">
        <v>0.27700000000000002</v>
      </c>
      <c r="E2" s="55">
        <v>26.4</v>
      </c>
      <c r="F2" s="55">
        <v>0</v>
      </c>
      <c r="G2" s="55">
        <v>2000</v>
      </c>
      <c r="H2" s="57">
        <v>4</v>
      </c>
      <c r="I2" s="48">
        <v>6</v>
      </c>
      <c r="J2" s="48">
        <v>22</v>
      </c>
    </row>
    <row r="3" spans="1:10" x14ac:dyDescent="0.35">
      <c r="A3" s="55" t="s">
        <v>146</v>
      </c>
      <c r="B3" s="61" t="s">
        <v>177</v>
      </c>
      <c r="C3" s="55">
        <v>92</v>
      </c>
      <c r="D3" s="58">
        <v>0.78</v>
      </c>
      <c r="E3" s="55">
        <v>24.6</v>
      </c>
      <c r="F3" s="55">
        <v>0</v>
      </c>
      <c r="G3" s="55">
        <v>2000</v>
      </c>
      <c r="H3" s="57">
        <v>3</v>
      </c>
      <c r="I3" s="48">
        <v>9</v>
      </c>
      <c r="J3" s="48">
        <v>14</v>
      </c>
    </row>
    <row r="4" spans="1:10" x14ac:dyDescent="0.35">
      <c r="A4" s="55" t="s">
        <v>146</v>
      </c>
      <c r="B4" s="61" t="s">
        <v>200</v>
      </c>
      <c r="C4" s="55">
        <v>94</v>
      </c>
      <c r="D4" s="70">
        <v>0.50800000000000001</v>
      </c>
      <c r="E4" s="55">
        <v>24.8</v>
      </c>
      <c r="F4" s="55">
        <v>0</v>
      </c>
      <c r="G4" s="55">
        <v>2000</v>
      </c>
      <c r="H4" s="57">
        <v>5</v>
      </c>
      <c r="I4" s="48">
        <v>8</v>
      </c>
      <c r="J4" s="48">
        <v>8</v>
      </c>
    </row>
    <row r="5" spans="1:10" x14ac:dyDescent="0.35">
      <c r="A5" s="55" t="s">
        <v>146</v>
      </c>
      <c r="B5" s="61" t="s">
        <v>200</v>
      </c>
      <c r="C5" s="55">
        <v>94</v>
      </c>
      <c r="D5" s="70">
        <v>0.5</v>
      </c>
      <c r="E5" s="55">
        <v>24.8</v>
      </c>
      <c r="F5" s="55">
        <v>0</v>
      </c>
      <c r="G5" s="55">
        <v>870</v>
      </c>
      <c r="H5" s="57">
        <v>5</v>
      </c>
      <c r="I5" s="48">
        <v>2</v>
      </c>
      <c r="J5" s="48">
        <v>6</v>
      </c>
    </row>
    <row r="6" spans="1:10" x14ac:dyDescent="0.35">
      <c r="A6" s="55" t="s">
        <v>146</v>
      </c>
      <c r="B6" s="61" t="s">
        <v>200</v>
      </c>
      <c r="C6" s="59">
        <v>94</v>
      </c>
      <c r="D6" s="70">
        <v>0.5</v>
      </c>
      <c r="E6" s="55">
        <v>23</v>
      </c>
      <c r="F6" s="55">
        <v>0</v>
      </c>
      <c r="G6" s="55">
        <v>2000</v>
      </c>
      <c r="H6" s="57">
        <v>5</v>
      </c>
      <c r="I6" s="48">
        <v>5</v>
      </c>
      <c r="J6" s="48">
        <v>5</v>
      </c>
    </row>
    <row r="7" spans="1:10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22</v>
      </c>
      <c r="F7" s="55">
        <v>0</v>
      </c>
      <c r="G7" s="55">
        <v>2000</v>
      </c>
      <c r="H7" s="57">
        <v>5</v>
      </c>
      <c r="I7" s="48">
        <v>1</v>
      </c>
      <c r="J7" s="48">
        <v>1</v>
      </c>
    </row>
    <row r="8" spans="1:10" x14ac:dyDescent="0.35">
      <c r="A8" s="55" t="s">
        <v>146</v>
      </c>
      <c r="B8" s="61" t="s">
        <v>181</v>
      </c>
      <c r="C8" s="55">
        <v>99</v>
      </c>
      <c r="D8" s="58">
        <v>7.59</v>
      </c>
      <c r="E8" s="55">
        <v>23.9</v>
      </c>
      <c r="F8" s="55">
        <v>0</v>
      </c>
      <c r="G8" s="55">
        <v>870</v>
      </c>
      <c r="H8" s="57">
        <v>3</v>
      </c>
      <c r="I8" s="48">
        <v>5</v>
      </c>
      <c r="J8" s="48">
        <v>6</v>
      </c>
    </row>
    <row r="9" spans="1:10" x14ac:dyDescent="0.35">
      <c r="A9" s="55" t="s">
        <v>146</v>
      </c>
      <c r="B9" s="61" t="s">
        <v>198</v>
      </c>
      <c r="C9" s="55">
        <v>99</v>
      </c>
      <c r="D9" s="58">
        <v>13.05</v>
      </c>
      <c r="E9" s="55">
        <v>25.9</v>
      </c>
      <c r="F9" s="55">
        <v>0.45</v>
      </c>
      <c r="G9" s="55">
        <v>870</v>
      </c>
      <c r="H9" s="57">
        <v>3</v>
      </c>
      <c r="I9" s="48">
        <v>4</v>
      </c>
      <c r="J9" s="48">
        <v>4</v>
      </c>
    </row>
    <row r="10" spans="1:10" x14ac:dyDescent="0.35">
      <c r="A10" s="55" t="s">
        <v>146</v>
      </c>
      <c r="B10" s="61" t="s">
        <v>199</v>
      </c>
      <c r="C10" s="55">
        <v>93</v>
      </c>
      <c r="D10" s="58">
        <v>6.64</v>
      </c>
      <c r="E10" s="55">
        <v>26</v>
      </c>
      <c r="F10" s="55">
        <v>0</v>
      </c>
      <c r="G10" s="55">
        <v>870</v>
      </c>
      <c r="H10" s="57">
        <v>2</v>
      </c>
      <c r="I10" s="48">
        <v>7</v>
      </c>
      <c r="J10" s="48">
        <v>13</v>
      </c>
    </row>
    <row r="11" spans="1:10" x14ac:dyDescent="0.35">
      <c r="A11" s="55" t="s">
        <v>146</v>
      </c>
      <c r="B11" s="61" t="s">
        <v>199</v>
      </c>
      <c r="C11" s="55">
        <v>59</v>
      </c>
      <c r="D11" s="58">
        <v>39.5</v>
      </c>
      <c r="E11" s="55">
        <v>31.13</v>
      </c>
      <c r="F11" s="55">
        <v>2.1</v>
      </c>
      <c r="G11" s="55">
        <v>2000</v>
      </c>
      <c r="H11" s="57">
        <v>2</v>
      </c>
      <c r="I11" s="48">
        <v>4</v>
      </c>
      <c r="J11" s="48">
        <v>9</v>
      </c>
    </row>
    <row r="12" spans="1:10" x14ac:dyDescent="0.35">
      <c r="A12" s="55" t="s">
        <v>146</v>
      </c>
      <c r="B12" s="61" t="s">
        <v>199</v>
      </c>
      <c r="C12" s="55">
        <v>80</v>
      </c>
      <c r="D12" s="58">
        <v>6.56</v>
      </c>
      <c r="E12" s="55">
        <v>23.9</v>
      </c>
      <c r="F12" s="55">
        <v>0</v>
      </c>
      <c r="G12" s="55">
        <v>2000</v>
      </c>
      <c r="H12" s="57">
        <v>2</v>
      </c>
      <c r="I12" s="48">
        <v>0</v>
      </c>
      <c r="J12" s="48">
        <v>0</v>
      </c>
    </row>
    <row r="13" spans="1:10" x14ac:dyDescent="0.35">
      <c r="A13" s="55" t="s">
        <v>146</v>
      </c>
      <c r="B13" s="61" t="s">
        <v>183</v>
      </c>
      <c r="C13" s="55">
        <v>79</v>
      </c>
      <c r="D13" s="58">
        <v>15.5</v>
      </c>
      <c r="E13" s="55">
        <v>28.3</v>
      </c>
      <c r="F13" s="55">
        <v>0</v>
      </c>
      <c r="G13" s="55">
        <v>1360</v>
      </c>
      <c r="H13" s="57">
        <v>3</v>
      </c>
      <c r="I13" s="48">
        <v>3</v>
      </c>
      <c r="J13" s="48">
        <v>3</v>
      </c>
    </row>
    <row r="14" spans="1:10" x14ac:dyDescent="0.35">
      <c r="A14" s="55" t="s">
        <v>146</v>
      </c>
      <c r="B14" s="61" t="s">
        <v>183</v>
      </c>
      <c r="C14" s="55">
        <v>79</v>
      </c>
      <c r="D14" s="58">
        <v>4.87</v>
      </c>
      <c r="E14" s="55">
        <v>25.2</v>
      </c>
      <c r="F14" s="55">
        <v>0</v>
      </c>
      <c r="G14" s="55">
        <v>2000</v>
      </c>
      <c r="H14" s="57">
        <v>3</v>
      </c>
      <c r="I14" s="48">
        <v>0</v>
      </c>
      <c r="J14" s="48">
        <v>0</v>
      </c>
    </row>
    <row r="15" spans="1:10" x14ac:dyDescent="0.35">
      <c r="A15" s="55" t="s">
        <v>146</v>
      </c>
      <c r="B15" s="61" t="s">
        <v>185</v>
      </c>
      <c r="C15" s="55">
        <v>86</v>
      </c>
      <c r="D15" s="58">
        <v>19.5</v>
      </c>
      <c r="E15" s="55">
        <v>27.4</v>
      </c>
      <c r="F15" s="55">
        <v>2.9</v>
      </c>
      <c r="G15" s="55">
        <v>1360</v>
      </c>
      <c r="H15" s="57">
        <v>1</v>
      </c>
      <c r="I15" s="48">
        <v>3</v>
      </c>
      <c r="J15" s="48">
        <v>5</v>
      </c>
    </row>
    <row r="16" spans="1:10" x14ac:dyDescent="0.35">
      <c r="A16" s="55" t="s">
        <v>146</v>
      </c>
      <c r="B16" s="61" t="s">
        <v>186</v>
      </c>
      <c r="C16" s="55">
        <v>79</v>
      </c>
      <c r="D16" s="58">
        <v>0.56999999999999995</v>
      </c>
      <c r="E16" s="55">
        <v>24.8</v>
      </c>
      <c r="F16" s="55">
        <v>0</v>
      </c>
      <c r="G16" s="55">
        <v>1360</v>
      </c>
      <c r="H16" s="57">
        <v>6</v>
      </c>
      <c r="I16" s="48">
        <v>3</v>
      </c>
      <c r="J16" s="48">
        <v>4</v>
      </c>
    </row>
    <row r="17" spans="1:10" x14ac:dyDescent="0.35">
      <c r="A17" s="55" t="s">
        <v>146</v>
      </c>
      <c r="B17" s="61" t="s">
        <v>186</v>
      </c>
      <c r="C17" s="55">
        <v>96</v>
      </c>
      <c r="D17" s="58">
        <v>15.05</v>
      </c>
      <c r="E17" s="55">
        <v>30.2</v>
      </c>
      <c r="F17" s="55">
        <v>0</v>
      </c>
      <c r="G17" s="55">
        <v>2000</v>
      </c>
      <c r="H17" s="57">
        <v>6</v>
      </c>
      <c r="I17" s="48">
        <v>2</v>
      </c>
      <c r="J17" s="48">
        <v>6</v>
      </c>
    </row>
    <row r="18" spans="1:10" x14ac:dyDescent="0.35">
      <c r="A18" s="55" t="s">
        <v>146</v>
      </c>
      <c r="B18" s="55" t="s">
        <v>186</v>
      </c>
      <c r="C18" s="55">
        <v>57</v>
      </c>
      <c r="D18" s="58">
        <v>153.19999999999999</v>
      </c>
      <c r="E18" s="55">
        <v>30.2</v>
      </c>
      <c r="F18" s="55">
        <v>0.4</v>
      </c>
      <c r="G18" s="55">
        <v>2000</v>
      </c>
      <c r="H18" s="57">
        <v>6</v>
      </c>
      <c r="I18" s="48">
        <v>2</v>
      </c>
      <c r="J18" s="48">
        <v>3</v>
      </c>
    </row>
    <row r="19" spans="1:10" x14ac:dyDescent="0.35">
      <c r="A19" s="55" t="s">
        <v>153</v>
      </c>
      <c r="B19" s="61" t="s">
        <v>176</v>
      </c>
      <c r="C19" s="55">
        <v>98</v>
      </c>
      <c r="D19" s="58">
        <v>7.54</v>
      </c>
      <c r="E19" s="55">
        <v>25.8</v>
      </c>
      <c r="F19" s="55">
        <v>0</v>
      </c>
      <c r="G19" s="55">
        <v>2000</v>
      </c>
      <c r="H19" s="57">
        <v>4</v>
      </c>
      <c r="I19" s="48">
        <v>5</v>
      </c>
      <c r="J19" s="48">
        <v>7</v>
      </c>
    </row>
    <row r="20" spans="1:10" x14ac:dyDescent="0.35">
      <c r="A20" s="55" t="s">
        <v>153</v>
      </c>
      <c r="B20" s="61" t="s">
        <v>176</v>
      </c>
      <c r="C20" s="55">
        <v>99</v>
      </c>
      <c r="D20" s="58">
        <v>6.06</v>
      </c>
      <c r="E20" s="55">
        <v>25.35</v>
      </c>
      <c r="F20" s="55">
        <v>0</v>
      </c>
      <c r="G20" s="55">
        <v>580</v>
      </c>
      <c r="H20" s="57">
        <v>4</v>
      </c>
      <c r="I20" s="48">
        <v>9</v>
      </c>
      <c r="J20" s="48">
        <v>9</v>
      </c>
    </row>
    <row r="21" spans="1:10" x14ac:dyDescent="0.35">
      <c r="A21" s="55" t="s">
        <v>153</v>
      </c>
      <c r="B21" s="61" t="s">
        <v>177</v>
      </c>
      <c r="C21" s="55">
        <v>98</v>
      </c>
      <c r="D21" s="58">
        <v>0.77</v>
      </c>
      <c r="E21" s="55">
        <v>22.6</v>
      </c>
      <c r="F21" s="55">
        <v>0</v>
      </c>
      <c r="G21" s="55">
        <v>580</v>
      </c>
      <c r="H21" s="57">
        <v>3</v>
      </c>
      <c r="I21" s="48">
        <v>8</v>
      </c>
      <c r="J21" s="48">
        <v>14</v>
      </c>
    </row>
    <row r="22" spans="1:10" x14ac:dyDescent="0.35">
      <c r="A22" s="55" t="s">
        <v>153</v>
      </c>
      <c r="B22" s="61" t="s">
        <v>177</v>
      </c>
      <c r="C22" s="55">
        <v>82</v>
      </c>
      <c r="D22" s="70">
        <v>0.19800000000000001</v>
      </c>
      <c r="E22" s="55">
        <v>24.3</v>
      </c>
      <c r="F22" s="55">
        <v>0</v>
      </c>
      <c r="G22" s="55">
        <v>2000</v>
      </c>
      <c r="H22" s="57">
        <v>3</v>
      </c>
      <c r="I22" s="48">
        <v>9</v>
      </c>
      <c r="J22" s="48">
        <v>12</v>
      </c>
    </row>
    <row r="23" spans="1:10" x14ac:dyDescent="0.35">
      <c r="A23" s="55" t="s">
        <v>153</v>
      </c>
      <c r="B23" s="61" t="s">
        <v>200</v>
      </c>
      <c r="C23" s="55">
        <v>98</v>
      </c>
      <c r="D23" s="58">
        <v>3.69</v>
      </c>
      <c r="E23" s="55">
        <v>22.35</v>
      </c>
      <c r="F23" s="55">
        <v>0</v>
      </c>
      <c r="G23" s="55">
        <v>870</v>
      </c>
      <c r="H23" s="57">
        <v>5</v>
      </c>
      <c r="I23" s="48">
        <v>3</v>
      </c>
      <c r="J23" s="48">
        <v>7</v>
      </c>
    </row>
    <row r="24" spans="1:10" x14ac:dyDescent="0.35">
      <c r="A24" s="55" t="s">
        <v>153</v>
      </c>
      <c r="B24" s="61" t="s">
        <v>200</v>
      </c>
      <c r="C24" s="55">
        <v>98</v>
      </c>
      <c r="D24" s="58">
        <v>3.69</v>
      </c>
      <c r="E24" s="55">
        <v>22.35</v>
      </c>
      <c r="F24" s="55">
        <v>0</v>
      </c>
      <c r="G24" s="55">
        <v>870</v>
      </c>
      <c r="H24" s="57">
        <v>5</v>
      </c>
      <c r="I24" s="48">
        <v>13</v>
      </c>
      <c r="J24" s="48">
        <v>14</v>
      </c>
    </row>
    <row r="25" spans="1:10" x14ac:dyDescent="0.35">
      <c r="A25" s="55" t="s">
        <v>153</v>
      </c>
      <c r="B25" s="61" t="s">
        <v>200</v>
      </c>
      <c r="C25" s="55">
        <v>90</v>
      </c>
      <c r="D25" s="70">
        <v>3.5000000000000003E-2</v>
      </c>
      <c r="E25" s="55">
        <v>24.2</v>
      </c>
      <c r="F25" s="55">
        <v>0</v>
      </c>
      <c r="G25" s="55">
        <v>2000</v>
      </c>
      <c r="H25" s="57">
        <v>5</v>
      </c>
      <c r="I25" s="48">
        <v>1</v>
      </c>
      <c r="J25" s="48">
        <v>1</v>
      </c>
    </row>
    <row r="26" spans="1:10" x14ac:dyDescent="0.35">
      <c r="A26" s="55" t="s">
        <v>153</v>
      </c>
      <c r="B26" s="61" t="s">
        <v>200</v>
      </c>
      <c r="C26" s="55">
        <v>61</v>
      </c>
      <c r="D26" s="70">
        <v>9.4E-2</v>
      </c>
      <c r="E26" s="55">
        <v>25.5</v>
      </c>
      <c r="F26" s="55">
        <v>0</v>
      </c>
      <c r="G26" s="55">
        <v>2000</v>
      </c>
      <c r="H26" s="57">
        <v>5</v>
      </c>
      <c r="I26" s="48">
        <v>6</v>
      </c>
      <c r="J26" s="48">
        <v>8</v>
      </c>
    </row>
    <row r="27" spans="1:10" x14ac:dyDescent="0.35">
      <c r="A27" s="55" t="s">
        <v>153</v>
      </c>
      <c r="B27" s="61" t="s">
        <v>200</v>
      </c>
      <c r="C27" s="55">
        <v>65</v>
      </c>
      <c r="D27" s="70">
        <v>3.5000000000000003E-2</v>
      </c>
      <c r="E27" s="55">
        <v>25.7</v>
      </c>
      <c r="F27" s="55">
        <v>0</v>
      </c>
      <c r="G27" s="55">
        <v>2000</v>
      </c>
      <c r="H27" s="57">
        <v>5</v>
      </c>
      <c r="I27" s="48">
        <v>3</v>
      </c>
      <c r="J27" s="48">
        <v>3</v>
      </c>
    </row>
    <row r="28" spans="1:10" x14ac:dyDescent="0.35">
      <c r="A28" s="55" t="s">
        <v>153</v>
      </c>
      <c r="B28" s="61" t="s">
        <v>180</v>
      </c>
      <c r="C28" s="55">
        <v>85</v>
      </c>
      <c r="D28" s="58">
        <v>3.81</v>
      </c>
      <c r="E28" s="55">
        <v>25</v>
      </c>
      <c r="F28" s="55">
        <v>0</v>
      </c>
      <c r="G28" s="55">
        <v>870</v>
      </c>
      <c r="H28" s="57">
        <v>5</v>
      </c>
      <c r="I28" s="48">
        <v>3</v>
      </c>
      <c r="J28" s="48">
        <v>3</v>
      </c>
    </row>
    <row r="29" spans="1:10" x14ac:dyDescent="0.35">
      <c r="A29" s="55" t="s">
        <v>153</v>
      </c>
      <c r="B29" s="61" t="s">
        <v>180</v>
      </c>
      <c r="C29" s="55">
        <v>61</v>
      </c>
      <c r="D29" s="58">
        <v>4.78</v>
      </c>
      <c r="E29" s="55">
        <v>28.7</v>
      </c>
      <c r="F29" s="55">
        <v>0</v>
      </c>
      <c r="G29" s="55">
        <v>2000</v>
      </c>
      <c r="H29" s="57">
        <v>5</v>
      </c>
      <c r="I29" s="48">
        <v>0</v>
      </c>
      <c r="J29" s="48">
        <v>0</v>
      </c>
    </row>
    <row r="30" spans="1:10" x14ac:dyDescent="0.35">
      <c r="A30" s="55" t="s">
        <v>153</v>
      </c>
      <c r="B30" s="61" t="s">
        <v>180</v>
      </c>
      <c r="C30" s="55">
        <v>47</v>
      </c>
      <c r="D30" s="70">
        <v>0.74399999999999999</v>
      </c>
      <c r="E30" s="55">
        <v>29.9</v>
      </c>
      <c r="F30" s="55">
        <v>0</v>
      </c>
      <c r="G30" s="55">
        <v>2000</v>
      </c>
      <c r="H30" s="57">
        <v>5</v>
      </c>
      <c r="I30" s="48">
        <v>2</v>
      </c>
      <c r="J30" s="48">
        <v>2</v>
      </c>
    </row>
    <row r="31" spans="1:10" x14ac:dyDescent="0.35">
      <c r="A31" s="55" t="s">
        <v>153</v>
      </c>
      <c r="B31" s="61" t="s">
        <v>180</v>
      </c>
      <c r="C31" s="55">
        <v>50</v>
      </c>
      <c r="D31" s="70">
        <v>0.7</v>
      </c>
      <c r="E31" s="55">
        <v>26.3</v>
      </c>
      <c r="F31" s="55">
        <v>0</v>
      </c>
      <c r="G31" s="55">
        <v>2000</v>
      </c>
      <c r="H31" s="57">
        <v>5</v>
      </c>
      <c r="I31" s="48">
        <v>2</v>
      </c>
      <c r="J31" s="48">
        <v>5</v>
      </c>
    </row>
    <row r="32" spans="1:10" x14ac:dyDescent="0.35">
      <c r="A32" s="55" t="s">
        <v>153</v>
      </c>
      <c r="B32" s="61" t="s">
        <v>181</v>
      </c>
      <c r="C32" s="55">
        <v>85</v>
      </c>
      <c r="D32" s="58">
        <v>13.84</v>
      </c>
      <c r="E32" s="55">
        <v>26.7</v>
      </c>
      <c r="F32" s="55">
        <v>0</v>
      </c>
      <c r="G32" s="55">
        <v>870</v>
      </c>
      <c r="H32" s="57">
        <v>3</v>
      </c>
      <c r="I32" s="48">
        <v>4</v>
      </c>
      <c r="J32" s="48">
        <v>6</v>
      </c>
    </row>
    <row r="33" spans="1:10" x14ac:dyDescent="0.35">
      <c r="A33" s="55" t="s">
        <v>153</v>
      </c>
      <c r="B33" s="61" t="s">
        <v>181</v>
      </c>
      <c r="C33" s="55">
        <v>55</v>
      </c>
      <c r="D33" s="58">
        <v>55.3</v>
      </c>
      <c r="E33" s="55">
        <v>30.2</v>
      </c>
      <c r="F33" s="55">
        <v>0</v>
      </c>
      <c r="G33" s="55">
        <v>2000</v>
      </c>
      <c r="H33" s="57">
        <v>3</v>
      </c>
      <c r="I33" s="48">
        <v>0</v>
      </c>
      <c r="J33" s="48">
        <v>0</v>
      </c>
    </row>
    <row r="34" spans="1:10" x14ac:dyDescent="0.35">
      <c r="A34" s="55" t="s">
        <v>153</v>
      </c>
      <c r="B34" s="61" t="s">
        <v>181</v>
      </c>
      <c r="C34" s="55">
        <v>51</v>
      </c>
      <c r="D34" s="58">
        <v>26.78</v>
      </c>
      <c r="E34" s="55">
        <v>30.7</v>
      </c>
      <c r="F34" s="55">
        <v>0</v>
      </c>
      <c r="G34" s="55">
        <v>2000</v>
      </c>
      <c r="H34" s="57">
        <v>3</v>
      </c>
      <c r="I34" s="48">
        <v>2</v>
      </c>
      <c r="J34" s="48">
        <v>2</v>
      </c>
    </row>
    <row r="35" spans="1:10" x14ac:dyDescent="0.35">
      <c r="A35" s="55" t="s">
        <v>153</v>
      </c>
      <c r="B35" s="61" t="s">
        <v>198</v>
      </c>
      <c r="C35" s="55">
        <v>90</v>
      </c>
      <c r="D35" s="58">
        <v>8.44</v>
      </c>
      <c r="E35" s="55">
        <v>27.4</v>
      </c>
      <c r="F35" s="55">
        <v>0.8</v>
      </c>
      <c r="G35" s="55">
        <v>870</v>
      </c>
      <c r="H35" s="57">
        <v>3</v>
      </c>
      <c r="I35" s="48">
        <v>12</v>
      </c>
      <c r="J35" s="48">
        <v>17</v>
      </c>
    </row>
    <row r="36" spans="1:10" x14ac:dyDescent="0.35">
      <c r="A36" s="55" t="s">
        <v>153</v>
      </c>
      <c r="B36" s="56" t="s">
        <v>198</v>
      </c>
      <c r="C36" s="55">
        <v>58</v>
      </c>
      <c r="D36" s="58">
        <v>30.1</v>
      </c>
      <c r="E36" s="55">
        <v>29.1</v>
      </c>
      <c r="F36" s="55">
        <v>0</v>
      </c>
      <c r="G36" s="55">
        <v>2000</v>
      </c>
      <c r="H36" s="57">
        <v>3</v>
      </c>
      <c r="I36" s="48">
        <v>2</v>
      </c>
      <c r="J36" s="48">
        <v>2</v>
      </c>
    </row>
    <row r="37" spans="1:10" x14ac:dyDescent="0.35">
      <c r="A37" s="55" t="s">
        <v>153</v>
      </c>
      <c r="B37" s="61" t="s">
        <v>199</v>
      </c>
      <c r="C37" s="55">
        <v>77</v>
      </c>
      <c r="D37" s="70">
        <v>1.79</v>
      </c>
      <c r="E37" s="55">
        <v>23.98</v>
      </c>
      <c r="F37" s="55">
        <v>0.83</v>
      </c>
      <c r="G37" s="55">
        <v>1100</v>
      </c>
      <c r="H37" s="57">
        <v>2</v>
      </c>
      <c r="I37" s="48">
        <v>3</v>
      </c>
      <c r="J37" s="48">
        <v>3</v>
      </c>
    </row>
    <row r="38" spans="1:10" x14ac:dyDescent="0.35">
      <c r="A38" s="55" t="s">
        <v>153</v>
      </c>
      <c r="B38" s="61" t="s">
        <v>199</v>
      </c>
      <c r="C38" s="55">
        <v>78</v>
      </c>
      <c r="D38" s="70">
        <v>20.350000000000001</v>
      </c>
      <c r="E38" s="55">
        <v>22.55</v>
      </c>
      <c r="F38" s="55">
        <v>0</v>
      </c>
      <c r="G38" s="48">
        <v>1420</v>
      </c>
      <c r="H38" s="57">
        <v>2</v>
      </c>
      <c r="I38" s="48">
        <v>6</v>
      </c>
      <c r="J38" s="48">
        <v>14</v>
      </c>
    </row>
    <row r="39" spans="1:10" x14ac:dyDescent="0.35">
      <c r="A39" s="55" t="s">
        <v>153</v>
      </c>
      <c r="B39" s="61" t="s">
        <v>199</v>
      </c>
      <c r="C39" s="55">
        <v>98</v>
      </c>
      <c r="D39" s="70">
        <v>3.05</v>
      </c>
      <c r="E39" s="55">
        <v>21.7</v>
      </c>
      <c r="F39" s="55">
        <v>0.9</v>
      </c>
      <c r="G39" s="55">
        <v>2000</v>
      </c>
      <c r="H39" s="57">
        <v>2</v>
      </c>
      <c r="I39" s="48">
        <v>1</v>
      </c>
      <c r="J39" s="48">
        <v>1</v>
      </c>
    </row>
    <row r="40" spans="1:10" x14ac:dyDescent="0.35">
      <c r="A40" s="55" t="s">
        <v>153</v>
      </c>
      <c r="B40" s="61" t="s">
        <v>199</v>
      </c>
      <c r="C40" s="55">
        <v>77</v>
      </c>
      <c r="D40" s="70">
        <v>12.54</v>
      </c>
      <c r="E40" s="55">
        <v>25.3</v>
      </c>
      <c r="F40" s="55">
        <v>1</v>
      </c>
      <c r="G40" s="55">
        <v>2000</v>
      </c>
      <c r="H40" s="57">
        <v>2</v>
      </c>
      <c r="I40" s="48">
        <v>1</v>
      </c>
      <c r="J40" s="48">
        <v>5</v>
      </c>
    </row>
    <row r="41" spans="1:10" x14ac:dyDescent="0.35">
      <c r="A41" s="55" t="s">
        <v>153</v>
      </c>
      <c r="B41" s="61" t="s">
        <v>183</v>
      </c>
      <c r="C41" s="55">
        <v>95</v>
      </c>
      <c r="D41" s="58">
        <v>10.69</v>
      </c>
      <c r="E41" s="55">
        <v>22.8</v>
      </c>
      <c r="F41" s="55">
        <v>1.2</v>
      </c>
      <c r="G41" s="55">
        <v>1100</v>
      </c>
      <c r="H41" s="57">
        <v>3</v>
      </c>
      <c r="I41" s="48">
        <v>4</v>
      </c>
      <c r="J41" s="48">
        <v>7</v>
      </c>
    </row>
    <row r="42" spans="1:10" x14ac:dyDescent="0.35">
      <c r="A42" s="55" t="s">
        <v>153</v>
      </c>
      <c r="B42" s="61" t="s">
        <v>183</v>
      </c>
      <c r="C42" s="55">
        <v>95</v>
      </c>
      <c r="D42" s="58">
        <v>5.99</v>
      </c>
      <c r="E42" s="55">
        <v>25.7</v>
      </c>
      <c r="F42" s="55">
        <v>0</v>
      </c>
      <c r="G42" s="55">
        <v>1420</v>
      </c>
      <c r="H42" s="57">
        <v>3</v>
      </c>
      <c r="I42" s="48">
        <v>5</v>
      </c>
      <c r="J42" s="48">
        <v>7</v>
      </c>
    </row>
    <row r="43" spans="1:10" x14ac:dyDescent="0.35">
      <c r="A43" s="55" t="s">
        <v>153</v>
      </c>
      <c r="B43" s="56" t="s">
        <v>183</v>
      </c>
      <c r="C43" s="55">
        <v>98</v>
      </c>
      <c r="D43" s="58">
        <v>3.61</v>
      </c>
      <c r="E43" s="55">
        <v>23</v>
      </c>
      <c r="F43" s="55">
        <v>0</v>
      </c>
      <c r="G43" s="55">
        <v>2000</v>
      </c>
      <c r="H43" s="57">
        <v>3</v>
      </c>
      <c r="I43" s="48">
        <v>0</v>
      </c>
      <c r="J43" s="48">
        <v>0</v>
      </c>
    </row>
    <row r="44" spans="1:10" x14ac:dyDescent="0.35">
      <c r="A44" s="55" t="s">
        <v>153</v>
      </c>
      <c r="B44" s="61" t="s">
        <v>183</v>
      </c>
      <c r="C44" s="55">
        <v>80</v>
      </c>
      <c r="D44" s="58">
        <v>6.89</v>
      </c>
      <c r="E44" s="55">
        <v>24.3</v>
      </c>
      <c r="F44" s="55">
        <v>0.87</v>
      </c>
      <c r="G44" s="55">
        <v>2000</v>
      </c>
      <c r="H44" s="57">
        <v>3</v>
      </c>
      <c r="I44" s="48">
        <v>2</v>
      </c>
      <c r="J44" s="48">
        <v>2</v>
      </c>
    </row>
    <row r="45" spans="1:10" x14ac:dyDescent="0.35">
      <c r="A45" s="55" t="s">
        <v>153</v>
      </c>
      <c r="B45" s="61" t="s">
        <v>185</v>
      </c>
      <c r="C45" s="55">
        <v>80</v>
      </c>
      <c r="D45" s="70">
        <v>14.7</v>
      </c>
      <c r="E45" s="55">
        <v>24.13</v>
      </c>
      <c r="F45" s="55">
        <v>2.1</v>
      </c>
      <c r="G45" s="55">
        <v>1420</v>
      </c>
      <c r="H45" s="57">
        <v>1</v>
      </c>
      <c r="I45" s="48">
        <v>3</v>
      </c>
      <c r="J45" s="48">
        <v>11</v>
      </c>
    </row>
    <row r="46" spans="1:10" x14ac:dyDescent="0.35">
      <c r="A46" s="55" t="s">
        <v>153</v>
      </c>
      <c r="B46" s="61" t="s">
        <v>185</v>
      </c>
      <c r="C46" s="55">
        <v>99</v>
      </c>
      <c r="D46" s="70">
        <v>12.46</v>
      </c>
      <c r="E46" s="55">
        <v>22.9</v>
      </c>
      <c r="F46" s="55">
        <v>0</v>
      </c>
      <c r="G46" s="55">
        <v>1420</v>
      </c>
      <c r="H46" s="57">
        <v>1</v>
      </c>
      <c r="I46" s="48">
        <v>4</v>
      </c>
      <c r="J46" s="48">
        <v>5</v>
      </c>
    </row>
    <row r="47" spans="1:10" x14ac:dyDescent="0.35">
      <c r="A47" s="55" t="s">
        <v>153</v>
      </c>
      <c r="B47" s="56" t="s">
        <v>185</v>
      </c>
      <c r="C47" s="55">
        <v>99</v>
      </c>
      <c r="D47" s="58">
        <v>8.2799999999999994</v>
      </c>
      <c r="E47" s="55">
        <v>24.2</v>
      </c>
      <c r="F47" s="55">
        <v>0</v>
      </c>
      <c r="G47" s="55">
        <v>2000</v>
      </c>
      <c r="H47" s="57">
        <v>1</v>
      </c>
      <c r="I47" s="48">
        <v>0</v>
      </c>
      <c r="J47" s="48">
        <v>0</v>
      </c>
    </row>
    <row r="48" spans="1:10" x14ac:dyDescent="0.35">
      <c r="A48" s="55" t="s">
        <v>153</v>
      </c>
      <c r="B48" s="56" t="s">
        <v>185</v>
      </c>
      <c r="C48" s="55">
        <v>99</v>
      </c>
      <c r="D48" s="58">
        <v>7.19</v>
      </c>
      <c r="E48" s="55">
        <v>23.4</v>
      </c>
      <c r="F48" s="55">
        <v>1.5</v>
      </c>
      <c r="G48" s="55">
        <v>2000</v>
      </c>
      <c r="H48" s="57">
        <v>1</v>
      </c>
      <c r="I48" s="48">
        <v>0</v>
      </c>
      <c r="J48" s="48">
        <v>0</v>
      </c>
    </row>
    <row r="49" spans="1:10" x14ac:dyDescent="0.35">
      <c r="A49" s="55" t="s">
        <v>153</v>
      </c>
      <c r="B49" s="61" t="s">
        <v>186</v>
      </c>
      <c r="C49" s="55">
        <v>95</v>
      </c>
      <c r="D49" s="58">
        <v>1.44</v>
      </c>
      <c r="E49" s="55">
        <v>25.1</v>
      </c>
      <c r="F49" s="55">
        <v>0</v>
      </c>
      <c r="G49" s="55">
        <v>1420</v>
      </c>
      <c r="H49" s="57">
        <v>6</v>
      </c>
      <c r="I49" s="48">
        <v>2</v>
      </c>
      <c r="J49" s="48">
        <v>7</v>
      </c>
    </row>
    <row r="50" spans="1:10" x14ac:dyDescent="0.35">
      <c r="A50" s="55" t="s">
        <v>153</v>
      </c>
      <c r="B50" s="61" t="s">
        <v>186</v>
      </c>
      <c r="C50" s="55">
        <v>99</v>
      </c>
      <c r="D50" s="58">
        <v>0.54</v>
      </c>
      <c r="E50" s="55">
        <v>21.9</v>
      </c>
      <c r="F50" s="55">
        <v>0</v>
      </c>
      <c r="G50" s="55">
        <v>1420</v>
      </c>
      <c r="H50" s="57">
        <v>6</v>
      </c>
      <c r="I50" s="48">
        <v>3</v>
      </c>
      <c r="J50" s="48">
        <v>3</v>
      </c>
    </row>
    <row r="51" spans="1:10" x14ac:dyDescent="0.35">
      <c r="A51" s="55" t="s">
        <v>153</v>
      </c>
      <c r="B51" s="61" t="s">
        <v>186</v>
      </c>
      <c r="C51" s="55">
        <v>99</v>
      </c>
      <c r="D51" s="58">
        <v>0.63</v>
      </c>
      <c r="E51" s="55">
        <v>25.1</v>
      </c>
      <c r="F51" s="55">
        <v>0</v>
      </c>
      <c r="G51" s="55">
        <v>2000</v>
      </c>
      <c r="H51" s="57">
        <v>6</v>
      </c>
      <c r="I51" s="48">
        <v>3</v>
      </c>
      <c r="J51" s="48">
        <v>8</v>
      </c>
    </row>
    <row r="52" spans="1:10" x14ac:dyDescent="0.35">
      <c r="A52" s="55" t="s">
        <v>153</v>
      </c>
      <c r="B52" s="61" t="s">
        <v>186</v>
      </c>
      <c r="C52" s="55">
        <v>99</v>
      </c>
      <c r="D52" s="58">
        <v>1.67</v>
      </c>
      <c r="E52" s="55">
        <v>25.2</v>
      </c>
      <c r="F52" s="55">
        <v>0</v>
      </c>
      <c r="G52" s="55">
        <v>2000</v>
      </c>
      <c r="H52" s="57">
        <v>6</v>
      </c>
      <c r="I52" s="48">
        <v>3</v>
      </c>
      <c r="J52" s="48">
        <v>4</v>
      </c>
    </row>
    <row r="53" spans="1:10" x14ac:dyDescent="0.35">
      <c r="A53" s="55" t="s">
        <v>158</v>
      </c>
      <c r="B53" s="61" t="s">
        <v>176</v>
      </c>
      <c r="C53" s="55">
        <v>96</v>
      </c>
      <c r="D53" s="58">
        <v>1.1399999999999999</v>
      </c>
      <c r="E53" s="55">
        <v>26.4</v>
      </c>
      <c r="F53" s="55">
        <v>0</v>
      </c>
      <c r="G53" s="55">
        <v>550</v>
      </c>
      <c r="H53" s="57">
        <v>4</v>
      </c>
      <c r="I53" s="48">
        <v>4</v>
      </c>
      <c r="J53" s="48">
        <v>7</v>
      </c>
    </row>
    <row r="54" spans="1:10" x14ac:dyDescent="0.35">
      <c r="A54" s="55" t="s">
        <v>158</v>
      </c>
      <c r="B54" s="61" t="s">
        <v>176</v>
      </c>
      <c r="C54" s="55">
        <v>99</v>
      </c>
      <c r="D54" s="58">
        <v>8.51</v>
      </c>
      <c r="E54" s="55">
        <v>26.5</v>
      </c>
      <c r="F54" s="55">
        <v>0</v>
      </c>
      <c r="G54" s="55">
        <v>2000</v>
      </c>
      <c r="H54" s="57">
        <v>4</v>
      </c>
      <c r="I54" s="48">
        <v>9</v>
      </c>
      <c r="J54" s="48">
        <v>9</v>
      </c>
    </row>
    <row r="55" spans="1:10" x14ac:dyDescent="0.35">
      <c r="A55" s="55" t="s">
        <v>158</v>
      </c>
      <c r="B55" s="61" t="s">
        <v>176</v>
      </c>
      <c r="C55" s="55">
        <v>99</v>
      </c>
      <c r="D55" s="58">
        <v>8.52</v>
      </c>
      <c r="E55" s="55">
        <v>26.5</v>
      </c>
      <c r="F55" s="55">
        <v>0</v>
      </c>
      <c r="G55" s="55">
        <v>2000</v>
      </c>
      <c r="H55" s="57">
        <v>4</v>
      </c>
      <c r="I55" s="48">
        <v>5</v>
      </c>
      <c r="J55" s="48">
        <v>6</v>
      </c>
    </row>
    <row r="56" spans="1:10" x14ac:dyDescent="0.35">
      <c r="A56" s="55" t="s">
        <v>158</v>
      </c>
      <c r="B56" s="61" t="s">
        <v>178</v>
      </c>
      <c r="C56" s="55">
        <v>99</v>
      </c>
      <c r="D56" s="58">
        <v>6.93</v>
      </c>
      <c r="E56" s="55">
        <v>23.5</v>
      </c>
      <c r="F56" s="55">
        <v>0</v>
      </c>
      <c r="G56" s="55">
        <v>2000</v>
      </c>
      <c r="H56" s="57">
        <v>3</v>
      </c>
      <c r="I56" s="48">
        <v>7</v>
      </c>
      <c r="J56" s="48">
        <v>7</v>
      </c>
    </row>
    <row r="57" spans="1:10" x14ac:dyDescent="0.35">
      <c r="A57" s="55" t="s">
        <v>158</v>
      </c>
      <c r="B57" s="61" t="s">
        <v>178</v>
      </c>
      <c r="C57" s="55">
        <v>99</v>
      </c>
      <c r="D57" s="58">
        <v>6.8</v>
      </c>
      <c r="E57" s="55">
        <v>23.5</v>
      </c>
      <c r="F57" s="55">
        <v>0</v>
      </c>
      <c r="G57" s="55">
        <v>2000</v>
      </c>
      <c r="H57" s="57">
        <v>3</v>
      </c>
      <c r="I57" s="48">
        <v>1</v>
      </c>
      <c r="J57" s="48">
        <v>1</v>
      </c>
    </row>
    <row r="58" spans="1:10" x14ac:dyDescent="0.35">
      <c r="A58" s="55" t="s">
        <v>158</v>
      </c>
      <c r="B58" s="61" t="s">
        <v>200</v>
      </c>
      <c r="C58" s="55">
        <v>89</v>
      </c>
      <c r="D58" s="58">
        <v>2.74</v>
      </c>
      <c r="E58" s="55">
        <v>23.5</v>
      </c>
      <c r="F58" s="55">
        <v>0</v>
      </c>
      <c r="G58" s="55">
        <v>700</v>
      </c>
      <c r="H58" s="57">
        <v>5</v>
      </c>
      <c r="I58" s="48">
        <v>13</v>
      </c>
      <c r="J58" s="48">
        <v>16</v>
      </c>
    </row>
    <row r="59" spans="1:10" x14ac:dyDescent="0.35">
      <c r="A59" s="55" t="s">
        <v>158</v>
      </c>
      <c r="B59" s="61" t="s">
        <v>200</v>
      </c>
      <c r="C59" s="55">
        <v>99</v>
      </c>
      <c r="D59" s="58">
        <v>0.32</v>
      </c>
      <c r="E59" s="55">
        <v>21.5</v>
      </c>
      <c r="F59" s="55">
        <v>0</v>
      </c>
      <c r="G59" s="55">
        <v>2000</v>
      </c>
      <c r="H59" s="57">
        <v>5</v>
      </c>
      <c r="I59" s="48">
        <v>3</v>
      </c>
      <c r="J59" s="48">
        <v>3</v>
      </c>
    </row>
    <row r="60" spans="1:10" x14ac:dyDescent="0.35">
      <c r="A60" s="55" t="s">
        <v>158</v>
      </c>
      <c r="B60" s="61" t="s">
        <v>200</v>
      </c>
      <c r="C60" s="55">
        <v>87</v>
      </c>
      <c r="D60" s="58">
        <v>0.03</v>
      </c>
      <c r="E60" s="55">
        <v>23.2</v>
      </c>
      <c r="F60" s="55">
        <v>0</v>
      </c>
      <c r="G60" s="55">
        <v>2000</v>
      </c>
      <c r="H60" s="57">
        <v>5</v>
      </c>
      <c r="I60" s="48">
        <v>3</v>
      </c>
      <c r="J60" s="48">
        <v>3</v>
      </c>
    </row>
    <row r="61" spans="1:10" x14ac:dyDescent="0.35">
      <c r="A61" s="55" t="s">
        <v>158</v>
      </c>
      <c r="B61" s="61" t="s">
        <v>200</v>
      </c>
      <c r="C61" s="55">
        <v>85</v>
      </c>
      <c r="D61" s="58">
        <v>0.04</v>
      </c>
      <c r="E61" s="55">
        <v>23.2</v>
      </c>
      <c r="F61" s="55">
        <v>0</v>
      </c>
      <c r="G61" s="55">
        <v>2000</v>
      </c>
      <c r="H61" s="57">
        <v>5</v>
      </c>
      <c r="I61" s="48">
        <v>1</v>
      </c>
      <c r="J61" s="48">
        <v>1</v>
      </c>
    </row>
    <row r="62" spans="1:10" x14ac:dyDescent="0.35">
      <c r="A62" s="55" t="s">
        <v>158</v>
      </c>
      <c r="B62" s="61" t="s">
        <v>180</v>
      </c>
      <c r="C62" s="55">
        <v>88</v>
      </c>
      <c r="D62" s="58">
        <v>0.69</v>
      </c>
      <c r="E62" s="55">
        <v>23.4</v>
      </c>
      <c r="F62" s="55">
        <v>6</v>
      </c>
      <c r="G62" s="55">
        <v>700</v>
      </c>
      <c r="H62" s="57">
        <v>5</v>
      </c>
      <c r="I62" s="48">
        <v>8</v>
      </c>
      <c r="J62" s="48">
        <v>9</v>
      </c>
    </row>
    <row r="63" spans="1:10" x14ac:dyDescent="0.35">
      <c r="A63" s="55" t="s">
        <v>158</v>
      </c>
      <c r="B63" s="61" t="s">
        <v>180</v>
      </c>
      <c r="C63" s="55">
        <v>88</v>
      </c>
      <c r="D63" s="58">
        <v>1.86</v>
      </c>
      <c r="E63" s="55">
        <v>27.2</v>
      </c>
      <c r="F63" s="55">
        <v>0.6</v>
      </c>
      <c r="G63" s="55">
        <v>2000</v>
      </c>
      <c r="H63" s="57">
        <v>5</v>
      </c>
      <c r="I63" s="48">
        <v>4</v>
      </c>
      <c r="J63" s="48">
        <v>4</v>
      </c>
    </row>
    <row r="64" spans="1:10" x14ac:dyDescent="0.35">
      <c r="A64" s="55" t="s">
        <v>158</v>
      </c>
      <c r="B64" s="61" t="s">
        <v>181</v>
      </c>
      <c r="C64" s="55">
        <v>80</v>
      </c>
      <c r="D64" s="58">
        <v>51.6</v>
      </c>
      <c r="E64" s="55">
        <v>28.7</v>
      </c>
      <c r="F64" s="55">
        <v>2.5</v>
      </c>
      <c r="G64" s="55">
        <v>700</v>
      </c>
      <c r="H64" s="57">
        <v>3</v>
      </c>
      <c r="I64" s="48">
        <v>5</v>
      </c>
      <c r="J64" s="48">
        <v>5</v>
      </c>
    </row>
    <row r="65" spans="1:10" x14ac:dyDescent="0.35">
      <c r="A65" s="55" t="s">
        <v>158</v>
      </c>
      <c r="B65" s="61" t="s">
        <v>198</v>
      </c>
      <c r="C65" s="55">
        <v>71</v>
      </c>
      <c r="D65" s="58">
        <v>7.17</v>
      </c>
      <c r="E65" s="55">
        <v>26.1</v>
      </c>
      <c r="F65" s="55">
        <v>1.9</v>
      </c>
      <c r="G65" s="55">
        <v>700</v>
      </c>
      <c r="H65" s="57">
        <v>3</v>
      </c>
      <c r="I65" s="48">
        <v>9</v>
      </c>
      <c r="J65" s="48">
        <v>11</v>
      </c>
    </row>
    <row r="66" spans="1:10" x14ac:dyDescent="0.35">
      <c r="A66" s="55" t="s">
        <v>158</v>
      </c>
      <c r="B66" s="61" t="s">
        <v>198</v>
      </c>
      <c r="C66" s="55">
        <v>74</v>
      </c>
      <c r="D66" s="58">
        <v>7.5</v>
      </c>
      <c r="E66" s="55">
        <v>26</v>
      </c>
      <c r="F66" s="55">
        <v>0</v>
      </c>
      <c r="G66" s="55">
        <v>2000</v>
      </c>
      <c r="H66" s="57">
        <v>3</v>
      </c>
      <c r="I66" s="48">
        <v>1</v>
      </c>
      <c r="J66" s="48">
        <v>1</v>
      </c>
    </row>
    <row r="67" spans="1:10" x14ac:dyDescent="0.35">
      <c r="A67" s="55" t="s">
        <v>158</v>
      </c>
      <c r="B67" s="61" t="s">
        <v>198</v>
      </c>
      <c r="C67" s="55">
        <v>54</v>
      </c>
      <c r="D67" s="58">
        <v>10.85</v>
      </c>
      <c r="E67" s="55">
        <v>28.3</v>
      </c>
      <c r="F67" s="55">
        <v>1.45</v>
      </c>
      <c r="G67" s="55">
        <v>2000</v>
      </c>
      <c r="H67" s="57">
        <v>3</v>
      </c>
      <c r="I67" s="48">
        <v>4</v>
      </c>
      <c r="J67" s="48">
        <v>4</v>
      </c>
    </row>
    <row r="68" spans="1:10" x14ac:dyDescent="0.35">
      <c r="A68" s="55" t="s">
        <v>158</v>
      </c>
      <c r="B68" s="61" t="s">
        <v>199</v>
      </c>
      <c r="C68" s="48">
        <v>72</v>
      </c>
      <c r="D68" s="48">
        <v>17.850000000000001</v>
      </c>
      <c r="E68" s="48">
        <v>26.9</v>
      </c>
      <c r="F68" s="48">
        <v>1.6</v>
      </c>
      <c r="G68" s="55">
        <v>700</v>
      </c>
      <c r="H68" s="57">
        <v>2</v>
      </c>
      <c r="I68" s="48">
        <v>2</v>
      </c>
      <c r="J68" s="48">
        <v>3</v>
      </c>
    </row>
    <row r="69" spans="1:10" x14ac:dyDescent="0.35">
      <c r="A69" s="55" t="s">
        <v>158</v>
      </c>
      <c r="B69" s="61" t="s">
        <v>199</v>
      </c>
      <c r="C69" s="55">
        <v>66</v>
      </c>
      <c r="D69" s="58">
        <v>6.27</v>
      </c>
      <c r="E69" s="55">
        <v>26.2</v>
      </c>
      <c r="F69" s="55">
        <v>0.8</v>
      </c>
      <c r="G69" s="55">
        <v>2000</v>
      </c>
      <c r="H69" s="57">
        <v>2</v>
      </c>
      <c r="I69" s="48">
        <v>1</v>
      </c>
      <c r="J69" s="48">
        <v>1</v>
      </c>
    </row>
    <row r="70" spans="1:10" x14ac:dyDescent="0.35">
      <c r="A70" s="55" t="s">
        <v>158</v>
      </c>
      <c r="B70" s="61" t="s">
        <v>183</v>
      </c>
      <c r="C70" s="55">
        <v>77</v>
      </c>
      <c r="D70" s="58">
        <v>19</v>
      </c>
      <c r="E70" s="55">
        <v>23.9</v>
      </c>
      <c r="F70" s="55">
        <v>0</v>
      </c>
      <c r="G70" s="55">
        <v>2000</v>
      </c>
      <c r="H70" s="57">
        <v>3</v>
      </c>
      <c r="I70" s="48">
        <v>4</v>
      </c>
      <c r="J70" s="48">
        <v>13</v>
      </c>
    </row>
    <row r="71" spans="1:10" x14ac:dyDescent="0.35">
      <c r="A71" s="55" t="s">
        <v>158</v>
      </c>
      <c r="B71" s="61" t="s">
        <v>183</v>
      </c>
      <c r="C71" s="55">
        <v>99</v>
      </c>
      <c r="D71" s="58">
        <v>29.59</v>
      </c>
      <c r="E71" s="55">
        <v>24.9</v>
      </c>
      <c r="F71" s="55">
        <v>0.65</v>
      </c>
      <c r="G71" s="55">
        <v>700</v>
      </c>
      <c r="H71" s="57">
        <v>3</v>
      </c>
      <c r="I71" s="48">
        <v>4</v>
      </c>
      <c r="J71" s="48">
        <v>7</v>
      </c>
    </row>
    <row r="72" spans="1:10" x14ac:dyDescent="0.35">
      <c r="A72" s="55" t="s">
        <v>158</v>
      </c>
      <c r="B72" s="61" t="s">
        <v>183</v>
      </c>
      <c r="C72" s="55">
        <v>74</v>
      </c>
      <c r="D72" s="58">
        <v>1.52</v>
      </c>
      <c r="E72" s="55">
        <v>19.829999999999998</v>
      </c>
      <c r="F72" s="55">
        <v>0.85</v>
      </c>
      <c r="G72" s="55">
        <v>2000</v>
      </c>
      <c r="H72" s="57">
        <v>3</v>
      </c>
      <c r="I72" s="48">
        <v>2</v>
      </c>
      <c r="J72" s="48">
        <v>2</v>
      </c>
    </row>
    <row r="73" spans="1:10" x14ac:dyDescent="0.35">
      <c r="A73" s="55" t="s">
        <v>158</v>
      </c>
      <c r="B73" s="61" t="s">
        <v>185</v>
      </c>
      <c r="C73" s="55">
        <v>99</v>
      </c>
      <c r="D73" s="58">
        <v>27.94</v>
      </c>
      <c r="E73" s="55">
        <v>22.3</v>
      </c>
      <c r="F73" s="55">
        <v>1.2</v>
      </c>
      <c r="G73" s="55">
        <v>700</v>
      </c>
      <c r="H73" s="57">
        <v>1</v>
      </c>
      <c r="I73" s="48">
        <v>5</v>
      </c>
      <c r="J73" s="48">
        <v>15</v>
      </c>
    </row>
    <row r="74" spans="1:10" x14ac:dyDescent="0.35">
      <c r="A74" s="55" t="s">
        <v>158</v>
      </c>
      <c r="B74" s="61" t="s">
        <v>185</v>
      </c>
      <c r="C74" s="55">
        <v>80</v>
      </c>
      <c r="D74" s="58">
        <v>6.81</v>
      </c>
      <c r="E74" s="55">
        <v>19.03</v>
      </c>
      <c r="F74" s="55">
        <v>1.8</v>
      </c>
      <c r="G74" s="55">
        <v>2000</v>
      </c>
      <c r="H74" s="57">
        <v>1</v>
      </c>
      <c r="I74" s="48">
        <v>2</v>
      </c>
      <c r="J74" s="48">
        <v>4</v>
      </c>
    </row>
    <row r="75" spans="1:10" x14ac:dyDescent="0.35">
      <c r="A75" s="55" t="s">
        <v>158</v>
      </c>
      <c r="B75" s="61" t="s">
        <v>186</v>
      </c>
      <c r="C75" s="55">
        <v>95</v>
      </c>
      <c r="D75" s="58">
        <v>0.4</v>
      </c>
      <c r="E75" s="55">
        <v>17.100000000000001</v>
      </c>
      <c r="F75" s="55">
        <v>0</v>
      </c>
      <c r="G75" s="55">
        <v>700</v>
      </c>
      <c r="H75" s="57">
        <v>6</v>
      </c>
      <c r="I75" s="48">
        <v>10</v>
      </c>
      <c r="J75" s="48">
        <v>33</v>
      </c>
    </row>
    <row r="76" spans="1:10" x14ac:dyDescent="0.35">
      <c r="A76" s="55" t="s">
        <v>158</v>
      </c>
      <c r="B76" s="61" t="s">
        <v>186</v>
      </c>
      <c r="C76" s="55">
        <v>95</v>
      </c>
      <c r="D76" s="58">
        <v>0.42</v>
      </c>
      <c r="E76" s="55">
        <v>17.2</v>
      </c>
      <c r="F76" s="55">
        <v>0</v>
      </c>
      <c r="G76" s="55">
        <v>2000</v>
      </c>
      <c r="H76" s="57">
        <v>6</v>
      </c>
      <c r="I76" s="48">
        <v>1</v>
      </c>
      <c r="J76" s="48">
        <v>1</v>
      </c>
    </row>
    <row r="77" spans="1:10" x14ac:dyDescent="0.35">
      <c r="A77" s="55" t="s">
        <v>158</v>
      </c>
      <c r="B77" s="61" t="s">
        <v>186</v>
      </c>
      <c r="C77" s="55">
        <v>95</v>
      </c>
      <c r="D77" s="58">
        <v>0.41</v>
      </c>
      <c r="E77" s="55">
        <v>17.100000000000001</v>
      </c>
      <c r="F77" s="55">
        <v>0</v>
      </c>
      <c r="G77" s="55">
        <v>700</v>
      </c>
      <c r="H77" s="57">
        <v>6</v>
      </c>
      <c r="I77" s="48">
        <v>8</v>
      </c>
      <c r="J77" s="48">
        <v>11</v>
      </c>
    </row>
    <row r="78" spans="1:10" x14ac:dyDescent="0.35">
      <c r="A78" s="55" t="s">
        <v>158</v>
      </c>
      <c r="B78" s="61" t="s">
        <v>186</v>
      </c>
      <c r="C78" s="55">
        <v>87</v>
      </c>
      <c r="D78" s="58">
        <v>0.16</v>
      </c>
      <c r="E78" s="55">
        <v>20.2</v>
      </c>
      <c r="F78" s="55">
        <v>0</v>
      </c>
      <c r="G78" s="55">
        <v>2000</v>
      </c>
      <c r="H78" s="57">
        <v>6</v>
      </c>
      <c r="I78" s="48">
        <v>6</v>
      </c>
      <c r="J78" s="48">
        <v>6</v>
      </c>
    </row>
    <row r="79" spans="1:10" x14ac:dyDescent="0.35">
      <c r="A79" s="55" t="s">
        <v>164</v>
      </c>
      <c r="B79" s="61" t="s">
        <v>176</v>
      </c>
      <c r="C79" s="55">
        <v>89</v>
      </c>
      <c r="D79" s="58">
        <v>1.36</v>
      </c>
      <c r="E79" s="55">
        <v>23.18</v>
      </c>
      <c r="F79" s="55">
        <v>0</v>
      </c>
      <c r="G79" s="55">
        <v>2000</v>
      </c>
      <c r="H79" s="57">
        <v>4</v>
      </c>
      <c r="I79" s="48">
        <v>8</v>
      </c>
      <c r="J79" s="48">
        <v>11</v>
      </c>
    </row>
    <row r="80" spans="1:10" x14ac:dyDescent="0.35">
      <c r="A80" s="55" t="s">
        <v>164</v>
      </c>
      <c r="B80" s="61" t="s">
        <v>177</v>
      </c>
      <c r="C80" s="55">
        <v>94</v>
      </c>
      <c r="D80" s="58">
        <v>7.68</v>
      </c>
      <c r="E80" s="55">
        <v>26.7</v>
      </c>
      <c r="F80" s="55">
        <v>0.75</v>
      </c>
      <c r="G80" s="55">
        <v>2000</v>
      </c>
      <c r="H80" s="57">
        <v>3</v>
      </c>
      <c r="I80" s="48">
        <v>6</v>
      </c>
      <c r="J80" s="48">
        <v>8</v>
      </c>
    </row>
    <row r="81" spans="1:10" x14ac:dyDescent="0.35">
      <c r="A81" s="55" t="s">
        <v>164</v>
      </c>
      <c r="B81" s="61" t="s">
        <v>177</v>
      </c>
      <c r="C81" s="55">
        <v>90</v>
      </c>
      <c r="D81" s="58">
        <v>1.5</v>
      </c>
      <c r="E81" s="55">
        <v>23.4</v>
      </c>
      <c r="F81" s="55">
        <v>0</v>
      </c>
      <c r="G81" s="55">
        <v>2000</v>
      </c>
      <c r="H81" s="57">
        <v>3</v>
      </c>
      <c r="I81" s="48">
        <v>1</v>
      </c>
      <c r="J81" s="48">
        <v>1</v>
      </c>
    </row>
    <row r="82" spans="1:10" x14ac:dyDescent="0.35">
      <c r="A82" s="55" t="s">
        <v>164</v>
      </c>
      <c r="B82" s="61" t="s">
        <v>200</v>
      </c>
      <c r="C82" s="55">
        <v>91</v>
      </c>
      <c r="D82" s="58">
        <v>1.1499999999999999</v>
      </c>
      <c r="E82" s="55">
        <v>24.4</v>
      </c>
      <c r="F82" s="55">
        <v>0</v>
      </c>
      <c r="G82" s="55">
        <v>480</v>
      </c>
      <c r="H82" s="57">
        <v>5</v>
      </c>
      <c r="I82" s="48">
        <v>8</v>
      </c>
      <c r="J82" s="48">
        <v>8</v>
      </c>
    </row>
    <row r="83" spans="1:10" x14ac:dyDescent="0.35">
      <c r="A83" s="55" t="s">
        <v>164</v>
      </c>
      <c r="B83" s="61" t="s">
        <v>200</v>
      </c>
      <c r="C83" s="55">
        <v>94</v>
      </c>
      <c r="D83" s="58">
        <v>1.2</v>
      </c>
      <c r="E83" s="55">
        <v>24.4</v>
      </c>
      <c r="F83" s="55">
        <v>0</v>
      </c>
      <c r="G83" s="55">
        <v>2000</v>
      </c>
      <c r="H83" s="57">
        <v>5</v>
      </c>
      <c r="I83" s="48">
        <v>1</v>
      </c>
      <c r="J83" s="48">
        <v>1</v>
      </c>
    </row>
    <row r="84" spans="1:10" x14ac:dyDescent="0.35">
      <c r="A84" s="55" t="s">
        <v>164</v>
      </c>
      <c r="B84" s="61" t="s">
        <v>200</v>
      </c>
      <c r="C84" s="55">
        <v>85</v>
      </c>
      <c r="D84" s="58">
        <v>1.3</v>
      </c>
      <c r="E84" s="55">
        <v>24.4</v>
      </c>
      <c r="F84" s="55">
        <v>0</v>
      </c>
      <c r="G84" s="55">
        <v>2000</v>
      </c>
      <c r="H84" s="57">
        <v>5</v>
      </c>
      <c r="I84" s="48">
        <v>8</v>
      </c>
      <c r="J84" s="48">
        <v>8</v>
      </c>
    </row>
    <row r="85" spans="1:10" x14ac:dyDescent="0.35">
      <c r="A85" s="55" t="s">
        <v>164</v>
      </c>
      <c r="B85" s="61" t="s">
        <v>180</v>
      </c>
      <c r="C85" s="55">
        <v>91</v>
      </c>
      <c r="D85" s="58">
        <v>0.57999999999999996</v>
      </c>
      <c r="E85" s="55">
        <v>26.4</v>
      </c>
      <c r="F85" s="55">
        <v>0</v>
      </c>
      <c r="G85" s="55">
        <v>780</v>
      </c>
      <c r="H85" s="57">
        <v>5</v>
      </c>
      <c r="I85" s="48">
        <v>10</v>
      </c>
      <c r="J85" s="48">
        <v>10</v>
      </c>
    </row>
    <row r="86" spans="1:10" x14ac:dyDescent="0.35">
      <c r="A86" s="55" t="s">
        <v>164</v>
      </c>
      <c r="B86" s="61" t="s">
        <v>180</v>
      </c>
      <c r="C86" s="55">
        <v>91</v>
      </c>
      <c r="D86" s="58">
        <v>0.81</v>
      </c>
      <c r="E86" s="55">
        <v>23.28</v>
      </c>
      <c r="F86" s="55">
        <v>0</v>
      </c>
      <c r="G86" s="55">
        <v>480</v>
      </c>
      <c r="H86" s="57">
        <v>5</v>
      </c>
      <c r="I86" s="48">
        <v>5</v>
      </c>
      <c r="J86" s="48">
        <v>5</v>
      </c>
    </row>
    <row r="87" spans="1:10" x14ac:dyDescent="0.35">
      <c r="A87" s="55" t="s">
        <v>164</v>
      </c>
      <c r="B87" s="61" t="s">
        <v>181</v>
      </c>
      <c r="C87" s="55">
        <v>91</v>
      </c>
      <c r="D87" s="58">
        <v>0.81</v>
      </c>
      <c r="E87" s="55">
        <v>23.3</v>
      </c>
      <c r="F87" s="55">
        <v>0</v>
      </c>
      <c r="G87" s="55">
        <v>2000</v>
      </c>
      <c r="H87" s="57">
        <v>3</v>
      </c>
      <c r="I87" s="48">
        <v>1</v>
      </c>
      <c r="J87" s="48">
        <v>2</v>
      </c>
    </row>
    <row r="88" spans="1:10" x14ac:dyDescent="0.35">
      <c r="A88" s="55" t="s">
        <v>164</v>
      </c>
      <c r="B88" s="61" t="s">
        <v>181</v>
      </c>
      <c r="C88" s="55">
        <v>99</v>
      </c>
      <c r="D88" s="58">
        <v>85.6</v>
      </c>
      <c r="E88" s="55">
        <v>28.5</v>
      </c>
      <c r="F88" s="55">
        <v>1.2</v>
      </c>
      <c r="G88" s="55">
        <v>780</v>
      </c>
      <c r="H88" s="57">
        <v>3</v>
      </c>
      <c r="I88" s="48">
        <v>1</v>
      </c>
      <c r="J88" s="48">
        <v>1</v>
      </c>
    </row>
    <row r="89" spans="1:10" x14ac:dyDescent="0.35">
      <c r="A89" s="55" t="s">
        <v>164</v>
      </c>
      <c r="B89" s="61" t="s">
        <v>181</v>
      </c>
      <c r="C89" s="55">
        <v>91</v>
      </c>
      <c r="D89" s="58">
        <v>13.15</v>
      </c>
      <c r="E89" s="55">
        <v>26.13</v>
      </c>
      <c r="F89" s="55">
        <v>0</v>
      </c>
      <c r="G89" s="55">
        <v>480</v>
      </c>
      <c r="H89" s="57">
        <v>3</v>
      </c>
      <c r="I89" s="48">
        <v>3</v>
      </c>
      <c r="J89" s="48">
        <v>3</v>
      </c>
    </row>
    <row r="90" spans="1:10" x14ac:dyDescent="0.35">
      <c r="A90" s="55" t="s">
        <v>164</v>
      </c>
      <c r="B90" s="61" t="s">
        <v>198</v>
      </c>
      <c r="C90" s="55">
        <v>75</v>
      </c>
      <c r="D90" s="58">
        <v>17.2</v>
      </c>
      <c r="E90" s="55">
        <v>28</v>
      </c>
      <c r="F90" s="55">
        <v>0</v>
      </c>
      <c r="G90" s="55">
        <v>2000</v>
      </c>
      <c r="H90" s="57">
        <v>3</v>
      </c>
      <c r="I90" s="48">
        <v>2</v>
      </c>
      <c r="J90" s="48">
        <v>2</v>
      </c>
    </row>
    <row r="91" spans="1:10" x14ac:dyDescent="0.35">
      <c r="A91" s="71" t="s">
        <v>164</v>
      </c>
      <c r="B91" s="72" t="s">
        <v>198</v>
      </c>
      <c r="C91" s="71">
        <v>93</v>
      </c>
      <c r="D91" s="73">
        <v>14.5</v>
      </c>
      <c r="E91" s="71">
        <v>28.73</v>
      </c>
      <c r="F91" s="71">
        <v>0</v>
      </c>
      <c r="G91" s="71">
        <v>480</v>
      </c>
      <c r="H91" s="74">
        <v>3</v>
      </c>
      <c r="I91" s="75">
        <v>6</v>
      </c>
      <c r="J91" s="75">
        <v>9</v>
      </c>
    </row>
    <row r="92" spans="1:10" x14ac:dyDescent="0.35">
      <c r="A92" s="55" t="s">
        <v>164</v>
      </c>
      <c r="B92" s="61" t="s">
        <v>198</v>
      </c>
      <c r="C92" s="55">
        <v>74</v>
      </c>
      <c r="D92" s="58">
        <v>18</v>
      </c>
      <c r="E92" s="55">
        <v>28</v>
      </c>
      <c r="F92" s="55">
        <v>0</v>
      </c>
      <c r="G92" s="55">
        <v>2000</v>
      </c>
      <c r="H92" s="57">
        <v>3</v>
      </c>
      <c r="I92" s="48">
        <v>2</v>
      </c>
      <c r="J92" s="48">
        <v>2</v>
      </c>
    </row>
    <row r="93" spans="1:10" x14ac:dyDescent="0.35">
      <c r="A93" s="55" t="s">
        <v>164</v>
      </c>
      <c r="B93" s="61" t="s">
        <v>199</v>
      </c>
      <c r="C93" s="55">
        <v>92</v>
      </c>
      <c r="D93" s="58">
        <v>97.97</v>
      </c>
      <c r="E93" s="55">
        <v>28.73</v>
      </c>
      <c r="F93" s="55">
        <v>0.97</v>
      </c>
      <c r="G93" s="55">
        <v>480</v>
      </c>
      <c r="H93" s="57">
        <v>2</v>
      </c>
      <c r="I93" s="48">
        <v>0</v>
      </c>
      <c r="J93" s="48">
        <v>0</v>
      </c>
    </row>
    <row r="94" spans="1:10" x14ac:dyDescent="0.35">
      <c r="A94" s="55" t="s">
        <v>164</v>
      </c>
      <c r="B94" s="61" t="s">
        <v>199</v>
      </c>
      <c r="C94" s="55">
        <v>86.5</v>
      </c>
      <c r="D94" s="58">
        <v>33.18</v>
      </c>
      <c r="E94" s="55">
        <v>25.7</v>
      </c>
      <c r="F94" s="55">
        <v>1.2</v>
      </c>
      <c r="G94" s="55">
        <v>2000</v>
      </c>
      <c r="H94" s="57">
        <v>2</v>
      </c>
      <c r="I94" s="48">
        <v>3</v>
      </c>
      <c r="J94" s="48">
        <v>6</v>
      </c>
    </row>
    <row r="95" spans="1:10" x14ac:dyDescent="0.35">
      <c r="A95" s="55" t="s">
        <v>164</v>
      </c>
      <c r="B95" s="61" t="s">
        <v>199</v>
      </c>
      <c r="C95" s="55">
        <v>70</v>
      </c>
      <c r="D95" s="58">
        <v>5.91</v>
      </c>
      <c r="E95" s="55">
        <v>20.5</v>
      </c>
      <c r="F95" s="55">
        <v>1.5</v>
      </c>
      <c r="G95" s="55">
        <v>2000</v>
      </c>
      <c r="H95" s="57">
        <v>2</v>
      </c>
      <c r="I95" s="48">
        <v>3</v>
      </c>
      <c r="J95" s="48">
        <v>3</v>
      </c>
    </row>
    <row r="96" spans="1:10" x14ac:dyDescent="0.35">
      <c r="A96" s="55" t="s">
        <v>164</v>
      </c>
      <c r="B96" s="61" t="s">
        <v>183</v>
      </c>
      <c r="C96" s="55">
        <v>89</v>
      </c>
      <c r="D96" s="58">
        <v>7.61</v>
      </c>
      <c r="E96" s="55">
        <v>23.8</v>
      </c>
      <c r="F96" s="55">
        <v>0.75</v>
      </c>
      <c r="G96" s="55">
        <v>2000</v>
      </c>
      <c r="H96" s="57">
        <v>3</v>
      </c>
      <c r="I96" s="48">
        <v>5</v>
      </c>
      <c r="J96" s="48">
        <v>10</v>
      </c>
    </row>
    <row r="97" spans="1:10" x14ac:dyDescent="0.35">
      <c r="A97" s="55" t="s">
        <v>164</v>
      </c>
      <c r="B97" s="61" t="s">
        <v>183</v>
      </c>
      <c r="C97" s="55">
        <v>81</v>
      </c>
      <c r="D97" s="58">
        <v>5.23</v>
      </c>
      <c r="E97" s="55">
        <v>27.03</v>
      </c>
      <c r="F97" s="55">
        <v>0</v>
      </c>
      <c r="G97" s="55">
        <v>480</v>
      </c>
      <c r="H97" s="57">
        <v>3</v>
      </c>
      <c r="I97" s="48">
        <v>4</v>
      </c>
      <c r="J97" s="48">
        <v>5</v>
      </c>
    </row>
    <row r="98" spans="1:10" x14ac:dyDescent="0.35">
      <c r="A98" s="55" t="s">
        <v>164</v>
      </c>
      <c r="B98" s="61" t="s">
        <v>185</v>
      </c>
      <c r="C98" s="55">
        <v>88</v>
      </c>
      <c r="D98" s="58">
        <v>24.87</v>
      </c>
      <c r="E98" s="55">
        <v>23.25</v>
      </c>
      <c r="F98" s="55">
        <v>0.45</v>
      </c>
      <c r="G98" s="55">
        <v>2000</v>
      </c>
      <c r="H98" s="57">
        <v>1</v>
      </c>
      <c r="I98" s="48">
        <v>1</v>
      </c>
      <c r="J98" s="48">
        <v>1</v>
      </c>
    </row>
    <row r="99" spans="1:10" x14ac:dyDescent="0.35">
      <c r="A99" s="55" t="s">
        <v>164</v>
      </c>
      <c r="B99" s="61" t="s">
        <v>185</v>
      </c>
      <c r="C99" s="55">
        <v>72</v>
      </c>
      <c r="D99" s="58">
        <v>4.6399999999999997</v>
      </c>
      <c r="E99" s="55">
        <v>24.9</v>
      </c>
      <c r="F99" s="55">
        <v>3.17</v>
      </c>
      <c r="G99" s="55">
        <v>480</v>
      </c>
      <c r="H99" s="57">
        <v>1</v>
      </c>
      <c r="I99" s="48">
        <v>2</v>
      </c>
      <c r="J99" s="48">
        <v>4</v>
      </c>
    </row>
    <row r="100" spans="1:10" x14ac:dyDescent="0.35">
      <c r="A100" s="55" t="s">
        <v>164</v>
      </c>
      <c r="B100" s="61" t="s">
        <v>186</v>
      </c>
      <c r="C100" s="55">
        <v>86</v>
      </c>
      <c r="D100" s="58">
        <v>0.14000000000000001</v>
      </c>
      <c r="E100" s="55">
        <v>18.55</v>
      </c>
      <c r="F100" s="55">
        <v>0</v>
      </c>
      <c r="G100" s="55">
        <v>2000</v>
      </c>
      <c r="H100" s="57">
        <v>6</v>
      </c>
      <c r="I100" s="48">
        <v>5</v>
      </c>
      <c r="J100" s="48">
        <v>5</v>
      </c>
    </row>
    <row r="101" spans="1:10" x14ac:dyDescent="0.35">
      <c r="A101" s="55" t="s">
        <v>164</v>
      </c>
      <c r="B101" s="61" t="s">
        <v>186</v>
      </c>
      <c r="C101" s="55">
        <v>87</v>
      </c>
      <c r="D101" s="58">
        <v>0.15</v>
      </c>
      <c r="E101" s="55">
        <v>15.2</v>
      </c>
      <c r="F101" s="55">
        <v>0</v>
      </c>
      <c r="G101" s="55">
        <v>2000</v>
      </c>
      <c r="H101" s="57">
        <v>6</v>
      </c>
      <c r="I101" s="48">
        <v>3</v>
      </c>
      <c r="J101" s="48">
        <v>3</v>
      </c>
    </row>
    <row r="102" spans="1:10" x14ac:dyDescent="0.35">
      <c r="A102" s="55" t="s">
        <v>164</v>
      </c>
      <c r="B102" s="61" t="s">
        <v>186</v>
      </c>
      <c r="C102" s="55">
        <v>83</v>
      </c>
      <c r="D102" s="58">
        <v>0.20499999999999999</v>
      </c>
      <c r="E102" s="55">
        <v>24.8</v>
      </c>
      <c r="F102" s="55">
        <v>0</v>
      </c>
      <c r="G102" s="55">
        <v>480</v>
      </c>
      <c r="H102" s="57">
        <v>6</v>
      </c>
      <c r="I102" s="48">
        <v>0</v>
      </c>
      <c r="J102" s="48">
        <v>0</v>
      </c>
    </row>
    <row r="103" spans="1:10" x14ac:dyDescent="0.35">
      <c r="A103" s="55" t="s">
        <v>168</v>
      </c>
      <c r="B103" s="55" t="s">
        <v>176</v>
      </c>
      <c r="C103" s="55">
        <v>92</v>
      </c>
      <c r="D103" s="58">
        <v>0.14000000000000001</v>
      </c>
      <c r="E103" s="55">
        <v>22.5</v>
      </c>
      <c r="F103" s="55">
        <v>0</v>
      </c>
      <c r="G103" s="55">
        <v>480</v>
      </c>
      <c r="H103" s="57">
        <v>4</v>
      </c>
      <c r="I103" s="48">
        <v>6</v>
      </c>
      <c r="J103" s="48">
        <v>11</v>
      </c>
    </row>
    <row r="104" spans="1:10" x14ac:dyDescent="0.35">
      <c r="A104" s="55" t="s">
        <v>168</v>
      </c>
      <c r="B104" s="55" t="s">
        <v>176</v>
      </c>
      <c r="C104" s="55">
        <v>92</v>
      </c>
      <c r="D104" s="58">
        <v>0.14000000000000001</v>
      </c>
      <c r="E104" s="55">
        <v>22.5</v>
      </c>
      <c r="F104" s="55">
        <v>0</v>
      </c>
      <c r="G104" s="55">
        <v>2000</v>
      </c>
      <c r="H104" s="57">
        <v>4</v>
      </c>
      <c r="I104" s="48">
        <v>1</v>
      </c>
      <c r="J104" s="48">
        <v>2</v>
      </c>
    </row>
    <row r="105" spans="1:10" x14ac:dyDescent="0.35">
      <c r="A105" s="55" t="s">
        <v>168</v>
      </c>
      <c r="B105" s="55" t="s">
        <v>177</v>
      </c>
      <c r="C105" s="55">
        <v>97</v>
      </c>
      <c r="D105" s="58">
        <v>4.5999999999999996</v>
      </c>
      <c r="E105" s="55">
        <v>24.3</v>
      </c>
      <c r="F105" s="55">
        <v>0</v>
      </c>
      <c r="G105" s="55">
        <v>480</v>
      </c>
      <c r="H105" s="57">
        <v>3</v>
      </c>
      <c r="I105" s="48">
        <v>17</v>
      </c>
      <c r="J105" s="48">
        <v>24</v>
      </c>
    </row>
    <row r="106" spans="1:10" x14ac:dyDescent="0.35">
      <c r="A106" s="55" t="s">
        <v>168</v>
      </c>
      <c r="B106" s="55" t="s">
        <v>200</v>
      </c>
      <c r="C106" s="55">
        <v>99</v>
      </c>
      <c r="D106" s="58">
        <v>24.2</v>
      </c>
      <c r="E106" s="55">
        <v>26.1</v>
      </c>
      <c r="F106" s="55">
        <v>0</v>
      </c>
      <c r="G106" s="55">
        <v>2000</v>
      </c>
      <c r="H106" s="57">
        <v>5</v>
      </c>
      <c r="I106" s="48">
        <v>1</v>
      </c>
      <c r="J106" s="48">
        <v>1</v>
      </c>
    </row>
    <row r="107" spans="1:10" x14ac:dyDescent="0.35">
      <c r="A107" s="55" t="s">
        <v>168</v>
      </c>
      <c r="B107" s="55" t="s">
        <v>200</v>
      </c>
      <c r="C107" s="55">
        <v>99</v>
      </c>
      <c r="D107" s="58">
        <v>24.2</v>
      </c>
      <c r="E107" s="55">
        <v>26.1</v>
      </c>
      <c r="F107" s="55">
        <v>0</v>
      </c>
      <c r="G107" s="55">
        <v>480</v>
      </c>
      <c r="H107" s="57">
        <v>5</v>
      </c>
      <c r="I107" s="48">
        <v>11</v>
      </c>
      <c r="J107" s="48">
        <v>11</v>
      </c>
    </row>
    <row r="108" spans="1:10" x14ac:dyDescent="0.35">
      <c r="A108" s="55" t="s">
        <v>168</v>
      </c>
      <c r="B108" s="55" t="s">
        <v>200</v>
      </c>
      <c r="C108" s="55">
        <v>84</v>
      </c>
      <c r="D108" s="58">
        <v>0.17</v>
      </c>
      <c r="E108" s="55">
        <v>24</v>
      </c>
      <c r="F108" s="55">
        <v>0</v>
      </c>
      <c r="G108" s="55">
        <v>2000</v>
      </c>
      <c r="H108" s="57">
        <v>5</v>
      </c>
      <c r="I108" s="48">
        <v>2</v>
      </c>
      <c r="J108" s="48">
        <v>2</v>
      </c>
    </row>
    <row r="109" spans="1:10" x14ac:dyDescent="0.35">
      <c r="A109" s="55" t="s">
        <v>168</v>
      </c>
      <c r="B109" s="55" t="s">
        <v>180</v>
      </c>
      <c r="C109" s="55">
        <v>97</v>
      </c>
      <c r="D109" s="58">
        <v>1.08</v>
      </c>
      <c r="E109" s="55">
        <v>25.4</v>
      </c>
      <c r="F109" s="55">
        <v>0</v>
      </c>
      <c r="G109" s="55">
        <v>2000</v>
      </c>
      <c r="H109" s="57">
        <v>5</v>
      </c>
      <c r="I109" s="48">
        <v>6</v>
      </c>
      <c r="J109" s="48">
        <v>8</v>
      </c>
    </row>
    <row r="110" spans="1:10" x14ac:dyDescent="0.35">
      <c r="A110" s="55" t="s">
        <v>168</v>
      </c>
      <c r="B110" s="55" t="s">
        <v>180</v>
      </c>
      <c r="C110" s="55">
        <v>97</v>
      </c>
      <c r="D110" s="58">
        <v>1.08</v>
      </c>
      <c r="E110" s="55">
        <v>25.4</v>
      </c>
      <c r="F110" s="55">
        <v>0</v>
      </c>
      <c r="G110" s="55">
        <v>480</v>
      </c>
      <c r="H110" s="57">
        <v>5</v>
      </c>
      <c r="I110" s="48">
        <v>9</v>
      </c>
      <c r="J110" s="48">
        <v>9</v>
      </c>
    </row>
    <row r="111" spans="1:10" x14ac:dyDescent="0.35">
      <c r="A111" s="55" t="s">
        <v>168</v>
      </c>
      <c r="B111" s="48" t="s">
        <v>180</v>
      </c>
      <c r="C111" s="48">
        <v>80</v>
      </c>
      <c r="D111" s="76">
        <v>0.04</v>
      </c>
      <c r="E111" s="48">
        <v>25.3</v>
      </c>
      <c r="F111" s="48">
        <v>0</v>
      </c>
      <c r="G111" s="55">
        <v>2000</v>
      </c>
      <c r="H111" s="49">
        <v>5</v>
      </c>
      <c r="I111" s="48">
        <v>0</v>
      </c>
      <c r="J111" s="48">
        <v>0</v>
      </c>
    </row>
    <row r="112" spans="1:10" x14ac:dyDescent="0.35">
      <c r="A112" s="55" t="s">
        <v>168</v>
      </c>
      <c r="B112" s="48" t="s">
        <v>181</v>
      </c>
      <c r="C112" s="48">
        <v>87</v>
      </c>
      <c r="D112" s="76">
        <v>9.8000000000000007</v>
      </c>
      <c r="E112" s="48">
        <v>34.5</v>
      </c>
      <c r="F112" s="48">
        <v>0</v>
      </c>
      <c r="G112" s="55">
        <v>2000</v>
      </c>
      <c r="H112" s="49">
        <v>3</v>
      </c>
      <c r="I112" s="48">
        <v>4</v>
      </c>
      <c r="J112" s="48">
        <v>4</v>
      </c>
    </row>
    <row r="113" spans="1:10" x14ac:dyDescent="0.35">
      <c r="A113" s="55" t="s">
        <v>168</v>
      </c>
      <c r="B113" s="48" t="s">
        <v>181</v>
      </c>
      <c r="C113" s="48">
        <v>87</v>
      </c>
      <c r="D113" s="76">
        <v>9.8000000000000007</v>
      </c>
      <c r="E113" s="48">
        <v>34.5</v>
      </c>
      <c r="F113" s="48">
        <v>0</v>
      </c>
      <c r="G113" s="48">
        <v>480</v>
      </c>
      <c r="H113" s="49">
        <v>3</v>
      </c>
      <c r="I113" s="48">
        <v>3</v>
      </c>
      <c r="J113" s="48">
        <v>3</v>
      </c>
    </row>
    <row r="114" spans="1:10" x14ac:dyDescent="0.35">
      <c r="A114" s="55" t="s">
        <v>168</v>
      </c>
      <c r="B114" s="48" t="s">
        <v>181</v>
      </c>
      <c r="C114" s="48">
        <v>80</v>
      </c>
      <c r="D114" s="76">
        <v>1.5</v>
      </c>
      <c r="E114" s="48">
        <v>26.9</v>
      </c>
      <c r="F114" s="48">
        <v>0</v>
      </c>
      <c r="G114" s="48">
        <v>2000</v>
      </c>
      <c r="H114" s="49">
        <v>3</v>
      </c>
      <c r="I114" s="48">
        <v>3</v>
      </c>
      <c r="J114" s="48">
        <v>4</v>
      </c>
    </row>
    <row r="115" spans="1:10" x14ac:dyDescent="0.35">
      <c r="A115" s="55" t="s">
        <v>168</v>
      </c>
      <c r="B115" s="48" t="s">
        <v>198</v>
      </c>
      <c r="C115" s="48">
        <v>81</v>
      </c>
      <c r="D115" s="76">
        <v>36.6</v>
      </c>
      <c r="E115" s="48">
        <v>31.4</v>
      </c>
      <c r="F115" s="48">
        <v>0.8</v>
      </c>
      <c r="G115" s="48">
        <v>480</v>
      </c>
      <c r="H115" s="49">
        <v>3</v>
      </c>
      <c r="I115" s="48">
        <v>7</v>
      </c>
      <c r="J115" s="48">
        <v>7</v>
      </c>
    </row>
    <row r="116" spans="1:10" x14ac:dyDescent="0.35">
      <c r="A116" s="55" t="s">
        <v>168</v>
      </c>
      <c r="B116" s="48" t="s">
        <v>198</v>
      </c>
      <c r="C116" s="48">
        <v>79</v>
      </c>
      <c r="D116" s="76">
        <v>13.35</v>
      </c>
      <c r="E116" s="48">
        <v>29.2</v>
      </c>
      <c r="F116" s="48">
        <v>0</v>
      </c>
      <c r="G116" s="48">
        <v>2000</v>
      </c>
      <c r="H116" s="49">
        <v>3</v>
      </c>
      <c r="I116" s="48">
        <v>2</v>
      </c>
      <c r="J116" s="48">
        <v>2</v>
      </c>
    </row>
    <row r="117" spans="1:10" x14ac:dyDescent="0.35">
      <c r="A117" s="55" t="s">
        <v>168</v>
      </c>
      <c r="B117" s="48" t="s">
        <v>199</v>
      </c>
      <c r="C117" s="48">
        <v>92</v>
      </c>
      <c r="D117" s="76">
        <v>15.6</v>
      </c>
      <c r="E117" s="48">
        <v>23.5</v>
      </c>
      <c r="F117" s="48">
        <v>0.7</v>
      </c>
      <c r="G117" s="48">
        <v>480</v>
      </c>
      <c r="H117" s="49">
        <v>2</v>
      </c>
      <c r="I117" s="48">
        <v>1</v>
      </c>
      <c r="J117" s="48">
        <v>1</v>
      </c>
    </row>
    <row r="118" spans="1:10" x14ac:dyDescent="0.35">
      <c r="A118" s="55" t="s">
        <v>168</v>
      </c>
      <c r="B118" s="48" t="s">
        <v>199</v>
      </c>
      <c r="C118" s="48">
        <v>79</v>
      </c>
      <c r="D118" s="76">
        <v>7.6</v>
      </c>
      <c r="E118" s="48">
        <v>25.4</v>
      </c>
      <c r="F118" s="48">
        <v>0</v>
      </c>
      <c r="G118" s="48">
        <v>2000</v>
      </c>
      <c r="H118" s="49">
        <v>2</v>
      </c>
      <c r="I118" s="48">
        <v>2</v>
      </c>
      <c r="J118" s="48">
        <v>5</v>
      </c>
    </row>
    <row r="119" spans="1:10" x14ac:dyDescent="0.35">
      <c r="A119" s="55" t="s">
        <v>168</v>
      </c>
      <c r="B119" s="48" t="s">
        <v>183</v>
      </c>
      <c r="C119" s="48">
        <v>89</v>
      </c>
      <c r="D119" s="76">
        <v>1.1000000000000001</v>
      </c>
      <c r="E119" s="48">
        <v>22.3</v>
      </c>
      <c r="F119" s="48">
        <v>0</v>
      </c>
      <c r="G119" s="48">
        <v>2000</v>
      </c>
      <c r="H119" s="49">
        <v>3</v>
      </c>
      <c r="I119" s="48">
        <v>7</v>
      </c>
      <c r="J119" s="48">
        <v>10</v>
      </c>
    </row>
    <row r="120" spans="1:10" x14ac:dyDescent="0.35">
      <c r="A120" s="55" t="s">
        <v>168</v>
      </c>
      <c r="B120" s="48" t="s">
        <v>183</v>
      </c>
      <c r="C120" s="48">
        <v>89</v>
      </c>
      <c r="D120" s="76">
        <v>1</v>
      </c>
      <c r="E120" s="48">
        <v>22.2</v>
      </c>
      <c r="F120" s="48">
        <v>0</v>
      </c>
      <c r="G120" s="48">
        <v>1420</v>
      </c>
      <c r="H120" s="49">
        <v>3</v>
      </c>
      <c r="I120" s="48">
        <v>4</v>
      </c>
      <c r="J120" s="48">
        <v>4</v>
      </c>
    </row>
    <row r="121" spans="1:10" x14ac:dyDescent="0.35">
      <c r="A121" s="55" t="s">
        <v>168</v>
      </c>
      <c r="B121" s="48" t="s">
        <v>183</v>
      </c>
      <c r="C121" s="48">
        <v>72</v>
      </c>
      <c r="D121" s="48">
        <v>0.75</v>
      </c>
      <c r="E121" s="48">
        <v>25</v>
      </c>
      <c r="F121" s="48">
        <v>0.9</v>
      </c>
      <c r="G121" s="48">
        <v>2000</v>
      </c>
      <c r="H121" s="49">
        <v>3</v>
      </c>
      <c r="I121" s="48">
        <v>2</v>
      </c>
      <c r="J121" s="48">
        <v>3</v>
      </c>
    </row>
    <row r="122" spans="1:10" x14ac:dyDescent="0.35">
      <c r="A122" s="55" t="s">
        <v>168</v>
      </c>
      <c r="B122" s="48" t="s">
        <v>185</v>
      </c>
      <c r="C122" s="48">
        <v>60</v>
      </c>
      <c r="D122" s="76">
        <v>44</v>
      </c>
      <c r="E122" s="48">
        <v>32.6</v>
      </c>
      <c r="F122" s="48">
        <v>0</v>
      </c>
      <c r="G122" s="48">
        <v>1420</v>
      </c>
      <c r="H122" s="49">
        <v>1</v>
      </c>
      <c r="I122" s="48">
        <v>2</v>
      </c>
      <c r="J122" s="48">
        <v>4</v>
      </c>
    </row>
    <row r="123" spans="1:10" x14ac:dyDescent="0.35">
      <c r="A123" s="55" t="s">
        <v>168</v>
      </c>
      <c r="B123" s="48" t="s">
        <v>185</v>
      </c>
      <c r="C123" s="48">
        <v>79</v>
      </c>
      <c r="D123" s="76">
        <v>39.200000000000003</v>
      </c>
      <c r="E123" s="48">
        <v>31.4</v>
      </c>
      <c r="F123" s="48">
        <v>0</v>
      </c>
      <c r="G123" s="48">
        <v>2000</v>
      </c>
      <c r="H123" s="49">
        <v>1</v>
      </c>
      <c r="I123" s="48">
        <v>0</v>
      </c>
      <c r="J123" s="48">
        <v>0</v>
      </c>
    </row>
    <row r="124" spans="1:10" x14ac:dyDescent="0.35">
      <c r="A124" s="55" t="s">
        <v>168</v>
      </c>
      <c r="B124" s="48" t="s">
        <v>186</v>
      </c>
      <c r="C124" s="48">
        <v>76</v>
      </c>
      <c r="D124" s="76">
        <v>1.53</v>
      </c>
      <c r="E124" s="48">
        <v>25.4</v>
      </c>
      <c r="F124" s="48">
        <v>0</v>
      </c>
      <c r="G124" s="48">
        <v>1420</v>
      </c>
      <c r="H124" s="49">
        <v>6</v>
      </c>
      <c r="I124" s="48">
        <v>4</v>
      </c>
      <c r="J124" s="48">
        <v>5</v>
      </c>
    </row>
    <row r="125" spans="1:10" x14ac:dyDescent="0.35">
      <c r="A125" s="48" t="s">
        <v>172</v>
      </c>
      <c r="B125" s="48" t="s">
        <v>176</v>
      </c>
      <c r="C125" s="48">
        <v>81</v>
      </c>
      <c r="D125" s="76">
        <v>1.6</v>
      </c>
      <c r="E125" s="48">
        <v>26.5</v>
      </c>
      <c r="F125" s="48">
        <v>0</v>
      </c>
      <c r="G125" s="48">
        <v>2000</v>
      </c>
      <c r="H125" s="49">
        <v>4</v>
      </c>
      <c r="I125" s="48">
        <v>12</v>
      </c>
      <c r="J125" s="48">
        <v>18</v>
      </c>
    </row>
    <row r="126" spans="1:10" x14ac:dyDescent="0.35">
      <c r="A126" s="48" t="s">
        <v>172</v>
      </c>
      <c r="B126" s="48" t="s">
        <v>177</v>
      </c>
      <c r="C126" s="48">
        <v>96</v>
      </c>
      <c r="D126" s="76">
        <v>1.1299999999999999</v>
      </c>
      <c r="E126" s="48">
        <v>26.4</v>
      </c>
      <c r="F126" s="48">
        <v>0</v>
      </c>
      <c r="G126" s="48">
        <v>2000</v>
      </c>
      <c r="H126" s="49">
        <v>3</v>
      </c>
      <c r="I126" s="48">
        <v>5</v>
      </c>
      <c r="J126" s="48">
        <v>5</v>
      </c>
    </row>
    <row r="127" spans="1:10" x14ac:dyDescent="0.35">
      <c r="A127" s="48" t="s">
        <v>172</v>
      </c>
      <c r="B127" s="48" t="s">
        <v>200</v>
      </c>
      <c r="C127" s="48">
        <v>99</v>
      </c>
      <c r="D127" s="76">
        <v>0.28000000000000003</v>
      </c>
      <c r="E127" s="48">
        <v>23.5</v>
      </c>
      <c r="F127" s="48">
        <v>0</v>
      </c>
      <c r="G127" s="48">
        <v>650</v>
      </c>
      <c r="H127" s="49">
        <v>5</v>
      </c>
      <c r="I127" s="48">
        <v>7</v>
      </c>
      <c r="J127" s="48">
        <v>10</v>
      </c>
    </row>
    <row r="128" spans="1:10" x14ac:dyDescent="0.35">
      <c r="A128" s="48" t="s">
        <v>172</v>
      </c>
      <c r="B128" s="48" t="s">
        <v>180</v>
      </c>
      <c r="C128" s="48">
        <v>96</v>
      </c>
      <c r="D128" s="76">
        <v>0.64</v>
      </c>
      <c r="E128" s="48">
        <v>24.9</v>
      </c>
      <c r="F128" s="48">
        <v>0</v>
      </c>
      <c r="G128" s="48">
        <v>650</v>
      </c>
      <c r="H128" s="49">
        <v>5</v>
      </c>
      <c r="I128" s="48">
        <v>9</v>
      </c>
      <c r="J128" s="48">
        <v>9</v>
      </c>
    </row>
    <row r="129" spans="1:10" x14ac:dyDescent="0.35">
      <c r="A129" s="48" t="s">
        <v>172</v>
      </c>
      <c r="B129" s="48" t="s">
        <v>181</v>
      </c>
      <c r="C129" s="48">
        <v>98</v>
      </c>
      <c r="D129" s="76">
        <v>2.2799999999999998</v>
      </c>
      <c r="E129" s="48">
        <v>23.7</v>
      </c>
      <c r="F129" s="48">
        <v>0</v>
      </c>
      <c r="G129" s="48">
        <v>650</v>
      </c>
      <c r="H129" s="49">
        <v>3</v>
      </c>
      <c r="I129" s="48">
        <v>4</v>
      </c>
      <c r="J129" s="48">
        <v>4</v>
      </c>
    </row>
    <row r="130" spans="1:10" x14ac:dyDescent="0.35">
      <c r="A130" s="48" t="s">
        <v>172</v>
      </c>
      <c r="B130" s="48" t="s">
        <v>198</v>
      </c>
      <c r="C130" s="48">
        <v>99</v>
      </c>
      <c r="D130" s="76">
        <v>7.2350000000000003</v>
      </c>
      <c r="E130" s="48">
        <v>24.6</v>
      </c>
      <c r="F130" s="48">
        <v>1.4</v>
      </c>
      <c r="G130" s="48">
        <v>650</v>
      </c>
      <c r="H130" s="49">
        <v>3</v>
      </c>
      <c r="I130" s="48">
        <v>10</v>
      </c>
      <c r="J130" s="48">
        <v>16</v>
      </c>
    </row>
    <row r="131" spans="1:10" x14ac:dyDescent="0.35">
      <c r="A131" s="48" t="s">
        <v>172</v>
      </c>
      <c r="B131" s="48" t="s">
        <v>199</v>
      </c>
      <c r="C131" s="48">
        <v>78</v>
      </c>
      <c r="D131" s="76">
        <v>17.850000000000001</v>
      </c>
      <c r="E131" s="48">
        <v>26.8</v>
      </c>
      <c r="F131" s="48">
        <v>0.7</v>
      </c>
      <c r="G131" s="48">
        <v>650</v>
      </c>
      <c r="H131" s="49">
        <v>2</v>
      </c>
      <c r="I131" s="48">
        <v>3</v>
      </c>
      <c r="J131" s="48">
        <v>3</v>
      </c>
    </row>
    <row r="132" spans="1:10" x14ac:dyDescent="0.35">
      <c r="A132" s="48" t="s">
        <v>172</v>
      </c>
      <c r="B132" s="48" t="s">
        <v>183</v>
      </c>
      <c r="C132" s="48">
        <v>84</v>
      </c>
      <c r="D132" s="76">
        <v>0.5</v>
      </c>
      <c r="E132" s="48">
        <v>25.9</v>
      </c>
      <c r="F132" s="48">
        <v>0</v>
      </c>
      <c r="G132" s="48">
        <v>2000</v>
      </c>
      <c r="H132" s="49">
        <v>3</v>
      </c>
      <c r="I132" s="48">
        <v>4</v>
      </c>
      <c r="J132" s="48">
        <v>4</v>
      </c>
    </row>
    <row r="133" spans="1:10" x14ac:dyDescent="0.35">
      <c r="A133" s="48" t="s">
        <v>172</v>
      </c>
      <c r="B133" s="48" t="s">
        <v>186</v>
      </c>
      <c r="C133" s="48">
        <v>83</v>
      </c>
      <c r="D133" s="76">
        <v>1.1299999999999999</v>
      </c>
      <c r="E133" s="48">
        <v>25.5</v>
      </c>
      <c r="F133" s="48">
        <v>0</v>
      </c>
      <c r="G133" s="48">
        <v>2000</v>
      </c>
      <c r="H133" s="49">
        <v>6</v>
      </c>
      <c r="I133" s="48">
        <v>9</v>
      </c>
      <c r="J133" s="48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0"/>
  <sheetViews>
    <sheetView topLeftCell="A2" workbookViewId="0">
      <selection activeCell="L8" sqref="L8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120" x14ac:dyDescent="0.35">
      <c r="A2" s="51" t="s">
        <v>196</v>
      </c>
      <c r="B2" s="51" t="s">
        <v>187</v>
      </c>
      <c r="C2" s="52" t="s">
        <v>188</v>
      </c>
      <c r="D2" s="54" t="s">
        <v>189</v>
      </c>
      <c r="E2" s="52" t="s">
        <v>190</v>
      </c>
      <c r="F2" s="52" t="s">
        <v>191</v>
      </c>
      <c r="G2" s="52" t="s">
        <v>192</v>
      </c>
      <c r="H2" s="52" t="s">
        <v>197</v>
      </c>
      <c r="I2" s="53" t="s">
        <v>194</v>
      </c>
      <c r="J2" s="48" t="s">
        <v>195</v>
      </c>
      <c r="K2" s="48" t="s">
        <v>175</v>
      </c>
    </row>
    <row r="3" spans="1:11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5">
        <v>2000</v>
      </c>
      <c r="I3" s="57">
        <v>4</v>
      </c>
      <c r="J3" s="48">
        <v>6</v>
      </c>
      <c r="K3" s="48">
        <v>22</v>
      </c>
    </row>
    <row r="4" spans="1:11" ht="15.75" customHeight="1" x14ac:dyDescent="0.35">
      <c r="A4" s="55" t="s">
        <v>146</v>
      </c>
      <c r="B4" s="61" t="s">
        <v>177</v>
      </c>
      <c r="C4" s="55">
        <v>92</v>
      </c>
      <c r="D4" s="58">
        <v>0.78</v>
      </c>
      <c r="E4" s="55">
        <v>24.6</v>
      </c>
      <c r="F4" s="55">
        <v>0</v>
      </c>
      <c r="G4" s="55">
        <v>5</v>
      </c>
      <c r="H4" s="55">
        <v>2000</v>
      </c>
      <c r="I4" s="57">
        <v>3</v>
      </c>
      <c r="J4" s="48">
        <v>9</v>
      </c>
      <c r="K4" s="48">
        <v>14</v>
      </c>
    </row>
    <row r="5" spans="1:11" ht="15.75" customHeight="1" x14ac:dyDescent="0.35">
      <c r="A5" s="55" t="s">
        <v>146</v>
      </c>
      <c r="B5" s="61" t="s">
        <v>200</v>
      </c>
      <c r="C5" s="55">
        <v>94</v>
      </c>
      <c r="D5" s="70">
        <v>0.50800000000000001</v>
      </c>
      <c r="E5" s="55">
        <v>24.8</v>
      </c>
      <c r="F5" s="55">
        <v>0</v>
      </c>
      <c r="G5" s="55">
        <v>5</v>
      </c>
      <c r="H5" s="55">
        <v>2000</v>
      </c>
      <c r="I5" s="57">
        <v>5</v>
      </c>
      <c r="J5" s="48">
        <v>8</v>
      </c>
      <c r="K5" s="48">
        <v>8</v>
      </c>
    </row>
    <row r="6" spans="1:11" ht="15.75" customHeight="1" x14ac:dyDescent="0.35">
      <c r="A6" s="55" t="s">
        <v>146</v>
      </c>
      <c r="B6" s="61" t="s">
        <v>200</v>
      </c>
      <c r="C6" s="55">
        <v>94</v>
      </c>
      <c r="D6" s="70">
        <v>0.5</v>
      </c>
      <c r="E6" s="55">
        <v>24.8</v>
      </c>
      <c r="F6" s="55">
        <v>0</v>
      </c>
      <c r="G6" s="55">
        <v>100</v>
      </c>
      <c r="H6" s="55">
        <v>870</v>
      </c>
      <c r="I6" s="57">
        <v>5</v>
      </c>
      <c r="J6" s="48">
        <v>2</v>
      </c>
      <c r="K6" s="48">
        <v>6</v>
      </c>
    </row>
    <row r="7" spans="1:11" ht="15.75" customHeight="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23</v>
      </c>
      <c r="F7" s="55">
        <v>0</v>
      </c>
      <c r="G7" s="55">
        <v>100</v>
      </c>
      <c r="H7" s="55">
        <v>2000</v>
      </c>
      <c r="I7" s="57">
        <v>5</v>
      </c>
      <c r="J7" s="48">
        <v>5</v>
      </c>
      <c r="K7" s="48">
        <v>5</v>
      </c>
    </row>
    <row r="8" spans="1:11" ht="15.75" customHeight="1" x14ac:dyDescent="0.35">
      <c r="A8" s="55" t="s">
        <v>146</v>
      </c>
      <c r="B8" s="61" t="s">
        <v>200</v>
      </c>
      <c r="C8" s="59">
        <v>94</v>
      </c>
      <c r="D8" s="70">
        <v>0.5</v>
      </c>
      <c r="E8" s="55">
        <v>22</v>
      </c>
      <c r="F8" s="55">
        <v>0</v>
      </c>
      <c r="G8" s="55">
        <v>100</v>
      </c>
      <c r="H8" s="55">
        <v>2000</v>
      </c>
      <c r="I8" s="57">
        <v>5</v>
      </c>
      <c r="J8" s="48">
        <v>1</v>
      </c>
      <c r="K8" s="48">
        <v>1</v>
      </c>
    </row>
    <row r="9" spans="1:11" ht="15.75" customHeight="1" x14ac:dyDescent="0.35">
      <c r="A9" s="55" t="s">
        <v>146</v>
      </c>
      <c r="B9" s="61" t="s">
        <v>181</v>
      </c>
      <c r="C9" s="55">
        <v>99</v>
      </c>
      <c r="D9" s="58">
        <v>7.59</v>
      </c>
      <c r="E9" s="55">
        <v>23.9</v>
      </c>
      <c r="F9" s="55">
        <v>0</v>
      </c>
      <c r="G9" s="55">
        <v>100</v>
      </c>
      <c r="H9" s="55">
        <v>870</v>
      </c>
      <c r="I9" s="57">
        <v>3</v>
      </c>
      <c r="J9" s="48">
        <v>5</v>
      </c>
      <c r="K9" s="48">
        <v>6</v>
      </c>
    </row>
    <row r="10" spans="1:11" ht="15.75" customHeight="1" x14ac:dyDescent="0.35">
      <c r="A10" s="55" t="s">
        <v>146</v>
      </c>
      <c r="B10" s="61" t="s">
        <v>198</v>
      </c>
      <c r="C10" s="55">
        <v>99</v>
      </c>
      <c r="D10" s="58">
        <v>13.05</v>
      </c>
      <c r="E10" s="55">
        <v>25.9</v>
      </c>
      <c r="F10" s="55">
        <v>0.45</v>
      </c>
      <c r="G10" s="55">
        <v>100</v>
      </c>
      <c r="H10" s="55">
        <v>870</v>
      </c>
      <c r="I10" s="57">
        <v>3</v>
      </c>
      <c r="J10" s="48">
        <v>4</v>
      </c>
      <c r="K10" s="48">
        <v>4</v>
      </c>
    </row>
    <row r="11" spans="1:11" ht="15.75" customHeight="1" x14ac:dyDescent="0.35">
      <c r="A11" s="55" t="s">
        <v>146</v>
      </c>
      <c r="B11" s="61" t="s">
        <v>183</v>
      </c>
      <c r="C11" s="55">
        <v>79</v>
      </c>
      <c r="D11" s="58">
        <v>15.5</v>
      </c>
      <c r="E11" s="55">
        <v>28.3</v>
      </c>
      <c r="F11" s="55">
        <v>0</v>
      </c>
      <c r="G11" s="55">
        <v>100</v>
      </c>
      <c r="H11" s="55">
        <v>1360</v>
      </c>
      <c r="I11" s="57">
        <v>3</v>
      </c>
      <c r="J11" s="48">
        <v>3</v>
      </c>
      <c r="K11" s="48">
        <v>3</v>
      </c>
    </row>
    <row r="12" spans="1:11" ht="15.75" customHeight="1" x14ac:dyDescent="0.35">
      <c r="A12" s="55" t="s">
        <v>146</v>
      </c>
      <c r="B12" s="61" t="s">
        <v>183</v>
      </c>
      <c r="C12" s="55">
        <v>79</v>
      </c>
      <c r="D12" s="58">
        <v>4.87</v>
      </c>
      <c r="E12" s="55">
        <v>25.2</v>
      </c>
      <c r="F12" s="55">
        <v>0</v>
      </c>
      <c r="G12" s="55">
        <v>100</v>
      </c>
      <c r="H12" s="55">
        <v>2000</v>
      </c>
      <c r="I12" s="57">
        <v>3</v>
      </c>
      <c r="J12" s="48">
        <v>0</v>
      </c>
      <c r="K12" s="48">
        <v>0</v>
      </c>
    </row>
    <row r="13" spans="1:11" ht="15.75" customHeight="1" x14ac:dyDescent="0.35">
      <c r="A13" s="55" t="s">
        <v>146</v>
      </c>
      <c r="B13" s="61" t="s">
        <v>186</v>
      </c>
      <c r="C13" s="55">
        <v>79</v>
      </c>
      <c r="D13" s="58">
        <v>0.56999999999999995</v>
      </c>
      <c r="E13" s="55">
        <v>24.8</v>
      </c>
      <c r="F13" s="55">
        <v>0</v>
      </c>
      <c r="G13" s="55">
        <v>100</v>
      </c>
      <c r="H13" s="55">
        <v>1360</v>
      </c>
      <c r="I13" s="57">
        <v>6</v>
      </c>
      <c r="J13" s="48">
        <v>3</v>
      </c>
      <c r="K13" s="48">
        <v>4</v>
      </c>
    </row>
    <row r="14" spans="1:11" ht="15.75" customHeight="1" x14ac:dyDescent="0.35">
      <c r="A14" s="55" t="s">
        <v>146</v>
      </c>
      <c r="B14" s="61" t="s">
        <v>186</v>
      </c>
      <c r="C14" s="55">
        <v>96</v>
      </c>
      <c r="D14" s="58">
        <v>15.05</v>
      </c>
      <c r="E14" s="55">
        <v>30.2</v>
      </c>
      <c r="F14" s="55">
        <v>0</v>
      </c>
      <c r="G14" s="55">
        <v>100</v>
      </c>
      <c r="H14" s="55">
        <v>2000</v>
      </c>
      <c r="I14" s="57">
        <v>6</v>
      </c>
      <c r="J14" s="48">
        <v>2</v>
      </c>
      <c r="K14" s="48">
        <v>6</v>
      </c>
    </row>
    <row r="15" spans="1:11" ht="15.75" customHeight="1" x14ac:dyDescent="0.35">
      <c r="A15" s="55" t="s">
        <v>146</v>
      </c>
      <c r="B15" s="55" t="s">
        <v>186</v>
      </c>
      <c r="C15" s="55">
        <v>57</v>
      </c>
      <c r="D15" s="58">
        <v>153.19999999999999</v>
      </c>
      <c r="E15" s="55">
        <v>30.2</v>
      </c>
      <c r="F15" s="55">
        <v>0.4</v>
      </c>
      <c r="G15" s="55">
        <v>100</v>
      </c>
      <c r="H15" s="55">
        <v>2000</v>
      </c>
      <c r="I15" s="57">
        <v>6</v>
      </c>
      <c r="J15" s="48">
        <v>2</v>
      </c>
      <c r="K15" s="48">
        <v>3</v>
      </c>
    </row>
    <row r="16" spans="1:11" ht="15.75" customHeight="1" x14ac:dyDescent="0.35">
      <c r="A16" s="55" t="s">
        <v>153</v>
      </c>
      <c r="B16" s="61" t="s">
        <v>176</v>
      </c>
      <c r="C16" s="55">
        <v>98</v>
      </c>
      <c r="D16" s="58">
        <v>7.54</v>
      </c>
      <c r="E16" s="55">
        <v>25.8</v>
      </c>
      <c r="F16" s="55">
        <v>0</v>
      </c>
      <c r="G16" s="55">
        <v>100</v>
      </c>
      <c r="H16" s="55">
        <v>2000</v>
      </c>
      <c r="I16" s="57">
        <v>4</v>
      </c>
      <c r="J16" s="48">
        <v>5</v>
      </c>
      <c r="K16" s="48">
        <v>7</v>
      </c>
    </row>
    <row r="17" spans="1:11" ht="15.75" customHeight="1" x14ac:dyDescent="0.35">
      <c r="A17" s="55" t="s">
        <v>153</v>
      </c>
      <c r="B17" s="61" t="s">
        <v>176</v>
      </c>
      <c r="C17" s="55">
        <v>99</v>
      </c>
      <c r="D17" s="58">
        <v>6.06</v>
      </c>
      <c r="E17" s="55">
        <v>25.35</v>
      </c>
      <c r="F17" s="55">
        <v>0</v>
      </c>
      <c r="G17" s="55">
        <v>100</v>
      </c>
      <c r="H17" s="55">
        <v>580</v>
      </c>
      <c r="I17" s="57">
        <v>4</v>
      </c>
      <c r="J17" s="48">
        <v>9</v>
      </c>
      <c r="K17" s="48">
        <v>9</v>
      </c>
    </row>
    <row r="18" spans="1:11" ht="15.75" customHeight="1" x14ac:dyDescent="0.35">
      <c r="A18" s="55" t="s">
        <v>153</v>
      </c>
      <c r="B18" s="61" t="s">
        <v>177</v>
      </c>
      <c r="C18" s="55">
        <v>98</v>
      </c>
      <c r="D18" s="58">
        <v>0.77</v>
      </c>
      <c r="E18" s="55">
        <v>22.6</v>
      </c>
      <c r="F18" s="55">
        <v>0</v>
      </c>
      <c r="G18" s="55">
        <v>100</v>
      </c>
      <c r="H18" s="55">
        <v>580</v>
      </c>
      <c r="I18" s="57">
        <v>3</v>
      </c>
      <c r="J18" s="48">
        <v>8</v>
      </c>
      <c r="K18" s="48">
        <v>14</v>
      </c>
    </row>
    <row r="19" spans="1:11" ht="15.75" customHeight="1" x14ac:dyDescent="0.35">
      <c r="A19" s="55" t="s">
        <v>153</v>
      </c>
      <c r="B19" s="61" t="s">
        <v>177</v>
      </c>
      <c r="C19" s="55">
        <v>82</v>
      </c>
      <c r="D19" s="70">
        <v>0.19800000000000001</v>
      </c>
      <c r="E19" s="55">
        <v>24.3</v>
      </c>
      <c r="F19" s="55">
        <v>0</v>
      </c>
      <c r="G19" s="55">
        <v>20</v>
      </c>
      <c r="H19" s="55">
        <v>2000</v>
      </c>
      <c r="I19" s="57">
        <v>3</v>
      </c>
      <c r="J19" s="48">
        <v>9</v>
      </c>
      <c r="K19" s="48">
        <v>12</v>
      </c>
    </row>
    <row r="20" spans="1:11" ht="15.75" customHeight="1" x14ac:dyDescent="0.35">
      <c r="A20" s="55" t="s">
        <v>153</v>
      </c>
      <c r="B20" s="61" t="s">
        <v>200</v>
      </c>
      <c r="C20" s="55">
        <v>98</v>
      </c>
      <c r="D20" s="58">
        <v>3.69</v>
      </c>
      <c r="E20" s="55">
        <v>22.35</v>
      </c>
      <c r="F20" s="55">
        <v>0</v>
      </c>
      <c r="G20" s="55">
        <v>0</v>
      </c>
      <c r="H20" s="55">
        <v>870</v>
      </c>
      <c r="I20" s="57">
        <v>5</v>
      </c>
      <c r="J20" s="48">
        <v>3</v>
      </c>
      <c r="K20" s="48">
        <v>7</v>
      </c>
    </row>
    <row r="21" spans="1:11" ht="15.75" customHeight="1" x14ac:dyDescent="0.35">
      <c r="A21" s="55" t="s">
        <v>153</v>
      </c>
      <c r="B21" s="61" t="s">
        <v>200</v>
      </c>
      <c r="C21" s="55">
        <v>98</v>
      </c>
      <c r="D21" s="58">
        <v>3.69</v>
      </c>
      <c r="E21" s="55">
        <v>22.35</v>
      </c>
      <c r="F21" s="55">
        <v>0</v>
      </c>
      <c r="G21" s="55">
        <v>0</v>
      </c>
      <c r="H21" s="55">
        <v>870</v>
      </c>
      <c r="I21" s="57">
        <v>5</v>
      </c>
      <c r="J21" s="48">
        <v>13</v>
      </c>
      <c r="K21" s="48">
        <v>14</v>
      </c>
    </row>
    <row r="22" spans="1:11" ht="15.75" customHeight="1" x14ac:dyDescent="0.35">
      <c r="A22" s="55" t="s">
        <v>153</v>
      </c>
      <c r="B22" s="61" t="s">
        <v>200</v>
      </c>
      <c r="C22" s="55">
        <v>90</v>
      </c>
      <c r="D22" s="70">
        <v>3.5000000000000003E-2</v>
      </c>
      <c r="E22" s="55">
        <v>24.2</v>
      </c>
      <c r="F22" s="55">
        <v>0</v>
      </c>
      <c r="G22" s="55">
        <v>20</v>
      </c>
      <c r="H22" s="55">
        <v>2000</v>
      </c>
      <c r="I22" s="57">
        <v>5</v>
      </c>
      <c r="J22" s="48">
        <v>1</v>
      </c>
      <c r="K22" s="48">
        <v>1</v>
      </c>
    </row>
    <row r="23" spans="1:11" ht="15.75" customHeight="1" x14ac:dyDescent="0.35">
      <c r="A23" s="55" t="s">
        <v>153</v>
      </c>
      <c r="B23" s="61" t="s">
        <v>200</v>
      </c>
      <c r="C23" s="55">
        <v>61</v>
      </c>
      <c r="D23" s="70">
        <v>9.4E-2</v>
      </c>
      <c r="E23" s="55">
        <v>25.5</v>
      </c>
      <c r="F23" s="55">
        <v>0</v>
      </c>
      <c r="G23" s="55">
        <v>15</v>
      </c>
      <c r="H23" s="55">
        <v>2000</v>
      </c>
      <c r="I23" s="57">
        <v>5</v>
      </c>
      <c r="J23" s="48">
        <v>6</v>
      </c>
      <c r="K23" s="48">
        <v>8</v>
      </c>
    </row>
    <row r="24" spans="1:11" ht="15.75" customHeight="1" x14ac:dyDescent="0.35">
      <c r="A24" s="55" t="s">
        <v>153</v>
      </c>
      <c r="B24" s="61" t="s">
        <v>200</v>
      </c>
      <c r="C24" s="55">
        <v>65</v>
      </c>
      <c r="D24" s="70">
        <v>3.5000000000000003E-2</v>
      </c>
      <c r="E24" s="55">
        <v>25.7</v>
      </c>
      <c r="F24" s="55">
        <v>0</v>
      </c>
      <c r="G24" s="55">
        <v>100</v>
      </c>
      <c r="H24" s="55">
        <v>2000</v>
      </c>
      <c r="I24" s="57">
        <v>5</v>
      </c>
      <c r="J24" s="48">
        <v>3</v>
      </c>
      <c r="K24" s="48">
        <v>3</v>
      </c>
    </row>
    <row r="25" spans="1:11" ht="15.75" customHeight="1" x14ac:dyDescent="0.35">
      <c r="A25" s="55" t="s">
        <v>153</v>
      </c>
      <c r="B25" s="61" t="s">
        <v>180</v>
      </c>
      <c r="C25" s="55">
        <v>85</v>
      </c>
      <c r="D25" s="58">
        <v>3.81</v>
      </c>
      <c r="E25" s="55">
        <v>25</v>
      </c>
      <c r="F25" s="55">
        <v>0</v>
      </c>
      <c r="G25" s="55">
        <v>78.33</v>
      </c>
      <c r="H25" s="55">
        <v>870</v>
      </c>
      <c r="I25" s="57">
        <v>5</v>
      </c>
      <c r="J25" s="48">
        <v>3</v>
      </c>
      <c r="K25" s="48">
        <v>3</v>
      </c>
    </row>
    <row r="26" spans="1:11" ht="15.75" customHeight="1" x14ac:dyDescent="0.35">
      <c r="A26" s="55" t="s">
        <v>153</v>
      </c>
      <c r="B26" s="61" t="s">
        <v>180</v>
      </c>
      <c r="C26" s="55">
        <v>61</v>
      </c>
      <c r="D26" s="58">
        <v>4.78</v>
      </c>
      <c r="E26" s="55">
        <v>28.7</v>
      </c>
      <c r="F26" s="55">
        <v>0</v>
      </c>
      <c r="G26" s="55">
        <v>100</v>
      </c>
      <c r="H26" s="55">
        <v>2000</v>
      </c>
      <c r="I26" s="57">
        <v>5</v>
      </c>
      <c r="J26" s="48">
        <v>0</v>
      </c>
      <c r="K26" s="48">
        <v>0</v>
      </c>
    </row>
    <row r="27" spans="1:11" ht="15.75" customHeight="1" x14ac:dyDescent="0.35">
      <c r="A27" s="55" t="s">
        <v>153</v>
      </c>
      <c r="B27" s="61" t="s">
        <v>180</v>
      </c>
      <c r="C27" s="55">
        <v>47</v>
      </c>
      <c r="D27" s="70">
        <v>0.74399999999999999</v>
      </c>
      <c r="E27" s="55">
        <v>29.9</v>
      </c>
      <c r="F27" s="55">
        <v>0</v>
      </c>
      <c r="G27" s="55">
        <v>2</v>
      </c>
      <c r="H27" s="55">
        <v>2000</v>
      </c>
      <c r="I27" s="57">
        <v>5</v>
      </c>
      <c r="J27" s="48">
        <v>2</v>
      </c>
      <c r="K27" s="48">
        <v>2</v>
      </c>
    </row>
    <row r="28" spans="1:11" ht="15.75" customHeight="1" x14ac:dyDescent="0.35">
      <c r="A28" s="55" t="s">
        <v>153</v>
      </c>
      <c r="B28" s="61" t="s">
        <v>180</v>
      </c>
      <c r="C28" s="55">
        <v>50</v>
      </c>
      <c r="D28" s="70">
        <v>0.7</v>
      </c>
      <c r="E28" s="55">
        <v>26.3</v>
      </c>
      <c r="F28" s="55">
        <v>0</v>
      </c>
      <c r="G28" s="55">
        <v>100</v>
      </c>
      <c r="H28" s="55">
        <v>2000</v>
      </c>
      <c r="I28" s="57">
        <v>5</v>
      </c>
      <c r="J28" s="48">
        <v>2</v>
      </c>
      <c r="K28" s="48">
        <v>5</v>
      </c>
    </row>
    <row r="29" spans="1:11" ht="15.75" customHeight="1" x14ac:dyDescent="0.35">
      <c r="A29" s="55" t="s">
        <v>153</v>
      </c>
      <c r="B29" s="61" t="s">
        <v>181</v>
      </c>
      <c r="C29" s="55">
        <v>85</v>
      </c>
      <c r="D29" s="58">
        <v>13.84</v>
      </c>
      <c r="E29" s="55">
        <v>26.7</v>
      </c>
      <c r="F29" s="55">
        <v>0</v>
      </c>
      <c r="G29" s="55">
        <v>100</v>
      </c>
      <c r="H29" s="55">
        <v>870</v>
      </c>
      <c r="I29" s="57">
        <v>3</v>
      </c>
      <c r="J29" s="48">
        <v>4</v>
      </c>
      <c r="K29" s="48">
        <v>6</v>
      </c>
    </row>
    <row r="30" spans="1:11" ht="15.75" customHeight="1" x14ac:dyDescent="0.35">
      <c r="A30" s="55" t="s">
        <v>153</v>
      </c>
      <c r="B30" s="61" t="s">
        <v>181</v>
      </c>
      <c r="C30" s="55">
        <v>55</v>
      </c>
      <c r="D30" s="58">
        <v>55.3</v>
      </c>
      <c r="E30" s="55">
        <v>30.2</v>
      </c>
      <c r="F30" s="55">
        <v>0</v>
      </c>
      <c r="G30" s="55">
        <v>100</v>
      </c>
      <c r="H30" s="55">
        <v>2000</v>
      </c>
      <c r="I30" s="57">
        <v>3</v>
      </c>
      <c r="J30" s="48">
        <v>0</v>
      </c>
      <c r="K30" s="48">
        <v>0</v>
      </c>
    </row>
    <row r="31" spans="1:11" ht="15.75" customHeight="1" x14ac:dyDescent="0.35">
      <c r="A31" s="55" t="s">
        <v>153</v>
      </c>
      <c r="B31" s="61" t="s">
        <v>181</v>
      </c>
      <c r="C31" s="55">
        <v>51</v>
      </c>
      <c r="D31" s="58">
        <v>26.78</v>
      </c>
      <c r="E31" s="55">
        <v>30.7</v>
      </c>
      <c r="F31" s="55">
        <v>0</v>
      </c>
      <c r="G31" s="55">
        <v>23.33</v>
      </c>
      <c r="H31" s="55">
        <v>2000</v>
      </c>
      <c r="I31" s="57">
        <v>3</v>
      </c>
      <c r="J31" s="48">
        <v>2</v>
      </c>
      <c r="K31" s="48">
        <v>2</v>
      </c>
    </row>
    <row r="32" spans="1:11" ht="15.75" customHeight="1" x14ac:dyDescent="0.35">
      <c r="A32" s="55" t="s">
        <v>153</v>
      </c>
      <c r="B32" s="61" t="s">
        <v>198</v>
      </c>
      <c r="C32" s="55">
        <v>90</v>
      </c>
      <c r="D32" s="58">
        <v>8.44</v>
      </c>
      <c r="E32" s="55">
        <v>27.4</v>
      </c>
      <c r="F32" s="55">
        <v>0.8</v>
      </c>
      <c r="G32" s="55">
        <v>100</v>
      </c>
      <c r="H32" s="55">
        <v>870</v>
      </c>
      <c r="I32" s="57">
        <v>3</v>
      </c>
      <c r="J32" s="48">
        <v>12</v>
      </c>
      <c r="K32" s="48">
        <v>17</v>
      </c>
    </row>
    <row r="33" spans="1:11" ht="15.75" customHeight="1" x14ac:dyDescent="0.35">
      <c r="A33" s="55" t="s">
        <v>153</v>
      </c>
      <c r="B33" s="56" t="s">
        <v>198</v>
      </c>
      <c r="C33" s="55">
        <v>58</v>
      </c>
      <c r="D33" s="58">
        <v>30.1</v>
      </c>
      <c r="E33" s="55">
        <v>29.1</v>
      </c>
      <c r="F33" s="55">
        <v>0</v>
      </c>
      <c r="G33" s="55">
        <v>98.75</v>
      </c>
      <c r="H33" s="55">
        <v>2000</v>
      </c>
      <c r="I33" s="57">
        <v>3</v>
      </c>
      <c r="J33" s="48">
        <v>2</v>
      </c>
      <c r="K33" s="48">
        <v>2</v>
      </c>
    </row>
    <row r="34" spans="1:11" ht="15.75" customHeight="1" x14ac:dyDescent="0.35">
      <c r="A34" s="55" t="s">
        <v>153</v>
      </c>
      <c r="B34" s="61" t="s">
        <v>183</v>
      </c>
      <c r="C34" s="55">
        <v>95</v>
      </c>
      <c r="D34" s="58">
        <v>10.69</v>
      </c>
      <c r="E34" s="55">
        <v>22.8</v>
      </c>
      <c r="F34" s="55">
        <v>1.2</v>
      </c>
      <c r="G34" s="55">
        <v>100</v>
      </c>
      <c r="H34" s="55">
        <v>1100</v>
      </c>
      <c r="I34" s="57">
        <v>3</v>
      </c>
      <c r="J34" s="48">
        <v>4</v>
      </c>
      <c r="K34" s="48">
        <v>7</v>
      </c>
    </row>
    <row r="35" spans="1:11" ht="15.75" customHeight="1" x14ac:dyDescent="0.35">
      <c r="A35" s="55" t="s">
        <v>153</v>
      </c>
      <c r="B35" s="61" t="s">
        <v>183</v>
      </c>
      <c r="C35" s="55">
        <v>95</v>
      </c>
      <c r="D35" s="58">
        <v>5.99</v>
      </c>
      <c r="E35" s="55">
        <v>25.7</v>
      </c>
      <c r="F35" s="55">
        <v>0</v>
      </c>
      <c r="G35" s="55">
        <v>100</v>
      </c>
      <c r="H35" s="55">
        <v>1420</v>
      </c>
      <c r="I35" s="57">
        <v>3</v>
      </c>
      <c r="J35" s="48">
        <v>5</v>
      </c>
      <c r="K35" s="48">
        <v>7</v>
      </c>
    </row>
    <row r="36" spans="1:11" ht="15.75" customHeight="1" x14ac:dyDescent="0.35">
      <c r="A36" s="55" t="s">
        <v>153</v>
      </c>
      <c r="B36" s="56" t="s">
        <v>183</v>
      </c>
      <c r="C36" s="55">
        <v>98</v>
      </c>
      <c r="D36" s="58">
        <v>3.61</v>
      </c>
      <c r="E36" s="55">
        <v>23</v>
      </c>
      <c r="F36" s="55">
        <v>0</v>
      </c>
      <c r="G36" s="55">
        <v>100</v>
      </c>
      <c r="H36" s="55">
        <v>2000</v>
      </c>
      <c r="I36" s="57">
        <v>3</v>
      </c>
      <c r="J36" s="48">
        <v>0</v>
      </c>
      <c r="K36" s="48">
        <v>0</v>
      </c>
    </row>
    <row r="37" spans="1:11" ht="15.75" customHeight="1" x14ac:dyDescent="0.35">
      <c r="A37" s="55" t="s">
        <v>153</v>
      </c>
      <c r="B37" s="61" t="s">
        <v>183</v>
      </c>
      <c r="C37" s="55">
        <v>80</v>
      </c>
      <c r="D37" s="58">
        <v>6.89</v>
      </c>
      <c r="E37" s="55">
        <v>24.3</v>
      </c>
      <c r="F37" s="55">
        <v>0.87</v>
      </c>
      <c r="G37" s="55">
        <v>100</v>
      </c>
      <c r="H37" s="55">
        <v>2000</v>
      </c>
      <c r="I37" s="57">
        <v>3</v>
      </c>
      <c r="J37" s="48">
        <v>2</v>
      </c>
      <c r="K37" s="48">
        <v>2</v>
      </c>
    </row>
    <row r="38" spans="1:11" ht="15.75" customHeight="1" x14ac:dyDescent="0.35">
      <c r="A38" s="55" t="s">
        <v>153</v>
      </c>
      <c r="B38" s="61" t="s">
        <v>186</v>
      </c>
      <c r="C38" s="55">
        <v>95</v>
      </c>
      <c r="D38" s="58">
        <v>1.44</v>
      </c>
      <c r="E38" s="55">
        <v>25.1</v>
      </c>
      <c r="F38" s="55">
        <v>0</v>
      </c>
      <c r="G38" s="55">
        <v>100</v>
      </c>
      <c r="H38" s="55">
        <v>1420</v>
      </c>
      <c r="I38" s="57">
        <v>6</v>
      </c>
      <c r="J38" s="48">
        <v>2</v>
      </c>
      <c r="K38" s="48">
        <v>7</v>
      </c>
    </row>
    <row r="39" spans="1:11" ht="15.75" customHeight="1" x14ac:dyDescent="0.35">
      <c r="A39" s="55" t="s">
        <v>153</v>
      </c>
      <c r="B39" s="61" t="s">
        <v>186</v>
      </c>
      <c r="C39" s="55">
        <v>99</v>
      </c>
      <c r="D39" s="58">
        <v>0.54</v>
      </c>
      <c r="E39" s="55">
        <v>21.9</v>
      </c>
      <c r="F39" s="55">
        <v>0</v>
      </c>
      <c r="G39" s="55">
        <v>100</v>
      </c>
      <c r="H39" s="55">
        <v>1420</v>
      </c>
      <c r="I39" s="57">
        <v>6</v>
      </c>
      <c r="J39" s="48">
        <v>3</v>
      </c>
      <c r="K39" s="48">
        <v>3</v>
      </c>
    </row>
    <row r="40" spans="1:11" ht="15.75" customHeight="1" x14ac:dyDescent="0.35">
      <c r="A40" s="55" t="s">
        <v>153</v>
      </c>
      <c r="B40" s="61" t="s">
        <v>186</v>
      </c>
      <c r="C40" s="55">
        <v>99</v>
      </c>
      <c r="D40" s="58">
        <v>0.63</v>
      </c>
      <c r="E40" s="55">
        <v>25.1</v>
      </c>
      <c r="F40" s="55">
        <v>0</v>
      </c>
      <c r="G40" s="55">
        <v>100</v>
      </c>
      <c r="H40" s="55">
        <v>2000</v>
      </c>
      <c r="I40" s="57">
        <v>6</v>
      </c>
      <c r="J40" s="48">
        <v>3</v>
      </c>
      <c r="K40" s="48">
        <v>8</v>
      </c>
    </row>
    <row r="41" spans="1:11" ht="15.75" customHeight="1" x14ac:dyDescent="0.35">
      <c r="A41" s="55" t="s">
        <v>153</v>
      </c>
      <c r="B41" s="61" t="s">
        <v>186</v>
      </c>
      <c r="C41" s="55">
        <v>99</v>
      </c>
      <c r="D41" s="58">
        <v>1.67</v>
      </c>
      <c r="E41" s="55">
        <v>25.2</v>
      </c>
      <c r="F41" s="55">
        <v>0</v>
      </c>
      <c r="G41" s="55">
        <v>100</v>
      </c>
      <c r="H41" s="55">
        <v>2000</v>
      </c>
      <c r="I41" s="57">
        <v>6</v>
      </c>
      <c r="J41" s="48">
        <v>3</v>
      </c>
      <c r="K41" s="48">
        <v>4</v>
      </c>
    </row>
    <row r="42" spans="1:11" ht="15.75" customHeight="1" x14ac:dyDescent="0.35">
      <c r="A42" s="55" t="s">
        <v>158</v>
      </c>
      <c r="B42" s="61" t="s">
        <v>176</v>
      </c>
      <c r="C42" s="55">
        <v>96</v>
      </c>
      <c r="D42" s="58">
        <v>1.1399999999999999</v>
      </c>
      <c r="E42" s="55">
        <v>26.4</v>
      </c>
      <c r="F42" s="55">
        <v>0</v>
      </c>
      <c r="G42" s="55">
        <v>22</v>
      </c>
      <c r="H42" s="55">
        <v>550</v>
      </c>
      <c r="I42" s="57">
        <v>4</v>
      </c>
      <c r="J42" s="48">
        <v>4</v>
      </c>
      <c r="K42" s="48">
        <v>7</v>
      </c>
    </row>
    <row r="43" spans="1:11" ht="15.75" customHeight="1" x14ac:dyDescent="0.35">
      <c r="A43" s="55" t="s">
        <v>158</v>
      </c>
      <c r="B43" s="61" t="s">
        <v>176</v>
      </c>
      <c r="C43" s="55">
        <v>99</v>
      </c>
      <c r="D43" s="58">
        <v>8.51</v>
      </c>
      <c r="E43" s="55">
        <v>26.5</v>
      </c>
      <c r="F43" s="55">
        <v>0</v>
      </c>
      <c r="G43" s="55">
        <v>36.659999999999997</v>
      </c>
      <c r="H43" s="55">
        <v>2000</v>
      </c>
      <c r="I43" s="57">
        <v>4</v>
      </c>
      <c r="J43" s="48">
        <v>9</v>
      </c>
      <c r="K43" s="48">
        <v>9</v>
      </c>
    </row>
    <row r="44" spans="1:11" ht="15.75" customHeight="1" x14ac:dyDescent="0.35">
      <c r="A44" s="55" t="s">
        <v>158</v>
      </c>
      <c r="B44" s="61" t="s">
        <v>176</v>
      </c>
      <c r="C44" s="55">
        <v>99</v>
      </c>
      <c r="D44" s="58">
        <v>8.52</v>
      </c>
      <c r="E44" s="55">
        <v>26.5</v>
      </c>
      <c r="F44" s="55">
        <v>0</v>
      </c>
      <c r="G44" s="55">
        <v>100</v>
      </c>
      <c r="H44" s="55">
        <v>2000</v>
      </c>
      <c r="I44" s="57">
        <v>4</v>
      </c>
      <c r="J44" s="48">
        <v>5</v>
      </c>
      <c r="K44" s="48">
        <v>6</v>
      </c>
    </row>
    <row r="45" spans="1:11" ht="15.75" customHeight="1" x14ac:dyDescent="0.35">
      <c r="A45" s="55" t="s">
        <v>158</v>
      </c>
      <c r="B45" s="61" t="s">
        <v>178</v>
      </c>
      <c r="C45" s="55">
        <v>99</v>
      </c>
      <c r="D45" s="58">
        <v>6.93</v>
      </c>
      <c r="E45" s="55">
        <v>23.5</v>
      </c>
      <c r="F45" s="55">
        <v>0</v>
      </c>
      <c r="G45" s="55">
        <v>98</v>
      </c>
      <c r="H45" s="55">
        <v>2000</v>
      </c>
      <c r="I45" s="57">
        <v>3</v>
      </c>
      <c r="J45" s="48">
        <v>7</v>
      </c>
      <c r="K45" s="48">
        <v>7</v>
      </c>
    </row>
    <row r="46" spans="1:11" ht="15.75" customHeight="1" x14ac:dyDescent="0.35">
      <c r="A46" s="55" t="s">
        <v>158</v>
      </c>
      <c r="B46" s="61" t="s">
        <v>178</v>
      </c>
      <c r="C46" s="55">
        <v>99</v>
      </c>
      <c r="D46" s="58">
        <v>6.8</v>
      </c>
      <c r="E46" s="55">
        <v>23.5</v>
      </c>
      <c r="F46" s="55">
        <v>0</v>
      </c>
      <c r="G46" s="55">
        <v>100</v>
      </c>
      <c r="H46" s="55">
        <v>2000</v>
      </c>
      <c r="I46" s="57">
        <v>3</v>
      </c>
      <c r="J46" s="48">
        <v>1</v>
      </c>
      <c r="K46" s="48">
        <v>1</v>
      </c>
    </row>
    <row r="47" spans="1:11" ht="15.75" customHeight="1" x14ac:dyDescent="0.35">
      <c r="A47" s="55" t="s">
        <v>158</v>
      </c>
      <c r="B47" s="61" t="s">
        <v>200</v>
      </c>
      <c r="C47" s="55">
        <v>89</v>
      </c>
      <c r="D47" s="58">
        <v>2.74</v>
      </c>
      <c r="E47" s="55">
        <v>23.5</v>
      </c>
      <c r="F47" s="55">
        <v>0</v>
      </c>
      <c r="G47" s="55">
        <v>0</v>
      </c>
      <c r="H47" s="55">
        <v>700</v>
      </c>
      <c r="I47" s="57">
        <v>5</v>
      </c>
      <c r="J47" s="48">
        <v>13</v>
      </c>
      <c r="K47" s="48">
        <v>16</v>
      </c>
    </row>
    <row r="48" spans="1:11" ht="15.75" customHeight="1" x14ac:dyDescent="0.35">
      <c r="A48" s="55" t="s">
        <v>158</v>
      </c>
      <c r="B48" s="61" t="s">
        <v>200</v>
      </c>
      <c r="C48" s="55">
        <v>99</v>
      </c>
      <c r="D48" s="58">
        <v>0.32</v>
      </c>
      <c r="E48" s="55">
        <v>21.5</v>
      </c>
      <c r="F48" s="55">
        <v>0</v>
      </c>
      <c r="G48" s="55">
        <v>100</v>
      </c>
      <c r="H48" s="55">
        <v>2000</v>
      </c>
      <c r="I48" s="57">
        <v>5</v>
      </c>
      <c r="J48" s="48">
        <v>3</v>
      </c>
      <c r="K48" s="48">
        <v>3</v>
      </c>
    </row>
    <row r="49" spans="1:11" ht="15.75" customHeight="1" x14ac:dyDescent="0.35">
      <c r="A49" s="55" t="s">
        <v>158</v>
      </c>
      <c r="B49" s="61" t="s">
        <v>200</v>
      </c>
      <c r="C49" s="55">
        <v>87</v>
      </c>
      <c r="D49" s="58">
        <v>0.03</v>
      </c>
      <c r="E49" s="55">
        <v>23.2</v>
      </c>
      <c r="F49" s="55">
        <v>0</v>
      </c>
      <c r="G49" s="55">
        <v>100</v>
      </c>
      <c r="H49" s="55">
        <v>2000</v>
      </c>
      <c r="I49" s="57">
        <v>5</v>
      </c>
      <c r="J49" s="48">
        <v>3</v>
      </c>
      <c r="K49" s="48">
        <v>3</v>
      </c>
    </row>
    <row r="50" spans="1:11" ht="15.75" customHeight="1" x14ac:dyDescent="0.35">
      <c r="A50" s="55" t="s">
        <v>158</v>
      </c>
      <c r="B50" s="61" t="s">
        <v>200</v>
      </c>
      <c r="C50" s="55">
        <v>85</v>
      </c>
      <c r="D50" s="58">
        <v>0.04</v>
      </c>
      <c r="E50" s="55">
        <v>23.2</v>
      </c>
      <c r="F50" s="55">
        <v>0</v>
      </c>
      <c r="G50" s="55">
        <v>50</v>
      </c>
      <c r="H50" s="55">
        <v>2000</v>
      </c>
      <c r="I50" s="57">
        <v>5</v>
      </c>
      <c r="J50" s="48">
        <v>1</v>
      </c>
      <c r="K50" s="48">
        <v>1</v>
      </c>
    </row>
    <row r="51" spans="1:11" ht="15.75" customHeight="1" x14ac:dyDescent="0.35">
      <c r="A51" s="55" t="s">
        <v>158</v>
      </c>
      <c r="B51" s="61" t="s">
        <v>180</v>
      </c>
      <c r="C51" s="55">
        <v>88</v>
      </c>
      <c r="D51" s="58">
        <v>0.69</v>
      </c>
      <c r="E51" s="55">
        <v>23.4</v>
      </c>
      <c r="F51" s="55">
        <v>6</v>
      </c>
      <c r="G51" s="55">
        <v>100</v>
      </c>
      <c r="H51" s="55">
        <v>700</v>
      </c>
      <c r="I51" s="57">
        <v>5</v>
      </c>
      <c r="J51" s="48">
        <v>8</v>
      </c>
      <c r="K51" s="48">
        <v>9</v>
      </c>
    </row>
    <row r="52" spans="1:11" ht="15.75" customHeight="1" x14ac:dyDescent="0.35">
      <c r="A52" s="55" t="s">
        <v>158</v>
      </c>
      <c r="B52" s="61" t="s">
        <v>180</v>
      </c>
      <c r="C52" s="55">
        <v>88</v>
      </c>
      <c r="D52" s="58">
        <v>1.86</v>
      </c>
      <c r="E52" s="55">
        <v>27.2</v>
      </c>
      <c r="F52" s="55">
        <v>0.6</v>
      </c>
      <c r="G52" s="55">
        <v>100</v>
      </c>
      <c r="H52" s="55">
        <v>2000</v>
      </c>
      <c r="I52" s="57">
        <v>5</v>
      </c>
      <c r="J52" s="48">
        <v>4</v>
      </c>
      <c r="K52" s="48">
        <v>4</v>
      </c>
    </row>
    <row r="53" spans="1:11" ht="15.75" customHeight="1" x14ac:dyDescent="0.35">
      <c r="A53" s="55" t="s">
        <v>158</v>
      </c>
      <c r="B53" s="61" t="s">
        <v>181</v>
      </c>
      <c r="C53" s="55">
        <v>80</v>
      </c>
      <c r="D53" s="58">
        <v>51.6</v>
      </c>
      <c r="E53" s="55">
        <v>28.7</v>
      </c>
      <c r="F53" s="55">
        <v>2.5</v>
      </c>
      <c r="G53" s="55">
        <v>0</v>
      </c>
      <c r="H53" s="55">
        <v>700</v>
      </c>
      <c r="I53" s="57">
        <v>3</v>
      </c>
      <c r="J53" s="48">
        <v>5</v>
      </c>
      <c r="K53" s="48">
        <v>5</v>
      </c>
    </row>
    <row r="54" spans="1:11" ht="15.75" customHeight="1" x14ac:dyDescent="0.35">
      <c r="A54" s="55" t="s">
        <v>158</v>
      </c>
      <c r="B54" s="61" t="s">
        <v>198</v>
      </c>
      <c r="C54" s="55">
        <v>71</v>
      </c>
      <c r="D54" s="58">
        <v>7.17</v>
      </c>
      <c r="E54" s="55">
        <v>26.1</v>
      </c>
      <c r="F54" s="55">
        <v>1.9</v>
      </c>
      <c r="G54" s="55">
        <v>0</v>
      </c>
      <c r="H54" s="55">
        <v>700</v>
      </c>
      <c r="I54" s="57">
        <v>3</v>
      </c>
      <c r="J54" s="48">
        <v>9</v>
      </c>
      <c r="K54" s="48">
        <v>11</v>
      </c>
    </row>
    <row r="55" spans="1:11" ht="15.75" customHeight="1" x14ac:dyDescent="0.35">
      <c r="A55" s="55" t="s">
        <v>158</v>
      </c>
      <c r="B55" s="61" t="s">
        <v>198</v>
      </c>
      <c r="C55" s="55">
        <v>74</v>
      </c>
      <c r="D55" s="58">
        <v>7.5</v>
      </c>
      <c r="E55" s="55">
        <v>26</v>
      </c>
      <c r="F55" s="55">
        <v>0</v>
      </c>
      <c r="G55" s="55">
        <v>100</v>
      </c>
      <c r="H55" s="55">
        <v>2000</v>
      </c>
      <c r="I55" s="57">
        <v>3</v>
      </c>
      <c r="J55" s="48">
        <v>1</v>
      </c>
      <c r="K55" s="48">
        <v>1</v>
      </c>
    </row>
    <row r="56" spans="1:11" ht="15.75" customHeight="1" x14ac:dyDescent="0.35">
      <c r="A56" s="55" t="s">
        <v>158</v>
      </c>
      <c r="B56" s="61" t="s">
        <v>198</v>
      </c>
      <c r="C56" s="55">
        <v>54</v>
      </c>
      <c r="D56" s="58">
        <v>10.85</v>
      </c>
      <c r="E56" s="55">
        <v>28.3</v>
      </c>
      <c r="F56" s="55">
        <v>1.45</v>
      </c>
      <c r="G56" s="55">
        <v>35</v>
      </c>
      <c r="H56" s="55">
        <v>2000</v>
      </c>
      <c r="I56" s="57">
        <v>3</v>
      </c>
      <c r="J56" s="48">
        <v>4</v>
      </c>
      <c r="K56" s="48">
        <v>4</v>
      </c>
    </row>
    <row r="57" spans="1:11" ht="15.75" customHeight="1" x14ac:dyDescent="0.35">
      <c r="A57" s="55" t="s">
        <v>158</v>
      </c>
      <c r="B57" s="61" t="s">
        <v>183</v>
      </c>
      <c r="C57" s="55">
        <v>77</v>
      </c>
      <c r="D57" s="58">
        <v>19</v>
      </c>
      <c r="E57" s="55">
        <v>23.9</v>
      </c>
      <c r="F57" s="55">
        <v>0</v>
      </c>
      <c r="G57" s="55">
        <v>100</v>
      </c>
      <c r="H57" s="55">
        <v>2000</v>
      </c>
      <c r="I57" s="57">
        <v>3</v>
      </c>
      <c r="J57" s="48">
        <v>4</v>
      </c>
      <c r="K57" s="48">
        <v>13</v>
      </c>
    </row>
    <row r="58" spans="1:11" ht="15.75" customHeight="1" x14ac:dyDescent="0.35">
      <c r="A58" s="55" t="s">
        <v>158</v>
      </c>
      <c r="B58" s="61" t="s">
        <v>183</v>
      </c>
      <c r="C58" s="55">
        <v>99</v>
      </c>
      <c r="D58" s="58">
        <v>29.59</v>
      </c>
      <c r="E58" s="55">
        <v>24.9</v>
      </c>
      <c r="F58" s="55">
        <v>0.65</v>
      </c>
      <c r="G58" s="55">
        <v>99</v>
      </c>
      <c r="H58" s="55">
        <v>700</v>
      </c>
      <c r="I58" s="57">
        <v>3</v>
      </c>
      <c r="J58" s="48">
        <v>4</v>
      </c>
      <c r="K58" s="48">
        <v>7</v>
      </c>
    </row>
    <row r="59" spans="1:11" ht="15.75" customHeight="1" x14ac:dyDescent="0.35">
      <c r="A59" s="55" t="s">
        <v>158</v>
      </c>
      <c r="B59" s="61" t="s">
        <v>183</v>
      </c>
      <c r="C59" s="55">
        <v>74</v>
      </c>
      <c r="D59" s="58">
        <v>1.52</v>
      </c>
      <c r="E59" s="55">
        <v>19.829999999999998</v>
      </c>
      <c r="F59" s="55">
        <v>0.85</v>
      </c>
      <c r="G59" s="55">
        <v>100</v>
      </c>
      <c r="H59" s="55">
        <v>2000</v>
      </c>
      <c r="I59" s="57">
        <v>3</v>
      </c>
      <c r="J59" s="48">
        <v>2</v>
      </c>
      <c r="K59" s="48">
        <v>2</v>
      </c>
    </row>
    <row r="60" spans="1:11" ht="15.75" customHeight="1" x14ac:dyDescent="0.35">
      <c r="A60" s="55" t="s">
        <v>158</v>
      </c>
      <c r="B60" s="61" t="s">
        <v>186</v>
      </c>
      <c r="C60" s="55">
        <v>95</v>
      </c>
      <c r="D60" s="58">
        <v>0.4</v>
      </c>
      <c r="E60" s="55">
        <v>17.100000000000001</v>
      </c>
      <c r="F60" s="55">
        <v>0</v>
      </c>
      <c r="G60" s="55">
        <v>0</v>
      </c>
      <c r="H60" s="55">
        <v>700</v>
      </c>
      <c r="I60" s="57">
        <v>6</v>
      </c>
      <c r="J60" s="48">
        <v>10</v>
      </c>
      <c r="K60" s="48">
        <v>33</v>
      </c>
    </row>
    <row r="61" spans="1:11" ht="15.75" customHeight="1" x14ac:dyDescent="0.35">
      <c r="A61" s="55" t="s">
        <v>158</v>
      </c>
      <c r="B61" s="61" t="s">
        <v>186</v>
      </c>
      <c r="C61" s="55">
        <v>95</v>
      </c>
      <c r="D61" s="58">
        <v>0.42</v>
      </c>
      <c r="E61" s="55">
        <v>17.2</v>
      </c>
      <c r="F61" s="55">
        <v>0</v>
      </c>
      <c r="G61" s="55">
        <v>100</v>
      </c>
      <c r="H61" s="55">
        <v>2000</v>
      </c>
      <c r="I61" s="57">
        <v>6</v>
      </c>
      <c r="J61" s="48">
        <v>1</v>
      </c>
      <c r="K61" s="48">
        <v>1</v>
      </c>
    </row>
    <row r="62" spans="1:11" ht="15.75" customHeight="1" x14ac:dyDescent="0.35">
      <c r="A62" s="55" t="s">
        <v>158</v>
      </c>
      <c r="B62" s="61" t="s">
        <v>186</v>
      </c>
      <c r="C62" s="55">
        <v>95</v>
      </c>
      <c r="D62" s="58">
        <v>0.41</v>
      </c>
      <c r="E62" s="55">
        <v>17.100000000000001</v>
      </c>
      <c r="F62" s="55">
        <v>0</v>
      </c>
      <c r="G62" s="55">
        <v>100</v>
      </c>
      <c r="H62" s="55">
        <v>700</v>
      </c>
      <c r="I62" s="57">
        <v>6</v>
      </c>
      <c r="J62" s="48">
        <v>8</v>
      </c>
      <c r="K62" s="48">
        <v>11</v>
      </c>
    </row>
    <row r="63" spans="1:11" ht="15.75" customHeight="1" x14ac:dyDescent="0.35">
      <c r="A63" s="55" t="s">
        <v>158</v>
      </c>
      <c r="B63" s="61" t="s">
        <v>186</v>
      </c>
      <c r="C63" s="55">
        <v>87</v>
      </c>
      <c r="D63" s="58">
        <v>0.16</v>
      </c>
      <c r="E63" s="55">
        <v>20.2</v>
      </c>
      <c r="F63" s="55">
        <v>0</v>
      </c>
      <c r="G63" s="55">
        <v>100</v>
      </c>
      <c r="H63" s="55">
        <v>2000</v>
      </c>
      <c r="I63" s="57">
        <v>6</v>
      </c>
      <c r="J63" s="48">
        <v>6</v>
      </c>
      <c r="K63" s="48">
        <v>6</v>
      </c>
    </row>
    <row r="64" spans="1:11" ht="15.75" customHeight="1" x14ac:dyDescent="0.35">
      <c r="A64" s="55" t="s">
        <v>164</v>
      </c>
      <c r="B64" s="61" t="s">
        <v>176</v>
      </c>
      <c r="C64" s="55">
        <v>89</v>
      </c>
      <c r="D64" s="58">
        <v>1.36</v>
      </c>
      <c r="E64" s="55">
        <v>23.18</v>
      </c>
      <c r="F64" s="55">
        <v>0</v>
      </c>
      <c r="G64" s="55">
        <v>100</v>
      </c>
      <c r="H64" s="55">
        <v>2000</v>
      </c>
      <c r="I64" s="57">
        <v>4</v>
      </c>
      <c r="J64" s="48">
        <v>8</v>
      </c>
      <c r="K64" s="48">
        <v>11</v>
      </c>
    </row>
    <row r="65" spans="1:11" ht="15.75" customHeight="1" x14ac:dyDescent="0.35">
      <c r="A65" s="55" t="s">
        <v>164</v>
      </c>
      <c r="B65" s="61" t="s">
        <v>177</v>
      </c>
      <c r="C65" s="55">
        <v>94</v>
      </c>
      <c r="D65" s="58">
        <v>7.68</v>
      </c>
      <c r="E65" s="55">
        <v>26.7</v>
      </c>
      <c r="F65" s="55">
        <v>0.75</v>
      </c>
      <c r="G65" s="55">
        <v>100</v>
      </c>
      <c r="H65" s="55">
        <v>2000</v>
      </c>
      <c r="I65" s="57">
        <v>3</v>
      </c>
      <c r="J65" s="48">
        <v>6</v>
      </c>
      <c r="K65" s="48">
        <v>8</v>
      </c>
    </row>
    <row r="66" spans="1:11" ht="15.75" customHeight="1" x14ac:dyDescent="0.35">
      <c r="A66" s="55" t="s">
        <v>164</v>
      </c>
      <c r="B66" s="61" t="s">
        <v>177</v>
      </c>
      <c r="C66" s="55">
        <v>90</v>
      </c>
      <c r="D66" s="58">
        <v>1.5</v>
      </c>
      <c r="E66" s="55">
        <v>23.4</v>
      </c>
      <c r="F66" s="55">
        <v>0</v>
      </c>
      <c r="G66" s="55">
        <v>100</v>
      </c>
      <c r="H66" s="55">
        <v>2000</v>
      </c>
      <c r="I66" s="57">
        <v>3</v>
      </c>
      <c r="J66" s="48">
        <v>1</v>
      </c>
      <c r="K66" s="48">
        <v>1</v>
      </c>
    </row>
    <row r="67" spans="1:11" ht="15.75" customHeight="1" x14ac:dyDescent="0.35">
      <c r="A67" s="55" t="s">
        <v>164</v>
      </c>
      <c r="B67" s="61" t="s">
        <v>200</v>
      </c>
      <c r="C67" s="55">
        <v>91</v>
      </c>
      <c r="D67" s="58">
        <v>1.1499999999999999</v>
      </c>
      <c r="E67" s="55">
        <v>24.4</v>
      </c>
      <c r="F67" s="55">
        <v>0</v>
      </c>
      <c r="G67" s="55">
        <v>100</v>
      </c>
      <c r="H67" s="55">
        <v>480</v>
      </c>
      <c r="I67" s="57">
        <v>5</v>
      </c>
      <c r="J67" s="48">
        <v>8</v>
      </c>
      <c r="K67" s="48">
        <v>8</v>
      </c>
    </row>
    <row r="68" spans="1:11" ht="15.75" customHeight="1" x14ac:dyDescent="0.35">
      <c r="A68" s="55" t="s">
        <v>164</v>
      </c>
      <c r="B68" s="61" t="s">
        <v>200</v>
      </c>
      <c r="C68" s="55">
        <v>94</v>
      </c>
      <c r="D68" s="58">
        <v>1.2</v>
      </c>
      <c r="E68" s="55">
        <v>24.4</v>
      </c>
      <c r="F68" s="55">
        <v>0</v>
      </c>
      <c r="G68" s="55">
        <v>100</v>
      </c>
      <c r="H68" s="55">
        <v>2000</v>
      </c>
      <c r="I68" s="57">
        <v>5</v>
      </c>
      <c r="J68" s="48">
        <v>1</v>
      </c>
      <c r="K68" s="48">
        <v>1</v>
      </c>
    </row>
    <row r="69" spans="1:11" ht="15.75" customHeight="1" x14ac:dyDescent="0.35">
      <c r="A69" s="55" t="s">
        <v>164</v>
      </c>
      <c r="B69" s="61" t="s">
        <v>200</v>
      </c>
      <c r="C69" s="55">
        <v>85</v>
      </c>
      <c r="D69" s="58">
        <v>1.3</v>
      </c>
      <c r="E69" s="55">
        <v>24.4</v>
      </c>
      <c r="F69" s="55">
        <v>0</v>
      </c>
      <c r="G69" s="55">
        <v>100</v>
      </c>
      <c r="H69" s="55">
        <v>2000</v>
      </c>
      <c r="I69" s="57">
        <v>5</v>
      </c>
      <c r="J69" s="48">
        <v>8</v>
      </c>
      <c r="K69" s="48">
        <v>8</v>
      </c>
    </row>
    <row r="70" spans="1:11" ht="15.75" customHeight="1" x14ac:dyDescent="0.35">
      <c r="A70" s="55" t="s">
        <v>164</v>
      </c>
      <c r="B70" s="61" t="s">
        <v>180</v>
      </c>
      <c r="C70" s="55">
        <v>91</v>
      </c>
      <c r="D70" s="58">
        <v>0.57999999999999996</v>
      </c>
      <c r="E70" s="55">
        <v>26.4</v>
      </c>
      <c r="F70" s="55">
        <v>0</v>
      </c>
      <c r="G70" s="55">
        <v>100</v>
      </c>
      <c r="H70" s="55">
        <v>780</v>
      </c>
      <c r="I70" s="57">
        <v>5</v>
      </c>
      <c r="J70" s="48">
        <v>10</v>
      </c>
      <c r="K70" s="48">
        <v>10</v>
      </c>
    </row>
    <row r="71" spans="1:11" ht="15.75" customHeight="1" x14ac:dyDescent="0.35">
      <c r="A71" s="55" t="s">
        <v>164</v>
      </c>
      <c r="B71" s="61" t="s">
        <v>180</v>
      </c>
      <c r="C71" s="55">
        <v>91</v>
      </c>
      <c r="D71" s="58">
        <v>0.81</v>
      </c>
      <c r="E71" s="55">
        <v>23.28</v>
      </c>
      <c r="F71" s="55">
        <v>0</v>
      </c>
      <c r="G71" s="55">
        <v>100</v>
      </c>
      <c r="H71" s="55">
        <v>480</v>
      </c>
      <c r="I71" s="57">
        <v>5</v>
      </c>
      <c r="J71" s="48">
        <v>5</v>
      </c>
      <c r="K71" s="48">
        <v>5</v>
      </c>
    </row>
    <row r="72" spans="1:11" ht="15.75" customHeight="1" x14ac:dyDescent="0.35">
      <c r="A72" s="55" t="s">
        <v>164</v>
      </c>
      <c r="B72" s="61" t="s">
        <v>181</v>
      </c>
      <c r="C72" s="55">
        <v>91</v>
      </c>
      <c r="D72" s="58">
        <v>0.81</v>
      </c>
      <c r="E72" s="55">
        <v>23.3</v>
      </c>
      <c r="F72" s="55">
        <v>0</v>
      </c>
      <c r="G72" s="55">
        <v>100</v>
      </c>
      <c r="H72" s="55">
        <v>2000</v>
      </c>
      <c r="I72" s="57">
        <v>3</v>
      </c>
      <c r="J72" s="48">
        <v>1</v>
      </c>
      <c r="K72" s="48">
        <v>2</v>
      </c>
    </row>
    <row r="73" spans="1:11" ht="15.75" customHeight="1" x14ac:dyDescent="0.35">
      <c r="A73" s="55" t="s">
        <v>164</v>
      </c>
      <c r="B73" s="61" t="s">
        <v>181</v>
      </c>
      <c r="C73" s="55">
        <v>99</v>
      </c>
      <c r="D73" s="58">
        <v>85.6</v>
      </c>
      <c r="E73" s="55">
        <v>28.5</v>
      </c>
      <c r="F73" s="55">
        <v>1.2</v>
      </c>
      <c r="G73" s="55">
        <v>100</v>
      </c>
      <c r="H73" s="55">
        <v>780</v>
      </c>
      <c r="I73" s="57">
        <v>3</v>
      </c>
      <c r="J73" s="48">
        <v>1</v>
      </c>
      <c r="K73" s="48">
        <v>1</v>
      </c>
    </row>
    <row r="74" spans="1:11" ht="15.75" customHeight="1" x14ac:dyDescent="0.35">
      <c r="A74" s="55" t="s">
        <v>164</v>
      </c>
      <c r="B74" s="61" t="s">
        <v>181</v>
      </c>
      <c r="C74" s="55">
        <v>91</v>
      </c>
      <c r="D74" s="58">
        <v>13.15</v>
      </c>
      <c r="E74" s="55">
        <v>26.13</v>
      </c>
      <c r="F74" s="55">
        <v>0</v>
      </c>
      <c r="G74" s="55">
        <v>100</v>
      </c>
      <c r="H74" s="55">
        <v>480</v>
      </c>
      <c r="I74" s="57">
        <v>3</v>
      </c>
      <c r="J74" s="48">
        <v>3</v>
      </c>
      <c r="K74" s="48">
        <v>3</v>
      </c>
    </row>
    <row r="75" spans="1:11" ht="15.75" customHeight="1" x14ac:dyDescent="0.35">
      <c r="A75" s="55" t="s">
        <v>164</v>
      </c>
      <c r="B75" s="61" t="s">
        <v>198</v>
      </c>
      <c r="C75" s="55">
        <v>75</v>
      </c>
      <c r="D75" s="58">
        <v>17.2</v>
      </c>
      <c r="E75" s="55">
        <v>28</v>
      </c>
      <c r="F75" s="55">
        <v>0</v>
      </c>
      <c r="G75" s="55">
        <v>100</v>
      </c>
      <c r="H75" s="55">
        <v>2000</v>
      </c>
      <c r="I75" s="57">
        <v>3</v>
      </c>
      <c r="J75" s="48">
        <v>2</v>
      </c>
      <c r="K75" s="48">
        <v>2</v>
      </c>
    </row>
    <row r="76" spans="1:11" s="75" customFormat="1" ht="15.75" customHeight="1" x14ac:dyDescent="0.35">
      <c r="A76" s="71" t="s">
        <v>164</v>
      </c>
      <c r="B76" s="72" t="s">
        <v>198</v>
      </c>
      <c r="C76" s="71">
        <v>93</v>
      </c>
      <c r="D76" s="73">
        <v>14.5</v>
      </c>
      <c r="E76" s="71">
        <v>28.73</v>
      </c>
      <c r="F76" s="71">
        <v>0</v>
      </c>
      <c r="G76" s="71">
        <v>100</v>
      </c>
      <c r="H76" s="71">
        <v>480</v>
      </c>
      <c r="I76" s="74">
        <v>3</v>
      </c>
      <c r="J76" s="75">
        <v>6</v>
      </c>
      <c r="K76" s="75">
        <v>9</v>
      </c>
    </row>
    <row r="77" spans="1:11" ht="15.75" customHeight="1" x14ac:dyDescent="0.35">
      <c r="A77" s="55" t="s">
        <v>164</v>
      </c>
      <c r="B77" s="61" t="s">
        <v>198</v>
      </c>
      <c r="C77" s="55">
        <v>74</v>
      </c>
      <c r="D77" s="58">
        <v>18</v>
      </c>
      <c r="E77" s="55">
        <v>28</v>
      </c>
      <c r="F77" s="55">
        <v>0</v>
      </c>
      <c r="G77" s="55">
        <v>2</v>
      </c>
      <c r="H77" s="55">
        <v>2000</v>
      </c>
      <c r="I77" s="57">
        <v>3</v>
      </c>
      <c r="J77" s="48">
        <v>2</v>
      </c>
      <c r="K77" s="48">
        <v>2</v>
      </c>
    </row>
    <row r="78" spans="1:11" ht="15.75" customHeight="1" x14ac:dyDescent="0.35">
      <c r="A78" s="55" t="s">
        <v>164</v>
      </c>
      <c r="B78" s="61" t="s">
        <v>183</v>
      </c>
      <c r="C78" s="55">
        <v>89</v>
      </c>
      <c r="D78" s="58">
        <v>7.61</v>
      </c>
      <c r="E78" s="55">
        <v>23.8</v>
      </c>
      <c r="F78" s="55">
        <v>0.75</v>
      </c>
      <c r="G78" s="55">
        <v>100</v>
      </c>
      <c r="H78" s="55">
        <v>2000</v>
      </c>
      <c r="I78" s="57">
        <v>3</v>
      </c>
      <c r="J78" s="48">
        <v>5</v>
      </c>
      <c r="K78" s="48">
        <v>10</v>
      </c>
    </row>
    <row r="79" spans="1:11" ht="15.75" customHeight="1" x14ac:dyDescent="0.35">
      <c r="A79" s="55" t="s">
        <v>164</v>
      </c>
      <c r="B79" s="61" t="s">
        <v>183</v>
      </c>
      <c r="C79" s="55">
        <v>81</v>
      </c>
      <c r="D79" s="58">
        <v>5.23</v>
      </c>
      <c r="E79" s="55">
        <v>27.03</v>
      </c>
      <c r="F79" s="55">
        <v>0</v>
      </c>
      <c r="G79" s="55">
        <v>100</v>
      </c>
      <c r="H79" s="55">
        <v>480</v>
      </c>
      <c r="I79" s="57">
        <v>3</v>
      </c>
      <c r="J79" s="48">
        <v>4</v>
      </c>
      <c r="K79" s="48">
        <v>5</v>
      </c>
    </row>
    <row r="80" spans="1:11" ht="15.75" customHeight="1" x14ac:dyDescent="0.35">
      <c r="A80" s="55" t="s">
        <v>164</v>
      </c>
      <c r="B80" s="61" t="s">
        <v>186</v>
      </c>
      <c r="C80" s="55">
        <v>86</v>
      </c>
      <c r="D80" s="58">
        <v>0.14000000000000001</v>
      </c>
      <c r="E80" s="55">
        <v>18.55</v>
      </c>
      <c r="F80" s="55">
        <v>0</v>
      </c>
      <c r="G80" s="55">
        <v>100</v>
      </c>
      <c r="H80" s="55">
        <v>2000</v>
      </c>
      <c r="I80" s="57">
        <v>6</v>
      </c>
      <c r="J80" s="48">
        <v>5</v>
      </c>
      <c r="K80" s="48">
        <v>5</v>
      </c>
    </row>
    <row r="81" spans="1:11" ht="15.75" customHeight="1" x14ac:dyDescent="0.35">
      <c r="A81" s="55" t="s">
        <v>164</v>
      </c>
      <c r="B81" s="61" t="s">
        <v>186</v>
      </c>
      <c r="C81" s="55">
        <v>87</v>
      </c>
      <c r="D81" s="58">
        <v>0.15</v>
      </c>
      <c r="E81" s="55">
        <v>15.2</v>
      </c>
      <c r="F81" s="55">
        <v>0</v>
      </c>
      <c r="G81" s="55">
        <v>100</v>
      </c>
      <c r="H81" s="55">
        <v>2000</v>
      </c>
      <c r="I81" s="57">
        <v>6</v>
      </c>
      <c r="J81" s="48">
        <v>3</v>
      </c>
      <c r="K81" s="48">
        <v>3</v>
      </c>
    </row>
    <row r="82" spans="1:11" ht="15.75" customHeight="1" x14ac:dyDescent="0.35">
      <c r="A82" s="55" t="s">
        <v>164</v>
      </c>
      <c r="B82" s="61" t="s">
        <v>186</v>
      </c>
      <c r="C82" s="55">
        <v>83</v>
      </c>
      <c r="D82" s="58">
        <v>0.20499999999999999</v>
      </c>
      <c r="E82" s="55">
        <v>24.8</v>
      </c>
      <c r="F82" s="55">
        <v>0</v>
      </c>
      <c r="G82" s="55">
        <v>100</v>
      </c>
      <c r="H82" s="55">
        <v>480</v>
      </c>
      <c r="I82" s="57">
        <v>6</v>
      </c>
      <c r="J82" s="48">
        <v>0</v>
      </c>
      <c r="K82" s="48">
        <v>0</v>
      </c>
    </row>
    <row r="83" spans="1:11" ht="15.75" customHeight="1" x14ac:dyDescent="0.35">
      <c r="A83" s="55" t="s">
        <v>168</v>
      </c>
      <c r="B83" s="55" t="s">
        <v>176</v>
      </c>
      <c r="C83" s="55">
        <v>92</v>
      </c>
      <c r="D83" s="58">
        <v>0.14000000000000001</v>
      </c>
      <c r="E83" s="55">
        <v>22.5</v>
      </c>
      <c r="F83" s="55">
        <v>0</v>
      </c>
      <c r="G83" s="55">
        <v>100</v>
      </c>
      <c r="H83" s="55">
        <v>480</v>
      </c>
      <c r="I83" s="57">
        <v>4</v>
      </c>
      <c r="J83" s="48">
        <v>6</v>
      </c>
      <c r="K83" s="48">
        <v>11</v>
      </c>
    </row>
    <row r="84" spans="1:11" ht="15.75" customHeight="1" x14ac:dyDescent="0.35">
      <c r="A84" s="55" t="s">
        <v>168</v>
      </c>
      <c r="B84" s="55" t="s">
        <v>176</v>
      </c>
      <c r="C84" s="55">
        <v>92</v>
      </c>
      <c r="D84" s="58">
        <v>0.14000000000000001</v>
      </c>
      <c r="E84" s="55">
        <v>22.5</v>
      </c>
      <c r="F84" s="55">
        <v>0</v>
      </c>
      <c r="G84" s="55">
        <v>60</v>
      </c>
      <c r="H84" s="55">
        <v>2000</v>
      </c>
      <c r="I84" s="57">
        <v>4</v>
      </c>
      <c r="J84" s="48">
        <v>1</v>
      </c>
      <c r="K84" s="48">
        <v>2</v>
      </c>
    </row>
    <row r="85" spans="1:11" ht="15.75" customHeight="1" x14ac:dyDescent="0.35">
      <c r="A85" s="55" t="s">
        <v>168</v>
      </c>
      <c r="B85" s="55" t="s">
        <v>177</v>
      </c>
      <c r="C85" s="55">
        <v>97</v>
      </c>
      <c r="D85" s="58">
        <v>4.5999999999999996</v>
      </c>
      <c r="E85" s="55">
        <v>24.3</v>
      </c>
      <c r="F85" s="55">
        <v>0</v>
      </c>
      <c r="G85" s="55">
        <v>100</v>
      </c>
      <c r="H85" s="55">
        <v>480</v>
      </c>
      <c r="I85" s="57">
        <v>3</v>
      </c>
      <c r="J85" s="48">
        <v>17</v>
      </c>
      <c r="K85" s="48">
        <v>24</v>
      </c>
    </row>
    <row r="86" spans="1:11" ht="15.75" customHeight="1" x14ac:dyDescent="0.35">
      <c r="A86" s="55" t="s">
        <v>168</v>
      </c>
      <c r="B86" s="55" t="s">
        <v>200</v>
      </c>
      <c r="C86" s="55">
        <v>99</v>
      </c>
      <c r="D86" s="58">
        <v>24.2</v>
      </c>
      <c r="E86" s="55">
        <v>26.1</v>
      </c>
      <c r="F86" s="55">
        <v>0</v>
      </c>
      <c r="G86" s="55">
        <v>60</v>
      </c>
      <c r="H86" s="55">
        <v>2000</v>
      </c>
      <c r="I86" s="57">
        <v>5</v>
      </c>
      <c r="J86" s="48">
        <v>1</v>
      </c>
      <c r="K86" s="48">
        <v>1</v>
      </c>
    </row>
    <row r="87" spans="1:11" ht="15.75" customHeight="1" x14ac:dyDescent="0.35">
      <c r="A87" s="55" t="s">
        <v>168</v>
      </c>
      <c r="B87" s="55" t="s">
        <v>200</v>
      </c>
      <c r="C87" s="55">
        <v>99</v>
      </c>
      <c r="D87" s="58">
        <v>24.2</v>
      </c>
      <c r="E87" s="55">
        <v>26.1</v>
      </c>
      <c r="F87" s="55">
        <v>0</v>
      </c>
      <c r="G87" s="55">
        <v>35</v>
      </c>
      <c r="H87" s="55">
        <v>480</v>
      </c>
      <c r="I87" s="57">
        <v>5</v>
      </c>
      <c r="J87" s="48">
        <v>11</v>
      </c>
      <c r="K87" s="48">
        <v>11</v>
      </c>
    </row>
    <row r="88" spans="1:11" ht="15.75" customHeight="1" x14ac:dyDescent="0.35">
      <c r="A88" s="55" t="s">
        <v>168</v>
      </c>
      <c r="B88" s="55" t="s">
        <v>200</v>
      </c>
      <c r="C88" s="55">
        <v>84</v>
      </c>
      <c r="D88" s="58">
        <v>0.17</v>
      </c>
      <c r="E88" s="55">
        <v>24</v>
      </c>
      <c r="F88" s="55">
        <v>0</v>
      </c>
      <c r="G88" s="55">
        <v>100</v>
      </c>
      <c r="H88" s="55">
        <v>2000</v>
      </c>
      <c r="I88" s="57">
        <v>5</v>
      </c>
      <c r="J88" s="48">
        <v>2</v>
      </c>
      <c r="K88" s="48">
        <v>2</v>
      </c>
    </row>
    <row r="89" spans="1:11" ht="15.75" customHeight="1" x14ac:dyDescent="0.35">
      <c r="A89" s="55" t="s">
        <v>168</v>
      </c>
      <c r="B89" s="55" t="s">
        <v>180</v>
      </c>
      <c r="C89" s="55">
        <v>97</v>
      </c>
      <c r="D89" s="58">
        <v>1.08</v>
      </c>
      <c r="E89" s="55">
        <v>25.4</v>
      </c>
      <c r="F89" s="55">
        <v>0</v>
      </c>
      <c r="G89" s="55">
        <v>100</v>
      </c>
      <c r="H89" s="55">
        <v>2000</v>
      </c>
      <c r="I89" s="57">
        <v>5</v>
      </c>
      <c r="J89" s="48">
        <v>6</v>
      </c>
      <c r="K89" s="48">
        <v>8</v>
      </c>
    </row>
    <row r="90" spans="1:11" ht="15.75" customHeight="1" x14ac:dyDescent="0.35">
      <c r="A90" s="55" t="s">
        <v>168</v>
      </c>
      <c r="B90" s="55" t="s">
        <v>180</v>
      </c>
      <c r="C90" s="55">
        <v>97</v>
      </c>
      <c r="D90" s="58">
        <v>1.08</v>
      </c>
      <c r="E90" s="55">
        <v>25.4</v>
      </c>
      <c r="F90" s="55">
        <v>0</v>
      </c>
      <c r="G90" s="55">
        <v>65</v>
      </c>
      <c r="H90" s="55">
        <v>480</v>
      </c>
      <c r="I90" s="57">
        <v>5</v>
      </c>
      <c r="J90" s="48">
        <v>9</v>
      </c>
      <c r="K90" s="48">
        <v>9</v>
      </c>
    </row>
    <row r="91" spans="1:11" ht="15.75" customHeight="1" x14ac:dyDescent="0.35">
      <c r="A91" s="55" t="s">
        <v>168</v>
      </c>
      <c r="B91" s="48" t="s">
        <v>180</v>
      </c>
      <c r="C91" s="48">
        <v>80</v>
      </c>
      <c r="D91" s="76">
        <v>0.04</v>
      </c>
      <c r="E91" s="48">
        <v>25.3</v>
      </c>
      <c r="F91" s="48">
        <v>0</v>
      </c>
      <c r="G91" s="48">
        <v>100</v>
      </c>
      <c r="H91" s="55">
        <v>2000</v>
      </c>
      <c r="I91" s="49">
        <v>5</v>
      </c>
      <c r="J91" s="48">
        <v>0</v>
      </c>
      <c r="K91" s="48">
        <v>0</v>
      </c>
    </row>
    <row r="92" spans="1:11" ht="15.75" customHeight="1" x14ac:dyDescent="0.35">
      <c r="A92" s="55" t="s">
        <v>168</v>
      </c>
      <c r="B92" s="48" t="s">
        <v>181</v>
      </c>
      <c r="C92" s="48">
        <v>87</v>
      </c>
      <c r="D92" s="76">
        <v>9.8000000000000007</v>
      </c>
      <c r="E92" s="48">
        <v>34.5</v>
      </c>
      <c r="F92" s="48">
        <v>0</v>
      </c>
      <c r="G92" s="48">
        <v>90</v>
      </c>
      <c r="H92" s="48">
        <v>2000</v>
      </c>
      <c r="I92" s="49">
        <v>3</v>
      </c>
      <c r="J92" s="48">
        <v>4</v>
      </c>
      <c r="K92" s="48">
        <v>4</v>
      </c>
    </row>
    <row r="93" spans="1:11" ht="15.75" customHeight="1" x14ac:dyDescent="0.35">
      <c r="A93" s="55" t="s">
        <v>168</v>
      </c>
      <c r="B93" s="48" t="s">
        <v>181</v>
      </c>
      <c r="C93" s="48">
        <v>87</v>
      </c>
      <c r="D93" s="76">
        <v>9.8000000000000007</v>
      </c>
      <c r="E93" s="48">
        <v>34.5</v>
      </c>
      <c r="F93" s="48">
        <v>0</v>
      </c>
      <c r="G93" s="48">
        <v>0</v>
      </c>
      <c r="H93" s="48">
        <v>480</v>
      </c>
      <c r="I93" s="49">
        <v>3</v>
      </c>
      <c r="J93" s="48">
        <v>3</v>
      </c>
      <c r="K93" s="48">
        <v>3</v>
      </c>
    </row>
    <row r="94" spans="1:11" ht="15.75" customHeight="1" x14ac:dyDescent="0.35">
      <c r="A94" s="55" t="s">
        <v>168</v>
      </c>
      <c r="B94" s="48" t="s">
        <v>181</v>
      </c>
      <c r="C94" s="48">
        <v>80</v>
      </c>
      <c r="D94" s="76">
        <v>1.5</v>
      </c>
      <c r="E94" s="48">
        <v>26.9</v>
      </c>
      <c r="F94" s="48">
        <v>0</v>
      </c>
      <c r="G94" s="48">
        <v>100</v>
      </c>
      <c r="H94" s="48">
        <v>2000</v>
      </c>
      <c r="I94" s="49">
        <v>3</v>
      </c>
      <c r="J94" s="48">
        <v>3</v>
      </c>
      <c r="K94" s="48">
        <v>4</v>
      </c>
    </row>
    <row r="95" spans="1:11" ht="15.75" customHeight="1" x14ac:dyDescent="0.35">
      <c r="A95" s="55" t="s">
        <v>168</v>
      </c>
      <c r="B95" s="48" t="s">
        <v>198</v>
      </c>
      <c r="C95" s="48">
        <v>81</v>
      </c>
      <c r="D95" s="76">
        <v>36.6</v>
      </c>
      <c r="E95" s="48">
        <v>31.4</v>
      </c>
      <c r="F95" s="48">
        <v>0.8</v>
      </c>
      <c r="G95" s="48">
        <v>96</v>
      </c>
      <c r="H95" s="48">
        <v>480</v>
      </c>
      <c r="I95" s="49">
        <v>3</v>
      </c>
      <c r="J95" s="48">
        <v>7</v>
      </c>
      <c r="K95" s="48">
        <v>7</v>
      </c>
    </row>
    <row r="96" spans="1:11" ht="15.75" customHeight="1" x14ac:dyDescent="0.35">
      <c r="A96" s="55" t="s">
        <v>168</v>
      </c>
      <c r="B96" s="48" t="s">
        <v>198</v>
      </c>
      <c r="C96" s="48">
        <v>79</v>
      </c>
      <c r="D96" s="76">
        <v>13.35</v>
      </c>
      <c r="E96" s="48">
        <v>29.2</v>
      </c>
      <c r="F96" s="48">
        <v>0</v>
      </c>
      <c r="G96" s="48">
        <v>100</v>
      </c>
      <c r="H96" s="48">
        <v>2000</v>
      </c>
      <c r="I96" s="49">
        <v>3</v>
      </c>
      <c r="J96" s="48">
        <v>2</v>
      </c>
      <c r="K96" s="48">
        <v>2</v>
      </c>
    </row>
    <row r="97" spans="1:11" ht="15.75" customHeight="1" x14ac:dyDescent="0.35">
      <c r="A97" s="55" t="s">
        <v>168</v>
      </c>
      <c r="B97" s="48" t="s">
        <v>183</v>
      </c>
      <c r="C97" s="48">
        <v>89</v>
      </c>
      <c r="D97" s="76">
        <v>1.1000000000000001</v>
      </c>
      <c r="E97" s="48">
        <v>22.3</v>
      </c>
      <c r="F97" s="48">
        <v>0</v>
      </c>
      <c r="G97" s="48">
        <v>2</v>
      </c>
      <c r="H97" s="48">
        <v>2000</v>
      </c>
      <c r="I97" s="49">
        <v>3</v>
      </c>
      <c r="J97" s="48">
        <v>7</v>
      </c>
      <c r="K97" s="48">
        <v>10</v>
      </c>
    </row>
    <row r="98" spans="1:11" ht="15.75" customHeight="1" x14ac:dyDescent="0.35">
      <c r="A98" s="55" t="s">
        <v>168</v>
      </c>
      <c r="B98" s="48" t="s">
        <v>183</v>
      </c>
      <c r="C98" s="48">
        <v>89</v>
      </c>
      <c r="D98" s="76">
        <v>1</v>
      </c>
      <c r="E98" s="48">
        <v>22.2</v>
      </c>
      <c r="F98" s="48">
        <v>0</v>
      </c>
      <c r="G98" s="48">
        <v>100</v>
      </c>
      <c r="H98" s="48">
        <v>1420</v>
      </c>
      <c r="I98" s="49">
        <v>3</v>
      </c>
      <c r="J98" s="48">
        <v>4</v>
      </c>
      <c r="K98" s="48">
        <v>4</v>
      </c>
    </row>
    <row r="99" spans="1:11" ht="15.75" customHeight="1" x14ac:dyDescent="0.35">
      <c r="A99" s="55" t="s">
        <v>168</v>
      </c>
      <c r="B99" s="48" t="s">
        <v>183</v>
      </c>
      <c r="C99" s="48">
        <v>72</v>
      </c>
      <c r="D99" s="48">
        <v>0.75</v>
      </c>
      <c r="E99" s="48">
        <v>25</v>
      </c>
      <c r="F99" s="48">
        <v>0.9</v>
      </c>
      <c r="G99" s="48">
        <v>100</v>
      </c>
      <c r="H99" s="48">
        <v>2000</v>
      </c>
      <c r="I99" s="49">
        <v>3</v>
      </c>
      <c r="J99" s="48">
        <v>2</v>
      </c>
      <c r="K99" s="48">
        <v>3</v>
      </c>
    </row>
    <row r="100" spans="1:11" ht="15.75" customHeight="1" x14ac:dyDescent="0.35">
      <c r="A100" s="55" t="s">
        <v>168</v>
      </c>
      <c r="B100" s="48" t="s">
        <v>186</v>
      </c>
      <c r="C100" s="48">
        <v>76</v>
      </c>
      <c r="D100" s="76">
        <v>1.53</v>
      </c>
      <c r="E100" s="48">
        <v>25.4</v>
      </c>
      <c r="F100" s="48">
        <v>0</v>
      </c>
      <c r="G100" s="48">
        <v>100</v>
      </c>
      <c r="H100" s="48">
        <v>1420</v>
      </c>
      <c r="I100" s="49">
        <v>6</v>
      </c>
      <c r="J100" s="48">
        <v>4</v>
      </c>
      <c r="K100" s="48">
        <v>5</v>
      </c>
    </row>
    <row r="101" spans="1:11" ht="15.75" customHeight="1" x14ac:dyDescent="0.35">
      <c r="A101" s="48" t="s">
        <v>172</v>
      </c>
      <c r="B101" s="48" t="s">
        <v>176</v>
      </c>
      <c r="C101" s="48">
        <v>81</v>
      </c>
      <c r="D101" s="76">
        <v>1.6</v>
      </c>
      <c r="E101" s="48">
        <v>26.5</v>
      </c>
      <c r="F101" s="48">
        <v>0</v>
      </c>
      <c r="G101" s="48">
        <v>30</v>
      </c>
      <c r="H101" s="48">
        <v>2000</v>
      </c>
      <c r="I101" s="49">
        <v>4</v>
      </c>
      <c r="J101" s="48">
        <v>12</v>
      </c>
      <c r="K101" s="48">
        <v>18</v>
      </c>
    </row>
    <row r="102" spans="1:11" ht="15.75" customHeight="1" x14ac:dyDescent="0.35">
      <c r="A102" s="48" t="s">
        <v>172</v>
      </c>
      <c r="B102" s="48" t="s">
        <v>177</v>
      </c>
      <c r="C102" s="48">
        <v>96</v>
      </c>
      <c r="D102" s="76">
        <v>1.1299999999999999</v>
      </c>
      <c r="E102" s="48">
        <v>26.4</v>
      </c>
      <c r="F102" s="48">
        <v>0</v>
      </c>
      <c r="G102" s="48">
        <v>100</v>
      </c>
      <c r="H102" s="48">
        <v>2000</v>
      </c>
      <c r="I102" s="49">
        <v>3</v>
      </c>
      <c r="J102" s="48">
        <v>5</v>
      </c>
      <c r="K102" s="48">
        <v>5</v>
      </c>
    </row>
    <row r="103" spans="1:11" ht="15.75" customHeight="1" x14ac:dyDescent="0.35">
      <c r="A103" s="48" t="s">
        <v>172</v>
      </c>
      <c r="B103" s="48" t="s">
        <v>200</v>
      </c>
      <c r="C103" s="48">
        <v>99</v>
      </c>
      <c r="D103" s="76">
        <v>0.28000000000000003</v>
      </c>
      <c r="E103" s="48">
        <v>23.5</v>
      </c>
      <c r="F103" s="48">
        <v>0</v>
      </c>
      <c r="G103" s="48">
        <v>100</v>
      </c>
      <c r="H103" s="48">
        <v>650</v>
      </c>
      <c r="I103" s="49">
        <v>5</v>
      </c>
      <c r="J103" s="48">
        <v>7</v>
      </c>
      <c r="K103" s="48">
        <v>10</v>
      </c>
    </row>
    <row r="104" spans="1:11" ht="15.75" customHeight="1" x14ac:dyDescent="0.35">
      <c r="A104" s="48" t="s">
        <v>172</v>
      </c>
      <c r="B104" s="48" t="s">
        <v>180</v>
      </c>
      <c r="C104" s="48">
        <v>96</v>
      </c>
      <c r="D104" s="76">
        <v>0.64</v>
      </c>
      <c r="E104" s="48">
        <v>24.9</v>
      </c>
      <c r="F104" s="48">
        <v>0</v>
      </c>
      <c r="G104" s="48">
        <v>100</v>
      </c>
      <c r="H104" s="48">
        <v>650</v>
      </c>
      <c r="I104" s="49">
        <v>5</v>
      </c>
      <c r="J104" s="48">
        <v>9</v>
      </c>
      <c r="K104" s="48">
        <v>9</v>
      </c>
    </row>
    <row r="105" spans="1:11" ht="15.75" customHeight="1" x14ac:dyDescent="0.35">
      <c r="A105" s="48" t="s">
        <v>172</v>
      </c>
      <c r="B105" s="48" t="s">
        <v>181</v>
      </c>
      <c r="C105" s="48">
        <v>98</v>
      </c>
      <c r="D105" s="76">
        <v>2.2799999999999998</v>
      </c>
      <c r="E105" s="48">
        <v>23.7</v>
      </c>
      <c r="F105" s="48">
        <v>0</v>
      </c>
      <c r="G105" s="48">
        <v>100</v>
      </c>
      <c r="H105" s="48">
        <v>650</v>
      </c>
      <c r="I105" s="49">
        <v>3</v>
      </c>
      <c r="J105" s="48">
        <v>4</v>
      </c>
      <c r="K105" s="48">
        <v>4</v>
      </c>
    </row>
    <row r="106" spans="1:11" ht="15.75" customHeight="1" x14ac:dyDescent="0.35">
      <c r="A106" s="48" t="s">
        <v>172</v>
      </c>
      <c r="B106" s="48" t="s">
        <v>198</v>
      </c>
      <c r="C106" s="48">
        <v>99</v>
      </c>
      <c r="D106" s="76">
        <v>7.2350000000000003</v>
      </c>
      <c r="E106" s="48">
        <v>24.6</v>
      </c>
      <c r="F106" s="48">
        <v>1.4</v>
      </c>
      <c r="G106" s="48">
        <v>100</v>
      </c>
      <c r="H106" s="48">
        <v>650</v>
      </c>
      <c r="I106" s="49">
        <v>3</v>
      </c>
      <c r="J106" s="48">
        <v>10</v>
      </c>
      <c r="K106" s="48">
        <v>16</v>
      </c>
    </row>
    <row r="107" spans="1:11" ht="15.75" customHeight="1" x14ac:dyDescent="0.35">
      <c r="A107" s="48" t="s">
        <v>172</v>
      </c>
      <c r="B107" s="48" t="s">
        <v>183</v>
      </c>
      <c r="C107" s="48">
        <v>84</v>
      </c>
      <c r="D107" s="76">
        <v>0.5</v>
      </c>
      <c r="E107" s="48">
        <v>25.9</v>
      </c>
      <c r="F107" s="48">
        <v>0</v>
      </c>
      <c r="G107" s="48">
        <v>100</v>
      </c>
      <c r="H107" s="48">
        <v>2000</v>
      </c>
      <c r="I107" s="49">
        <v>3</v>
      </c>
      <c r="J107" s="48">
        <v>4</v>
      </c>
      <c r="K107" s="48">
        <v>4</v>
      </c>
    </row>
    <row r="108" spans="1:11" ht="15.75" customHeight="1" x14ac:dyDescent="0.35">
      <c r="A108" s="48" t="s">
        <v>172</v>
      </c>
      <c r="B108" s="48" t="s">
        <v>186</v>
      </c>
      <c r="C108" s="48">
        <v>83</v>
      </c>
      <c r="D108" s="76">
        <v>1.1299999999999999</v>
      </c>
      <c r="E108" s="48">
        <v>25.5</v>
      </c>
      <c r="F108" s="48">
        <v>0</v>
      </c>
      <c r="G108" s="48">
        <v>100</v>
      </c>
      <c r="H108" s="48">
        <v>2000</v>
      </c>
      <c r="I108" s="49">
        <v>6</v>
      </c>
      <c r="J108" s="48">
        <v>9</v>
      </c>
      <c r="K108" s="48">
        <v>19</v>
      </c>
    </row>
    <row r="109" spans="1:11" ht="15.75" customHeight="1" x14ac:dyDescent="0.35">
      <c r="D109" s="76"/>
    </row>
    <row r="110" spans="1:11" ht="15.75" customHeight="1" x14ac:dyDescent="0.35">
      <c r="D110" s="76"/>
    </row>
    <row r="111" spans="1:11" ht="15.75" customHeight="1" x14ac:dyDescent="0.35">
      <c r="D111" s="76"/>
    </row>
    <row r="112" spans="1:11" ht="15.75" customHeight="1" x14ac:dyDescent="0.35">
      <c r="D112" s="76"/>
    </row>
    <row r="113" spans="4:4" ht="15.75" customHeight="1" x14ac:dyDescent="0.35">
      <c r="D113" s="76"/>
    </row>
    <row r="114" spans="4:4" ht="15.75" customHeight="1" x14ac:dyDescent="0.35">
      <c r="D114" s="76"/>
    </row>
    <row r="115" spans="4:4" ht="15.75" customHeight="1" x14ac:dyDescent="0.35">
      <c r="D115" s="76"/>
    </row>
    <row r="116" spans="4:4" ht="15.75" customHeight="1" x14ac:dyDescent="0.35">
      <c r="D116" s="76"/>
    </row>
    <row r="117" spans="4:4" ht="15.75" customHeight="1" x14ac:dyDescent="0.35">
      <c r="D117" s="76"/>
    </row>
    <row r="118" spans="4:4" ht="15.75" customHeight="1" x14ac:dyDescent="0.35">
      <c r="D118" s="76"/>
    </row>
    <row r="119" spans="4:4" ht="15.75" customHeight="1" x14ac:dyDescent="0.35">
      <c r="D119" s="76"/>
    </row>
    <row r="120" spans="4:4" ht="15.75" customHeight="1" x14ac:dyDescent="0.35">
      <c r="D120" s="76"/>
    </row>
    <row r="121" spans="4:4" ht="15.75" customHeight="1" x14ac:dyDescent="0.35">
      <c r="D121" s="76"/>
    </row>
    <row r="122" spans="4:4" ht="15.75" customHeight="1" x14ac:dyDescent="0.35">
      <c r="D122" s="76"/>
    </row>
    <row r="123" spans="4:4" ht="15.75" customHeight="1" x14ac:dyDescent="0.35">
      <c r="D123" s="76"/>
    </row>
    <row r="124" spans="4:4" ht="15.75" customHeight="1" x14ac:dyDescent="0.35">
      <c r="D124" s="76"/>
    </row>
    <row r="125" spans="4:4" ht="15.75" customHeight="1" x14ac:dyDescent="0.35">
      <c r="D125" s="76"/>
    </row>
    <row r="126" spans="4:4" ht="15.75" customHeight="1" x14ac:dyDescent="0.35">
      <c r="D126" s="76"/>
    </row>
    <row r="127" spans="4:4" ht="15.75" customHeight="1" x14ac:dyDescent="0.35">
      <c r="D127" s="76"/>
    </row>
    <row r="128" spans="4:4" ht="15.75" customHeight="1" x14ac:dyDescent="0.35">
      <c r="D128" s="76"/>
    </row>
    <row r="129" spans="4:4" ht="15.75" customHeight="1" x14ac:dyDescent="0.35">
      <c r="D129" s="76"/>
    </row>
    <row r="130" spans="4:4" ht="15.75" customHeight="1" x14ac:dyDescent="0.35">
      <c r="D130" s="76"/>
    </row>
    <row r="131" spans="4:4" ht="15.75" customHeight="1" x14ac:dyDescent="0.35">
      <c r="D131" s="76"/>
    </row>
    <row r="132" spans="4:4" ht="15.75" customHeight="1" x14ac:dyDescent="0.35">
      <c r="D132" s="76"/>
    </row>
    <row r="133" spans="4:4" ht="15.75" customHeight="1" x14ac:dyDescent="0.35">
      <c r="D133" s="76"/>
    </row>
    <row r="134" spans="4:4" ht="15.75" customHeight="1" x14ac:dyDescent="0.35">
      <c r="D134" s="76"/>
    </row>
    <row r="135" spans="4:4" ht="15.75" customHeight="1" x14ac:dyDescent="0.35">
      <c r="D135" s="76"/>
    </row>
    <row r="136" spans="4:4" ht="15.75" customHeight="1" x14ac:dyDescent="0.35">
      <c r="D136" s="76"/>
    </row>
    <row r="137" spans="4:4" ht="15.75" customHeight="1" x14ac:dyDescent="0.35">
      <c r="D137" s="76"/>
    </row>
    <row r="138" spans="4:4" ht="15.75" customHeight="1" x14ac:dyDescent="0.35">
      <c r="D138" s="76"/>
    </row>
    <row r="139" spans="4:4" ht="15.75" customHeight="1" x14ac:dyDescent="0.35">
      <c r="D139" s="76"/>
    </row>
    <row r="140" spans="4:4" ht="15.75" customHeight="1" x14ac:dyDescent="0.35">
      <c r="D140" s="76"/>
    </row>
    <row r="141" spans="4:4" ht="15.75" customHeight="1" x14ac:dyDescent="0.35">
      <c r="D141" s="76"/>
    </row>
    <row r="142" spans="4:4" ht="15.75" customHeight="1" x14ac:dyDescent="0.35">
      <c r="D142" s="76"/>
    </row>
    <row r="143" spans="4:4" ht="15.75" customHeight="1" x14ac:dyDescent="0.35">
      <c r="D143" s="76"/>
    </row>
    <row r="144" spans="4:4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>
      <c r="D169" s="76"/>
    </row>
    <row r="170" spans="4:4" ht="15.75" customHeight="1" x14ac:dyDescent="0.35">
      <c r="D170" s="76"/>
    </row>
    <row r="171" spans="4:4" ht="15.75" customHeight="1" x14ac:dyDescent="0.35">
      <c r="D171" s="76"/>
    </row>
    <row r="172" spans="4:4" ht="15.75" customHeight="1" x14ac:dyDescent="0.35">
      <c r="D172" s="76"/>
    </row>
    <row r="173" spans="4:4" ht="15.75" customHeight="1" x14ac:dyDescent="0.35">
      <c r="D173" s="76"/>
    </row>
    <row r="174" spans="4:4" ht="15.75" customHeight="1" x14ac:dyDescent="0.35">
      <c r="D174" s="76"/>
    </row>
    <row r="175" spans="4:4" ht="15.75" customHeight="1" x14ac:dyDescent="0.35">
      <c r="D175" s="76"/>
    </row>
    <row r="176" spans="4:4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/>
    <row r="182" spans="4:4" ht="15.75" customHeight="1" x14ac:dyDescent="0.35"/>
    <row r="183" spans="4:4" ht="15.75" customHeight="1" x14ac:dyDescent="0.35"/>
    <row r="184" spans="4:4" ht="15.75" customHeight="1" x14ac:dyDescent="0.35"/>
    <row r="185" spans="4:4" ht="15.75" customHeight="1" x14ac:dyDescent="0.35"/>
    <row r="186" spans="4:4" ht="15.75" customHeight="1" x14ac:dyDescent="0.35"/>
    <row r="187" spans="4:4" ht="15.75" customHeight="1" x14ac:dyDescent="0.35"/>
    <row r="188" spans="4:4" ht="15.75" customHeight="1" x14ac:dyDescent="0.35"/>
    <row r="189" spans="4:4" ht="15.75" customHeight="1" x14ac:dyDescent="0.35"/>
    <row r="190" spans="4:4" ht="15.75" customHeight="1" x14ac:dyDescent="0.35"/>
    <row r="191" spans="4:4" ht="15.75" customHeight="1" x14ac:dyDescent="0.35"/>
    <row r="192" spans="4:4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8"/>
  <sheetViews>
    <sheetView topLeftCell="A2" workbookViewId="0">
      <selection activeCell="H18" sqref="H18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120" x14ac:dyDescent="0.35">
      <c r="A2" s="51" t="s">
        <v>196</v>
      </c>
      <c r="B2" s="51" t="s">
        <v>187</v>
      </c>
      <c r="C2" s="52" t="s">
        <v>188</v>
      </c>
      <c r="D2" s="54" t="s">
        <v>189</v>
      </c>
      <c r="E2" s="52" t="s">
        <v>190</v>
      </c>
      <c r="F2" s="52" t="s">
        <v>191</v>
      </c>
      <c r="G2" s="52" t="s">
        <v>192</v>
      </c>
      <c r="H2" s="52" t="s">
        <v>197</v>
      </c>
      <c r="I2" s="53" t="s">
        <v>194</v>
      </c>
      <c r="J2" s="48" t="s">
        <v>195</v>
      </c>
      <c r="K2" s="48" t="s">
        <v>175</v>
      </c>
    </row>
    <row r="3" spans="1:11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5">
        <v>2000</v>
      </c>
      <c r="I3" s="57">
        <v>4</v>
      </c>
      <c r="J3" s="48">
        <v>6</v>
      </c>
      <c r="K3" s="48">
        <v>22</v>
      </c>
    </row>
    <row r="4" spans="1:11" ht="15.75" customHeight="1" x14ac:dyDescent="0.35">
      <c r="A4" s="55" t="s">
        <v>146</v>
      </c>
      <c r="B4" s="61" t="s">
        <v>200</v>
      </c>
      <c r="C4" s="55">
        <v>94</v>
      </c>
      <c r="D4" s="70">
        <v>0.5</v>
      </c>
      <c r="E4" s="55">
        <v>24.8</v>
      </c>
      <c r="F4" s="55">
        <v>0</v>
      </c>
      <c r="G4" s="55">
        <v>100</v>
      </c>
      <c r="H4" s="55">
        <v>870</v>
      </c>
      <c r="I4" s="57">
        <v>5</v>
      </c>
      <c r="J4" s="48">
        <v>2</v>
      </c>
      <c r="K4" s="48">
        <v>6</v>
      </c>
    </row>
    <row r="5" spans="1:11" ht="15.75" customHeight="1" x14ac:dyDescent="0.35">
      <c r="A5" s="55" t="s">
        <v>146</v>
      </c>
      <c r="B5" s="61" t="s">
        <v>200</v>
      </c>
      <c r="C5" s="59">
        <v>94</v>
      </c>
      <c r="D5" s="70">
        <v>0.5</v>
      </c>
      <c r="E5" s="55">
        <v>23</v>
      </c>
      <c r="F5" s="55">
        <v>0</v>
      </c>
      <c r="G5" s="55">
        <v>100</v>
      </c>
      <c r="H5" s="55">
        <v>2000</v>
      </c>
      <c r="I5" s="57">
        <v>5</v>
      </c>
      <c r="J5" s="48">
        <v>5</v>
      </c>
      <c r="K5" s="48">
        <v>5</v>
      </c>
    </row>
    <row r="6" spans="1:11" ht="15.75" customHeight="1" x14ac:dyDescent="0.35">
      <c r="A6" s="55" t="s">
        <v>146</v>
      </c>
      <c r="B6" s="61" t="s">
        <v>200</v>
      </c>
      <c r="C6" s="59">
        <v>94</v>
      </c>
      <c r="D6" s="70">
        <v>0.5</v>
      </c>
      <c r="E6" s="55">
        <v>22</v>
      </c>
      <c r="F6" s="55">
        <v>0</v>
      </c>
      <c r="G6" s="55">
        <v>100</v>
      </c>
      <c r="H6" s="55">
        <v>2000</v>
      </c>
      <c r="I6" s="57">
        <v>5</v>
      </c>
      <c r="J6" s="48">
        <v>1</v>
      </c>
      <c r="K6" s="48">
        <v>1</v>
      </c>
    </row>
    <row r="7" spans="1:11" ht="15.75" customHeight="1" x14ac:dyDescent="0.35">
      <c r="A7" s="55" t="s">
        <v>146</v>
      </c>
      <c r="B7" s="61" t="s">
        <v>181</v>
      </c>
      <c r="C7" s="55">
        <v>99</v>
      </c>
      <c r="D7" s="58">
        <v>7.59</v>
      </c>
      <c r="E7" s="55">
        <v>23.9</v>
      </c>
      <c r="F7" s="55">
        <v>0</v>
      </c>
      <c r="G7" s="55">
        <v>100</v>
      </c>
      <c r="H7" s="55">
        <v>870</v>
      </c>
      <c r="I7" s="57">
        <v>3</v>
      </c>
      <c r="J7" s="48">
        <v>5</v>
      </c>
      <c r="K7" s="48">
        <v>6</v>
      </c>
    </row>
    <row r="8" spans="1:11" ht="15.75" customHeight="1" x14ac:dyDescent="0.35">
      <c r="A8" s="55" t="s">
        <v>146</v>
      </c>
      <c r="B8" s="61" t="s">
        <v>198</v>
      </c>
      <c r="C8" s="55">
        <v>99</v>
      </c>
      <c r="D8" s="58">
        <v>13.05</v>
      </c>
      <c r="E8" s="55">
        <v>25.9</v>
      </c>
      <c r="F8" s="55">
        <v>0.45</v>
      </c>
      <c r="G8" s="55">
        <v>100</v>
      </c>
      <c r="H8" s="55">
        <v>870</v>
      </c>
      <c r="I8" s="57">
        <v>3</v>
      </c>
      <c r="J8" s="48">
        <v>4</v>
      </c>
      <c r="K8" s="48">
        <v>4</v>
      </c>
    </row>
    <row r="9" spans="1:11" ht="15.75" customHeight="1" x14ac:dyDescent="0.35">
      <c r="A9" s="55" t="s">
        <v>146</v>
      </c>
      <c r="B9" s="61" t="s">
        <v>183</v>
      </c>
      <c r="C9" s="55">
        <v>79</v>
      </c>
      <c r="D9" s="58">
        <v>15.5</v>
      </c>
      <c r="E9" s="55">
        <v>28.3</v>
      </c>
      <c r="F9" s="55">
        <v>0</v>
      </c>
      <c r="G9" s="55">
        <v>100</v>
      </c>
      <c r="H9" s="55">
        <v>1360</v>
      </c>
      <c r="I9" s="57">
        <v>3</v>
      </c>
      <c r="J9" s="48">
        <v>3</v>
      </c>
      <c r="K9" s="48">
        <v>3</v>
      </c>
    </row>
    <row r="10" spans="1:11" ht="15.75" customHeight="1" x14ac:dyDescent="0.35">
      <c r="A10" s="55" t="s">
        <v>146</v>
      </c>
      <c r="B10" s="61" t="s">
        <v>183</v>
      </c>
      <c r="C10" s="55">
        <v>79</v>
      </c>
      <c r="D10" s="58">
        <v>4.87</v>
      </c>
      <c r="E10" s="55">
        <v>25.2</v>
      </c>
      <c r="F10" s="55">
        <v>0</v>
      </c>
      <c r="G10" s="55">
        <v>100</v>
      </c>
      <c r="H10" s="55">
        <v>2000</v>
      </c>
      <c r="I10" s="57">
        <v>3</v>
      </c>
      <c r="J10" s="48">
        <v>0</v>
      </c>
      <c r="K10" s="48">
        <v>0</v>
      </c>
    </row>
    <row r="11" spans="1:11" ht="15.75" customHeight="1" x14ac:dyDescent="0.35">
      <c r="A11" s="55" t="s">
        <v>146</v>
      </c>
      <c r="B11" s="61" t="s">
        <v>186</v>
      </c>
      <c r="C11" s="55">
        <v>79</v>
      </c>
      <c r="D11" s="58">
        <v>0.56999999999999995</v>
      </c>
      <c r="E11" s="55">
        <v>24.8</v>
      </c>
      <c r="F11" s="55">
        <v>0</v>
      </c>
      <c r="G11" s="55">
        <v>100</v>
      </c>
      <c r="H11" s="55">
        <v>1360</v>
      </c>
      <c r="I11" s="57">
        <v>6</v>
      </c>
      <c r="J11" s="48">
        <v>3</v>
      </c>
      <c r="K11" s="48">
        <v>4</v>
      </c>
    </row>
    <row r="12" spans="1:11" ht="15.75" customHeight="1" x14ac:dyDescent="0.35">
      <c r="A12" s="55" t="s">
        <v>146</v>
      </c>
      <c r="B12" s="61" t="s">
        <v>186</v>
      </c>
      <c r="C12" s="55">
        <v>96</v>
      </c>
      <c r="D12" s="58">
        <v>15.05</v>
      </c>
      <c r="E12" s="55">
        <v>30.2</v>
      </c>
      <c r="F12" s="55">
        <v>0</v>
      </c>
      <c r="G12" s="55">
        <v>100</v>
      </c>
      <c r="H12" s="55">
        <v>2000</v>
      </c>
      <c r="I12" s="57">
        <v>6</v>
      </c>
      <c r="J12" s="48">
        <v>2</v>
      </c>
      <c r="K12" s="48">
        <v>6</v>
      </c>
    </row>
    <row r="13" spans="1:11" ht="15.75" customHeight="1" x14ac:dyDescent="0.35">
      <c r="A13" s="55" t="s">
        <v>146</v>
      </c>
      <c r="B13" s="55" t="s">
        <v>186</v>
      </c>
      <c r="C13" s="55">
        <v>57</v>
      </c>
      <c r="D13" s="58">
        <v>153.19999999999999</v>
      </c>
      <c r="E13" s="55">
        <v>30.2</v>
      </c>
      <c r="F13" s="55">
        <v>0.4</v>
      </c>
      <c r="G13" s="55">
        <v>100</v>
      </c>
      <c r="H13" s="55">
        <v>2000</v>
      </c>
      <c r="I13" s="57">
        <v>6</v>
      </c>
      <c r="J13" s="48">
        <v>2</v>
      </c>
      <c r="K13" s="48">
        <v>3</v>
      </c>
    </row>
    <row r="14" spans="1:11" ht="15.75" customHeight="1" x14ac:dyDescent="0.35">
      <c r="A14" s="55" t="s">
        <v>153</v>
      </c>
      <c r="B14" s="61" t="s">
        <v>176</v>
      </c>
      <c r="C14" s="55">
        <v>98</v>
      </c>
      <c r="D14" s="58">
        <v>7.54</v>
      </c>
      <c r="E14" s="55">
        <v>25.8</v>
      </c>
      <c r="F14" s="55">
        <v>0</v>
      </c>
      <c r="G14" s="55">
        <v>100</v>
      </c>
      <c r="H14" s="55">
        <v>2000</v>
      </c>
      <c r="I14" s="57">
        <v>4</v>
      </c>
      <c r="J14" s="48">
        <v>5</v>
      </c>
      <c r="K14" s="48">
        <v>7</v>
      </c>
    </row>
    <row r="15" spans="1:11" ht="15.75" customHeight="1" x14ac:dyDescent="0.35">
      <c r="A15" s="55" t="s">
        <v>153</v>
      </c>
      <c r="B15" s="61" t="s">
        <v>176</v>
      </c>
      <c r="C15" s="55">
        <v>99</v>
      </c>
      <c r="D15" s="58">
        <v>6.06</v>
      </c>
      <c r="E15" s="55">
        <v>25.35</v>
      </c>
      <c r="F15" s="55">
        <v>0</v>
      </c>
      <c r="G15" s="55">
        <v>100</v>
      </c>
      <c r="H15" s="55">
        <v>580</v>
      </c>
      <c r="I15" s="57">
        <v>4</v>
      </c>
      <c r="J15" s="48">
        <v>9</v>
      </c>
      <c r="K15" s="48">
        <v>9</v>
      </c>
    </row>
    <row r="16" spans="1:11" ht="15.75" customHeight="1" x14ac:dyDescent="0.35">
      <c r="A16" s="55" t="s">
        <v>153</v>
      </c>
      <c r="B16" s="61" t="s">
        <v>177</v>
      </c>
      <c r="C16" s="55">
        <v>98</v>
      </c>
      <c r="D16" s="58">
        <v>0.77</v>
      </c>
      <c r="E16" s="55">
        <v>22.6</v>
      </c>
      <c r="F16" s="55">
        <v>0</v>
      </c>
      <c r="G16" s="55">
        <v>100</v>
      </c>
      <c r="H16" s="55">
        <v>580</v>
      </c>
      <c r="I16" s="57">
        <v>3</v>
      </c>
      <c r="J16" s="48">
        <v>8</v>
      </c>
      <c r="K16" s="48">
        <v>14</v>
      </c>
    </row>
    <row r="17" spans="1:11" ht="15.75" customHeight="1" x14ac:dyDescent="0.35">
      <c r="A17" s="55" t="s">
        <v>153</v>
      </c>
      <c r="B17" s="61" t="s">
        <v>200</v>
      </c>
      <c r="C17" s="55">
        <v>98</v>
      </c>
      <c r="D17" s="58">
        <v>3.69</v>
      </c>
      <c r="E17" s="55">
        <v>22.35</v>
      </c>
      <c r="F17" s="55">
        <v>0</v>
      </c>
      <c r="G17" s="55">
        <v>0</v>
      </c>
      <c r="H17" s="55">
        <v>870</v>
      </c>
      <c r="I17" s="57">
        <v>5</v>
      </c>
      <c r="J17" s="48">
        <v>3</v>
      </c>
      <c r="K17" s="48">
        <v>7</v>
      </c>
    </row>
    <row r="18" spans="1:11" ht="15.75" customHeight="1" x14ac:dyDescent="0.35">
      <c r="A18" s="55" t="s">
        <v>153</v>
      </c>
      <c r="B18" s="61" t="s">
        <v>200</v>
      </c>
      <c r="C18" s="55">
        <v>98</v>
      </c>
      <c r="D18" s="58">
        <v>3.69</v>
      </c>
      <c r="E18" s="55">
        <v>22.35</v>
      </c>
      <c r="F18" s="55">
        <v>0</v>
      </c>
      <c r="G18" s="55">
        <v>0</v>
      </c>
      <c r="H18" s="55">
        <v>870</v>
      </c>
      <c r="I18" s="57">
        <v>5</v>
      </c>
      <c r="J18" s="48">
        <v>13</v>
      </c>
      <c r="K18" s="48">
        <v>14</v>
      </c>
    </row>
    <row r="19" spans="1:11" ht="15.75" customHeight="1" x14ac:dyDescent="0.35">
      <c r="A19" s="55" t="s">
        <v>153</v>
      </c>
      <c r="B19" s="61" t="s">
        <v>200</v>
      </c>
      <c r="C19" s="55">
        <v>65</v>
      </c>
      <c r="D19" s="70">
        <v>3.5000000000000003E-2</v>
      </c>
      <c r="E19" s="55">
        <v>25.7</v>
      </c>
      <c r="F19" s="55">
        <v>0</v>
      </c>
      <c r="G19" s="55">
        <v>100</v>
      </c>
      <c r="H19" s="55">
        <v>2000</v>
      </c>
      <c r="I19" s="57">
        <v>5</v>
      </c>
      <c r="J19" s="48">
        <v>3</v>
      </c>
      <c r="K19" s="48">
        <v>3</v>
      </c>
    </row>
    <row r="20" spans="1:11" ht="15.75" customHeight="1" x14ac:dyDescent="0.35">
      <c r="A20" s="55" t="s">
        <v>153</v>
      </c>
      <c r="B20" s="61" t="s">
        <v>180</v>
      </c>
      <c r="C20" s="55">
        <v>85</v>
      </c>
      <c r="D20" s="58">
        <v>3.81</v>
      </c>
      <c r="E20" s="55">
        <v>25</v>
      </c>
      <c r="F20" s="55">
        <v>0</v>
      </c>
      <c r="G20" s="55">
        <v>78.33</v>
      </c>
      <c r="H20" s="55">
        <v>870</v>
      </c>
      <c r="I20" s="57">
        <v>5</v>
      </c>
      <c r="J20" s="48">
        <v>3</v>
      </c>
      <c r="K20" s="48">
        <v>3</v>
      </c>
    </row>
    <row r="21" spans="1:11" ht="15.75" customHeight="1" x14ac:dyDescent="0.35">
      <c r="A21" s="55" t="s">
        <v>153</v>
      </c>
      <c r="B21" s="61" t="s">
        <v>180</v>
      </c>
      <c r="C21" s="55">
        <v>61</v>
      </c>
      <c r="D21" s="58">
        <v>4.78</v>
      </c>
      <c r="E21" s="55">
        <v>28.7</v>
      </c>
      <c r="F21" s="55">
        <v>0</v>
      </c>
      <c r="G21" s="55">
        <v>100</v>
      </c>
      <c r="H21" s="55">
        <v>2000</v>
      </c>
      <c r="I21" s="57">
        <v>5</v>
      </c>
      <c r="J21" s="48">
        <v>0</v>
      </c>
      <c r="K21" s="48">
        <v>0</v>
      </c>
    </row>
    <row r="22" spans="1:11" ht="15.75" customHeight="1" x14ac:dyDescent="0.35">
      <c r="A22" s="55" t="s">
        <v>153</v>
      </c>
      <c r="B22" s="61" t="s">
        <v>180</v>
      </c>
      <c r="C22" s="55">
        <v>50</v>
      </c>
      <c r="D22" s="70">
        <v>0.7</v>
      </c>
      <c r="E22" s="55">
        <v>26.3</v>
      </c>
      <c r="F22" s="55">
        <v>0</v>
      </c>
      <c r="G22" s="55">
        <v>100</v>
      </c>
      <c r="H22" s="55">
        <v>2000</v>
      </c>
      <c r="I22" s="57">
        <v>5</v>
      </c>
      <c r="J22" s="48">
        <v>2</v>
      </c>
      <c r="K22" s="48">
        <v>5</v>
      </c>
    </row>
    <row r="23" spans="1:11" ht="15.75" customHeight="1" x14ac:dyDescent="0.35">
      <c r="A23" s="55" t="s">
        <v>153</v>
      </c>
      <c r="B23" s="61" t="s">
        <v>181</v>
      </c>
      <c r="C23" s="55">
        <v>85</v>
      </c>
      <c r="D23" s="58">
        <v>13.84</v>
      </c>
      <c r="E23" s="55">
        <v>26.7</v>
      </c>
      <c r="F23" s="55">
        <v>0</v>
      </c>
      <c r="G23" s="55">
        <v>100</v>
      </c>
      <c r="H23" s="55">
        <v>870</v>
      </c>
      <c r="I23" s="57">
        <v>3</v>
      </c>
      <c r="J23" s="48">
        <v>4</v>
      </c>
      <c r="K23" s="48">
        <v>6</v>
      </c>
    </row>
    <row r="24" spans="1:11" ht="15.75" customHeight="1" x14ac:dyDescent="0.35">
      <c r="A24" s="55" t="s">
        <v>153</v>
      </c>
      <c r="B24" s="61" t="s">
        <v>181</v>
      </c>
      <c r="C24" s="55">
        <v>55</v>
      </c>
      <c r="D24" s="58">
        <v>55.3</v>
      </c>
      <c r="E24" s="55">
        <v>30.2</v>
      </c>
      <c r="F24" s="55">
        <v>0</v>
      </c>
      <c r="G24" s="55">
        <v>100</v>
      </c>
      <c r="H24" s="55">
        <v>2000</v>
      </c>
      <c r="I24" s="57">
        <v>3</v>
      </c>
      <c r="J24" s="48">
        <v>0</v>
      </c>
      <c r="K24" s="48">
        <v>0</v>
      </c>
    </row>
    <row r="25" spans="1:11" ht="15.75" customHeight="1" x14ac:dyDescent="0.35">
      <c r="A25" s="55" t="s">
        <v>153</v>
      </c>
      <c r="B25" s="61" t="s">
        <v>198</v>
      </c>
      <c r="C25" s="55">
        <v>90</v>
      </c>
      <c r="D25" s="58">
        <v>8.44</v>
      </c>
      <c r="E25" s="55">
        <v>27.4</v>
      </c>
      <c r="F25" s="55">
        <v>0.8</v>
      </c>
      <c r="G25" s="55">
        <v>100</v>
      </c>
      <c r="H25" s="55">
        <v>870</v>
      </c>
      <c r="I25" s="57">
        <v>3</v>
      </c>
      <c r="J25" s="48">
        <v>12</v>
      </c>
      <c r="K25" s="48">
        <v>17</v>
      </c>
    </row>
    <row r="26" spans="1:11" ht="15.75" customHeight="1" x14ac:dyDescent="0.35">
      <c r="A26" s="55" t="s">
        <v>153</v>
      </c>
      <c r="B26" s="56" t="s">
        <v>198</v>
      </c>
      <c r="C26" s="55">
        <v>58</v>
      </c>
      <c r="D26" s="58">
        <v>30.1</v>
      </c>
      <c r="E26" s="55">
        <v>29.1</v>
      </c>
      <c r="F26" s="55">
        <v>0</v>
      </c>
      <c r="G26" s="55">
        <v>98.75</v>
      </c>
      <c r="H26" s="55">
        <v>2000</v>
      </c>
      <c r="I26" s="57">
        <v>3</v>
      </c>
      <c r="J26" s="48">
        <v>2</v>
      </c>
      <c r="K26" s="48">
        <v>2</v>
      </c>
    </row>
    <row r="27" spans="1:11" ht="15.75" customHeight="1" x14ac:dyDescent="0.35">
      <c r="A27" s="55" t="s">
        <v>153</v>
      </c>
      <c r="B27" s="61" t="s">
        <v>183</v>
      </c>
      <c r="C27" s="55">
        <v>95</v>
      </c>
      <c r="D27" s="58">
        <v>10.69</v>
      </c>
      <c r="E27" s="55">
        <v>22.8</v>
      </c>
      <c r="F27" s="55">
        <v>1.2</v>
      </c>
      <c r="G27" s="55">
        <v>100</v>
      </c>
      <c r="H27" s="55">
        <v>1100</v>
      </c>
      <c r="I27" s="57">
        <v>3</v>
      </c>
      <c r="J27" s="48">
        <v>4</v>
      </c>
      <c r="K27" s="48">
        <v>7</v>
      </c>
    </row>
    <row r="28" spans="1:11" ht="15.75" customHeight="1" x14ac:dyDescent="0.35">
      <c r="A28" s="55" t="s">
        <v>153</v>
      </c>
      <c r="B28" s="61" t="s">
        <v>183</v>
      </c>
      <c r="C28" s="55">
        <v>95</v>
      </c>
      <c r="D28" s="58">
        <v>5.99</v>
      </c>
      <c r="E28" s="55">
        <v>25.7</v>
      </c>
      <c r="F28" s="55">
        <v>0</v>
      </c>
      <c r="G28" s="55">
        <v>100</v>
      </c>
      <c r="H28" s="55">
        <v>1420</v>
      </c>
      <c r="I28" s="57">
        <v>3</v>
      </c>
      <c r="J28" s="48">
        <v>5</v>
      </c>
      <c r="K28" s="48">
        <v>7</v>
      </c>
    </row>
    <row r="29" spans="1:11" ht="15.75" customHeight="1" x14ac:dyDescent="0.35">
      <c r="A29" s="55" t="s">
        <v>153</v>
      </c>
      <c r="B29" s="56" t="s">
        <v>183</v>
      </c>
      <c r="C29" s="55">
        <v>98</v>
      </c>
      <c r="D29" s="58">
        <v>3.61</v>
      </c>
      <c r="E29" s="55">
        <v>23</v>
      </c>
      <c r="F29" s="55">
        <v>0</v>
      </c>
      <c r="G29" s="55">
        <v>100</v>
      </c>
      <c r="H29" s="55">
        <v>2000</v>
      </c>
      <c r="I29" s="57">
        <v>3</v>
      </c>
      <c r="J29" s="48">
        <v>0</v>
      </c>
      <c r="K29" s="48">
        <v>0</v>
      </c>
    </row>
    <row r="30" spans="1:11" ht="15.75" customHeight="1" x14ac:dyDescent="0.35">
      <c r="A30" s="55" t="s">
        <v>153</v>
      </c>
      <c r="B30" s="61" t="s">
        <v>183</v>
      </c>
      <c r="C30" s="55">
        <v>80</v>
      </c>
      <c r="D30" s="58">
        <v>6.89</v>
      </c>
      <c r="E30" s="55">
        <v>24.3</v>
      </c>
      <c r="F30" s="55">
        <v>0.87</v>
      </c>
      <c r="G30" s="55">
        <v>100</v>
      </c>
      <c r="H30" s="55">
        <v>2000</v>
      </c>
      <c r="I30" s="57">
        <v>3</v>
      </c>
      <c r="J30" s="48">
        <v>2</v>
      </c>
      <c r="K30" s="48">
        <v>2</v>
      </c>
    </row>
    <row r="31" spans="1:11" ht="15.75" customHeight="1" x14ac:dyDescent="0.35">
      <c r="A31" s="55" t="s">
        <v>153</v>
      </c>
      <c r="B31" s="61" t="s">
        <v>186</v>
      </c>
      <c r="C31" s="55">
        <v>95</v>
      </c>
      <c r="D31" s="58">
        <v>1.44</v>
      </c>
      <c r="E31" s="55">
        <v>25.1</v>
      </c>
      <c r="F31" s="55">
        <v>0</v>
      </c>
      <c r="G31" s="55">
        <v>100</v>
      </c>
      <c r="H31" s="55">
        <v>1420</v>
      </c>
      <c r="I31" s="57">
        <v>6</v>
      </c>
      <c r="J31" s="48">
        <v>2</v>
      </c>
      <c r="K31" s="48">
        <v>7</v>
      </c>
    </row>
    <row r="32" spans="1:11" ht="15.75" customHeight="1" x14ac:dyDescent="0.35">
      <c r="A32" s="55" t="s">
        <v>153</v>
      </c>
      <c r="B32" s="61" t="s">
        <v>186</v>
      </c>
      <c r="C32" s="55">
        <v>99</v>
      </c>
      <c r="D32" s="58">
        <v>0.54</v>
      </c>
      <c r="E32" s="55">
        <v>21.9</v>
      </c>
      <c r="F32" s="55">
        <v>0</v>
      </c>
      <c r="G32" s="55">
        <v>100</v>
      </c>
      <c r="H32" s="55">
        <v>1420</v>
      </c>
      <c r="I32" s="57">
        <v>6</v>
      </c>
      <c r="J32" s="48">
        <v>3</v>
      </c>
      <c r="K32" s="48">
        <v>3</v>
      </c>
    </row>
    <row r="33" spans="1:11" ht="15.75" customHeight="1" x14ac:dyDescent="0.35">
      <c r="A33" s="55" t="s">
        <v>153</v>
      </c>
      <c r="B33" s="61" t="s">
        <v>186</v>
      </c>
      <c r="C33" s="55">
        <v>99</v>
      </c>
      <c r="D33" s="58">
        <v>0.63</v>
      </c>
      <c r="E33" s="55">
        <v>25.1</v>
      </c>
      <c r="F33" s="55">
        <v>0</v>
      </c>
      <c r="G33" s="55">
        <v>100</v>
      </c>
      <c r="H33" s="55">
        <v>2000</v>
      </c>
      <c r="I33" s="57">
        <v>6</v>
      </c>
      <c r="J33" s="48">
        <v>3</v>
      </c>
      <c r="K33" s="48">
        <v>8</v>
      </c>
    </row>
    <row r="34" spans="1:11" ht="15.75" customHeight="1" x14ac:dyDescent="0.35">
      <c r="A34" s="55" t="s">
        <v>153</v>
      </c>
      <c r="B34" s="61" t="s">
        <v>186</v>
      </c>
      <c r="C34" s="55">
        <v>99</v>
      </c>
      <c r="D34" s="58">
        <v>1.67</v>
      </c>
      <c r="E34" s="55">
        <v>25.2</v>
      </c>
      <c r="F34" s="55">
        <v>0</v>
      </c>
      <c r="G34" s="55">
        <v>100</v>
      </c>
      <c r="H34" s="55">
        <v>2000</v>
      </c>
      <c r="I34" s="57">
        <v>6</v>
      </c>
      <c r="J34" s="48">
        <v>3</v>
      </c>
      <c r="K34" s="48">
        <v>4</v>
      </c>
    </row>
    <row r="35" spans="1:11" ht="15.75" customHeight="1" x14ac:dyDescent="0.35">
      <c r="A35" s="55" t="s">
        <v>158</v>
      </c>
      <c r="B35" s="61" t="s">
        <v>176</v>
      </c>
      <c r="C35" s="55">
        <v>96</v>
      </c>
      <c r="D35" s="58">
        <v>1.1399999999999999</v>
      </c>
      <c r="E35" s="55">
        <v>26.4</v>
      </c>
      <c r="F35" s="55">
        <v>0</v>
      </c>
      <c r="G35" s="55">
        <v>22</v>
      </c>
      <c r="H35" s="55">
        <v>550</v>
      </c>
      <c r="I35" s="57">
        <v>4</v>
      </c>
      <c r="J35" s="48">
        <v>4</v>
      </c>
      <c r="K35" s="48">
        <v>7</v>
      </c>
    </row>
    <row r="36" spans="1:11" ht="15.75" customHeight="1" x14ac:dyDescent="0.35">
      <c r="A36" s="55" t="s">
        <v>158</v>
      </c>
      <c r="B36" s="61" t="s">
        <v>176</v>
      </c>
      <c r="C36" s="55">
        <v>99</v>
      </c>
      <c r="D36" s="58">
        <v>8.52</v>
      </c>
      <c r="E36" s="55">
        <v>26.5</v>
      </c>
      <c r="F36" s="55">
        <v>0</v>
      </c>
      <c r="G36" s="55">
        <v>100</v>
      </c>
      <c r="H36" s="55">
        <v>2000</v>
      </c>
      <c r="I36" s="57">
        <v>4</v>
      </c>
      <c r="J36" s="48">
        <v>5</v>
      </c>
      <c r="K36" s="48">
        <v>6</v>
      </c>
    </row>
    <row r="37" spans="1:11" ht="15.75" customHeight="1" x14ac:dyDescent="0.35">
      <c r="A37" s="55" t="s">
        <v>158</v>
      </c>
      <c r="B37" s="61" t="s">
        <v>178</v>
      </c>
      <c r="C37" s="55">
        <v>99</v>
      </c>
      <c r="D37" s="58">
        <v>6.93</v>
      </c>
      <c r="E37" s="55">
        <v>23.5</v>
      </c>
      <c r="F37" s="55">
        <v>0</v>
      </c>
      <c r="G37" s="55">
        <v>98</v>
      </c>
      <c r="H37" s="55">
        <v>2000</v>
      </c>
      <c r="I37" s="57">
        <v>3</v>
      </c>
      <c r="J37" s="48">
        <v>7</v>
      </c>
      <c r="K37" s="48">
        <v>7</v>
      </c>
    </row>
    <row r="38" spans="1:11" ht="15.75" customHeight="1" x14ac:dyDescent="0.35">
      <c r="A38" s="55" t="s">
        <v>158</v>
      </c>
      <c r="B38" s="61" t="s">
        <v>178</v>
      </c>
      <c r="C38" s="55">
        <v>99</v>
      </c>
      <c r="D38" s="58">
        <v>6.8</v>
      </c>
      <c r="E38" s="55">
        <v>23.5</v>
      </c>
      <c r="F38" s="55">
        <v>0</v>
      </c>
      <c r="G38" s="55">
        <v>100</v>
      </c>
      <c r="H38" s="55">
        <v>2000</v>
      </c>
      <c r="I38" s="57">
        <v>3</v>
      </c>
      <c r="J38" s="48">
        <v>1</v>
      </c>
      <c r="K38" s="48">
        <v>1</v>
      </c>
    </row>
    <row r="39" spans="1:11" ht="15.75" customHeight="1" x14ac:dyDescent="0.35">
      <c r="A39" s="55" t="s">
        <v>158</v>
      </c>
      <c r="B39" s="61" t="s">
        <v>200</v>
      </c>
      <c r="C39" s="55">
        <v>89</v>
      </c>
      <c r="D39" s="58">
        <v>2.74</v>
      </c>
      <c r="E39" s="55">
        <v>23.5</v>
      </c>
      <c r="F39" s="55">
        <v>0</v>
      </c>
      <c r="G39" s="55">
        <v>0</v>
      </c>
      <c r="H39" s="55">
        <v>700</v>
      </c>
      <c r="I39" s="57">
        <v>5</v>
      </c>
      <c r="J39" s="48">
        <v>13</v>
      </c>
      <c r="K39" s="48">
        <v>16</v>
      </c>
    </row>
    <row r="40" spans="1:11" ht="15.75" customHeight="1" x14ac:dyDescent="0.35">
      <c r="A40" s="55" t="s">
        <v>158</v>
      </c>
      <c r="B40" s="61" t="s">
        <v>200</v>
      </c>
      <c r="C40" s="55">
        <v>99</v>
      </c>
      <c r="D40" s="58">
        <v>0.32</v>
      </c>
      <c r="E40" s="55">
        <v>21.5</v>
      </c>
      <c r="F40" s="55">
        <v>0</v>
      </c>
      <c r="G40" s="55">
        <v>100</v>
      </c>
      <c r="H40" s="55">
        <v>2000</v>
      </c>
      <c r="I40" s="57">
        <v>5</v>
      </c>
      <c r="J40" s="48">
        <v>3</v>
      </c>
      <c r="K40" s="48">
        <v>3</v>
      </c>
    </row>
    <row r="41" spans="1:11" ht="15.75" customHeight="1" x14ac:dyDescent="0.35">
      <c r="A41" s="55" t="s">
        <v>158</v>
      </c>
      <c r="B41" s="61" t="s">
        <v>200</v>
      </c>
      <c r="C41" s="55">
        <v>87</v>
      </c>
      <c r="D41" s="58">
        <v>0.03</v>
      </c>
      <c r="E41" s="55">
        <v>23.2</v>
      </c>
      <c r="F41" s="55">
        <v>0</v>
      </c>
      <c r="G41" s="55">
        <v>100</v>
      </c>
      <c r="H41" s="55">
        <v>2000</v>
      </c>
      <c r="I41" s="57">
        <v>5</v>
      </c>
      <c r="J41" s="48">
        <v>3</v>
      </c>
      <c r="K41" s="48">
        <v>3</v>
      </c>
    </row>
    <row r="42" spans="1:11" ht="15.75" customHeight="1" x14ac:dyDescent="0.35">
      <c r="A42" s="55" t="s">
        <v>158</v>
      </c>
      <c r="B42" s="61" t="s">
        <v>200</v>
      </c>
      <c r="C42" s="55">
        <v>85</v>
      </c>
      <c r="D42" s="58">
        <v>0.04</v>
      </c>
      <c r="E42" s="55">
        <v>23.2</v>
      </c>
      <c r="F42" s="55">
        <v>0</v>
      </c>
      <c r="G42" s="55">
        <v>50</v>
      </c>
      <c r="H42" s="55">
        <v>2000</v>
      </c>
      <c r="I42" s="57">
        <v>5</v>
      </c>
      <c r="J42" s="48">
        <v>1</v>
      </c>
      <c r="K42" s="48">
        <v>1</v>
      </c>
    </row>
    <row r="43" spans="1:11" ht="15.75" customHeight="1" x14ac:dyDescent="0.35">
      <c r="A43" s="55" t="s">
        <v>158</v>
      </c>
      <c r="B43" s="61" t="s">
        <v>180</v>
      </c>
      <c r="C43" s="55">
        <v>88</v>
      </c>
      <c r="D43" s="58">
        <v>0.69</v>
      </c>
      <c r="E43" s="55">
        <v>23.4</v>
      </c>
      <c r="F43" s="55">
        <v>6</v>
      </c>
      <c r="G43" s="55">
        <v>100</v>
      </c>
      <c r="H43" s="55">
        <v>700</v>
      </c>
      <c r="I43" s="57">
        <v>5</v>
      </c>
      <c r="J43" s="48">
        <v>8</v>
      </c>
      <c r="K43" s="48">
        <v>9</v>
      </c>
    </row>
    <row r="44" spans="1:11" ht="15.75" customHeight="1" x14ac:dyDescent="0.35">
      <c r="A44" s="55" t="s">
        <v>158</v>
      </c>
      <c r="B44" s="61" t="s">
        <v>180</v>
      </c>
      <c r="C44" s="55">
        <v>88</v>
      </c>
      <c r="D44" s="58">
        <v>1.86</v>
      </c>
      <c r="E44" s="55">
        <v>27.2</v>
      </c>
      <c r="F44" s="55">
        <v>0.6</v>
      </c>
      <c r="G44" s="55">
        <v>100</v>
      </c>
      <c r="H44" s="55">
        <v>2000</v>
      </c>
      <c r="I44" s="57">
        <v>5</v>
      </c>
      <c r="J44" s="48">
        <v>4</v>
      </c>
      <c r="K44" s="48">
        <v>4</v>
      </c>
    </row>
    <row r="45" spans="1:11" ht="15.75" customHeight="1" x14ac:dyDescent="0.35">
      <c r="A45" s="55" t="s">
        <v>158</v>
      </c>
      <c r="B45" s="61" t="s">
        <v>181</v>
      </c>
      <c r="C45" s="55">
        <v>80</v>
      </c>
      <c r="D45" s="58">
        <v>51.6</v>
      </c>
      <c r="E45" s="55">
        <v>28.7</v>
      </c>
      <c r="F45" s="55">
        <v>2.5</v>
      </c>
      <c r="G45" s="55">
        <v>0</v>
      </c>
      <c r="H45" s="55">
        <v>700</v>
      </c>
      <c r="I45" s="57">
        <v>3</v>
      </c>
      <c r="J45" s="48">
        <v>5</v>
      </c>
      <c r="K45" s="48">
        <v>5</v>
      </c>
    </row>
    <row r="46" spans="1:11" ht="15.75" customHeight="1" x14ac:dyDescent="0.35">
      <c r="A46" s="55" t="s">
        <v>158</v>
      </c>
      <c r="B46" s="61" t="s">
        <v>198</v>
      </c>
      <c r="C46" s="55">
        <v>71</v>
      </c>
      <c r="D46" s="58">
        <v>7.17</v>
      </c>
      <c r="E46" s="55">
        <v>26.1</v>
      </c>
      <c r="F46" s="55">
        <v>1.9</v>
      </c>
      <c r="G46" s="55">
        <v>0</v>
      </c>
      <c r="H46" s="55">
        <v>700</v>
      </c>
      <c r="I46" s="57">
        <v>3</v>
      </c>
      <c r="J46" s="48">
        <v>9</v>
      </c>
      <c r="K46" s="48">
        <v>11</v>
      </c>
    </row>
    <row r="47" spans="1:11" ht="15.75" customHeight="1" x14ac:dyDescent="0.35">
      <c r="A47" s="55" t="s">
        <v>158</v>
      </c>
      <c r="B47" s="61" t="s">
        <v>198</v>
      </c>
      <c r="C47" s="55">
        <v>74</v>
      </c>
      <c r="D47" s="58">
        <v>7.5</v>
      </c>
      <c r="E47" s="55">
        <v>26</v>
      </c>
      <c r="F47" s="55">
        <v>0</v>
      </c>
      <c r="G47" s="55">
        <v>100</v>
      </c>
      <c r="H47" s="55">
        <v>2000</v>
      </c>
      <c r="I47" s="57">
        <v>3</v>
      </c>
      <c r="J47" s="48">
        <v>1</v>
      </c>
      <c r="K47" s="48">
        <v>1</v>
      </c>
    </row>
    <row r="48" spans="1:11" ht="15.75" customHeight="1" x14ac:dyDescent="0.35">
      <c r="A48" s="55" t="s">
        <v>158</v>
      </c>
      <c r="B48" s="61" t="s">
        <v>183</v>
      </c>
      <c r="C48" s="55">
        <v>77</v>
      </c>
      <c r="D48" s="58">
        <v>19</v>
      </c>
      <c r="E48" s="55">
        <v>23.9</v>
      </c>
      <c r="F48" s="55">
        <v>0</v>
      </c>
      <c r="G48" s="55">
        <v>100</v>
      </c>
      <c r="H48" s="55">
        <v>2000</v>
      </c>
      <c r="I48" s="57">
        <v>3</v>
      </c>
      <c r="J48" s="48">
        <v>4</v>
      </c>
      <c r="K48" s="48">
        <v>13</v>
      </c>
    </row>
    <row r="49" spans="1:11" ht="15.75" customHeight="1" x14ac:dyDescent="0.35">
      <c r="A49" s="55" t="s">
        <v>158</v>
      </c>
      <c r="B49" s="61" t="s">
        <v>183</v>
      </c>
      <c r="C49" s="55">
        <v>99</v>
      </c>
      <c r="D49" s="58">
        <v>29.59</v>
      </c>
      <c r="E49" s="55">
        <v>24.9</v>
      </c>
      <c r="F49" s="55">
        <v>0.65</v>
      </c>
      <c r="G49" s="55">
        <v>99</v>
      </c>
      <c r="H49" s="55">
        <v>700</v>
      </c>
      <c r="I49" s="57">
        <v>3</v>
      </c>
      <c r="J49" s="48">
        <v>4</v>
      </c>
      <c r="K49" s="48">
        <v>7</v>
      </c>
    </row>
    <row r="50" spans="1:11" ht="15.75" customHeight="1" x14ac:dyDescent="0.35">
      <c r="A50" s="55" t="s">
        <v>158</v>
      </c>
      <c r="B50" s="61" t="s">
        <v>183</v>
      </c>
      <c r="C50" s="55">
        <v>74</v>
      </c>
      <c r="D50" s="58">
        <v>1.52</v>
      </c>
      <c r="E50" s="55">
        <v>19.829999999999998</v>
      </c>
      <c r="F50" s="55">
        <v>0.85</v>
      </c>
      <c r="G50" s="55">
        <v>100</v>
      </c>
      <c r="H50" s="55">
        <v>2000</v>
      </c>
      <c r="I50" s="57">
        <v>3</v>
      </c>
      <c r="J50" s="48">
        <v>2</v>
      </c>
      <c r="K50" s="48">
        <v>2</v>
      </c>
    </row>
    <row r="51" spans="1:11" ht="15.75" customHeight="1" x14ac:dyDescent="0.35">
      <c r="A51" s="55" t="s">
        <v>158</v>
      </c>
      <c r="B51" s="61" t="s">
        <v>186</v>
      </c>
      <c r="C51" s="55">
        <v>95</v>
      </c>
      <c r="D51" s="58">
        <v>0.4</v>
      </c>
      <c r="E51" s="55">
        <v>17.100000000000001</v>
      </c>
      <c r="F51" s="55">
        <v>0</v>
      </c>
      <c r="G51" s="55">
        <v>0</v>
      </c>
      <c r="H51" s="55">
        <v>700</v>
      </c>
      <c r="I51" s="57">
        <v>6</v>
      </c>
      <c r="J51" s="48">
        <v>10</v>
      </c>
      <c r="K51" s="48">
        <v>33</v>
      </c>
    </row>
    <row r="52" spans="1:11" ht="15.75" customHeight="1" x14ac:dyDescent="0.35">
      <c r="A52" s="55" t="s">
        <v>158</v>
      </c>
      <c r="B52" s="61" t="s">
        <v>186</v>
      </c>
      <c r="C52" s="55">
        <v>95</v>
      </c>
      <c r="D52" s="58">
        <v>0.42</v>
      </c>
      <c r="E52" s="55">
        <v>17.2</v>
      </c>
      <c r="F52" s="55">
        <v>0</v>
      </c>
      <c r="G52" s="55">
        <v>100</v>
      </c>
      <c r="H52" s="55">
        <v>2000</v>
      </c>
      <c r="I52" s="57">
        <v>6</v>
      </c>
      <c r="J52" s="48">
        <v>1</v>
      </c>
      <c r="K52" s="48">
        <v>1</v>
      </c>
    </row>
    <row r="53" spans="1:11" ht="15.75" customHeight="1" x14ac:dyDescent="0.35">
      <c r="A53" s="55" t="s">
        <v>158</v>
      </c>
      <c r="B53" s="61" t="s">
        <v>186</v>
      </c>
      <c r="C53" s="55">
        <v>95</v>
      </c>
      <c r="D53" s="58">
        <v>0.41</v>
      </c>
      <c r="E53" s="55">
        <v>17.100000000000001</v>
      </c>
      <c r="F53" s="55">
        <v>0</v>
      </c>
      <c r="G53" s="55">
        <v>100</v>
      </c>
      <c r="H53" s="55">
        <v>700</v>
      </c>
      <c r="I53" s="57">
        <v>6</v>
      </c>
      <c r="J53" s="48">
        <v>8</v>
      </c>
      <c r="K53" s="48">
        <v>11</v>
      </c>
    </row>
    <row r="54" spans="1:11" ht="15.75" customHeight="1" x14ac:dyDescent="0.35">
      <c r="A54" s="55" t="s">
        <v>158</v>
      </c>
      <c r="B54" s="61" t="s">
        <v>186</v>
      </c>
      <c r="C54" s="55">
        <v>87</v>
      </c>
      <c r="D54" s="58">
        <v>0.16</v>
      </c>
      <c r="E54" s="55">
        <v>20.2</v>
      </c>
      <c r="F54" s="55">
        <v>0</v>
      </c>
      <c r="G54" s="55">
        <v>100</v>
      </c>
      <c r="H54" s="55">
        <v>2000</v>
      </c>
      <c r="I54" s="57">
        <v>6</v>
      </c>
      <c r="J54" s="48">
        <v>6</v>
      </c>
      <c r="K54" s="48">
        <v>6</v>
      </c>
    </row>
    <row r="55" spans="1:11" ht="15.75" customHeight="1" x14ac:dyDescent="0.35">
      <c r="A55" s="55" t="s">
        <v>164</v>
      </c>
      <c r="B55" s="61" t="s">
        <v>176</v>
      </c>
      <c r="C55" s="55">
        <v>89</v>
      </c>
      <c r="D55" s="58">
        <v>1.36</v>
      </c>
      <c r="E55" s="55">
        <v>23.18</v>
      </c>
      <c r="F55" s="55">
        <v>0</v>
      </c>
      <c r="G55" s="55">
        <v>100</v>
      </c>
      <c r="H55" s="55">
        <v>2000</v>
      </c>
      <c r="I55" s="57">
        <v>4</v>
      </c>
      <c r="J55" s="48">
        <v>8</v>
      </c>
      <c r="K55" s="48">
        <v>11</v>
      </c>
    </row>
    <row r="56" spans="1:11" ht="15.75" customHeight="1" x14ac:dyDescent="0.35">
      <c r="A56" s="55" t="s">
        <v>164</v>
      </c>
      <c r="B56" s="61" t="s">
        <v>177</v>
      </c>
      <c r="C56" s="55">
        <v>94</v>
      </c>
      <c r="D56" s="58">
        <v>7.68</v>
      </c>
      <c r="E56" s="55">
        <v>26.7</v>
      </c>
      <c r="F56" s="55">
        <v>0.75</v>
      </c>
      <c r="G56" s="55">
        <v>100</v>
      </c>
      <c r="H56" s="55">
        <v>2000</v>
      </c>
      <c r="I56" s="57">
        <v>3</v>
      </c>
      <c r="J56" s="48">
        <v>6</v>
      </c>
      <c r="K56" s="48">
        <v>8</v>
      </c>
    </row>
    <row r="57" spans="1:11" ht="15.75" customHeight="1" x14ac:dyDescent="0.35">
      <c r="A57" s="55" t="s">
        <v>164</v>
      </c>
      <c r="B57" s="61" t="s">
        <v>177</v>
      </c>
      <c r="C57" s="55">
        <v>90</v>
      </c>
      <c r="D57" s="58">
        <v>1.5</v>
      </c>
      <c r="E57" s="55">
        <v>23.4</v>
      </c>
      <c r="F57" s="55">
        <v>0</v>
      </c>
      <c r="G57" s="55">
        <v>100</v>
      </c>
      <c r="H57" s="55">
        <v>2000</v>
      </c>
      <c r="I57" s="57">
        <v>3</v>
      </c>
      <c r="J57" s="48">
        <v>1</v>
      </c>
      <c r="K57" s="48">
        <v>1</v>
      </c>
    </row>
    <row r="58" spans="1:11" ht="15.75" customHeight="1" x14ac:dyDescent="0.35">
      <c r="A58" s="55" t="s">
        <v>164</v>
      </c>
      <c r="B58" s="61" t="s">
        <v>200</v>
      </c>
      <c r="C58" s="55">
        <v>91</v>
      </c>
      <c r="D58" s="58">
        <v>1.1499999999999999</v>
      </c>
      <c r="E58" s="55">
        <v>24.4</v>
      </c>
      <c r="F58" s="55">
        <v>0</v>
      </c>
      <c r="G58" s="55">
        <v>100</v>
      </c>
      <c r="H58" s="55">
        <v>480</v>
      </c>
      <c r="I58" s="57">
        <v>5</v>
      </c>
      <c r="J58" s="48">
        <v>8</v>
      </c>
      <c r="K58" s="48">
        <v>8</v>
      </c>
    </row>
    <row r="59" spans="1:11" ht="15.75" customHeight="1" x14ac:dyDescent="0.35">
      <c r="A59" s="55" t="s">
        <v>164</v>
      </c>
      <c r="B59" s="61" t="s">
        <v>200</v>
      </c>
      <c r="C59" s="55">
        <v>94</v>
      </c>
      <c r="D59" s="58">
        <v>1.2</v>
      </c>
      <c r="E59" s="55">
        <v>24.4</v>
      </c>
      <c r="F59" s="55">
        <v>0</v>
      </c>
      <c r="G59" s="55">
        <v>100</v>
      </c>
      <c r="H59" s="55">
        <v>2000</v>
      </c>
      <c r="I59" s="57">
        <v>5</v>
      </c>
      <c r="J59" s="48">
        <v>1</v>
      </c>
      <c r="K59" s="48">
        <v>1</v>
      </c>
    </row>
    <row r="60" spans="1:11" ht="15.75" customHeight="1" x14ac:dyDescent="0.35">
      <c r="A60" s="55" t="s">
        <v>164</v>
      </c>
      <c r="B60" s="61" t="s">
        <v>200</v>
      </c>
      <c r="C60" s="55">
        <v>85</v>
      </c>
      <c r="D60" s="58">
        <v>1.3</v>
      </c>
      <c r="E60" s="55">
        <v>24.4</v>
      </c>
      <c r="F60" s="55">
        <v>0</v>
      </c>
      <c r="G60" s="55">
        <v>100</v>
      </c>
      <c r="H60" s="55">
        <v>2000</v>
      </c>
      <c r="I60" s="57">
        <v>5</v>
      </c>
      <c r="J60" s="48">
        <v>8</v>
      </c>
      <c r="K60" s="48">
        <v>8</v>
      </c>
    </row>
    <row r="61" spans="1:11" ht="15.75" customHeight="1" x14ac:dyDescent="0.35">
      <c r="A61" s="55" t="s">
        <v>164</v>
      </c>
      <c r="B61" s="61" t="s">
        <v>180</v>
      </c>
      <c r="C61" s="55">
        <v>91</v>
      </c>
      <c r="D61" s="58">
        <v>0.57999999999999996</v>
      </c>
      <c r="E61" s="55">
        <v>26.4</v>
      </c>
      <c r="F61" s="55">
        <v>0</v>
      </c>
      <c r="G61" s="55">
        <v>100</v>
      </c>
      <c r="H61" s="55">
        <v>780</v>
      </c>
      <c r="I61" s="57">
        <v>5</v>
      </c>
      <c r="J61" s="48">
        <v>10</v>
      </c>
      <c r="K61" s="48">
        <v>10</v>
      </c>
    </row>
    <row r="62" spans="1:11" ht="15.75" customHeight="1" x14ac:dyDescent="0.35">
      <c r="A62" s="55" t="s">
        <v>164</v>
      </c>
      <c r="B62" s="61" t="s">
        <v>180</v>
      </c>
      <c r="C62" s="55">
        <v>91</v>
      </c>
      <c r="D62" s="58">
        <v>0.81</v>
      </c>
      <c r="E62" s="55">
        <v>23.28</v>
      </c>
      <c r="F62" s="55">
        <v>0</v>
      </c>
      <c r="G62" s="55">
        <v>100</v>
      </c>
      <c r="H62" s="55">
        <v>480</v>
      </c>
      <c r="I62" s="57">
        <v>5</v>
      </c>
      <c r="J62" s="48">
        <v>5</v>
      </c>
      <c r="K62" s="48">
        <v>5</v>
      </c>
    </row>
    <row r="63" spans="1:11" ht="15.75" customHeight="1" x14ac:dyDescent="0.35">
      <c r="A63" s="55" t="s">
        <v>164</v>
      </c>
      <c r="B63" s="61" t="s">
        <v>181</v>
      </c>
      <c r="C63" s="55">
        <v>91</v>
      </c>
      <c r="D63" s="58">
        <v>0.81</v>
      </c>
      <c r="E63" s="55">
        <v>23.3</v>
      </c>
      <c r="F63" s="55">
        <v>0</v>
      </c>
      <c r="G63" s="55">
        <v>100</v>
      </c>
      <c r="H63" s="55">
        <v>2000</v>
      </c>
      <c r="I63" s="57">
        <v>3</v>
      </c>
      <c r="J63" s="48">
        <v>1</v>
      </c>
      <c r="K63" s="48">
        <v>2</v>
      </c>
    </row>
    <row r="64" spans="1:11" ht="15.75" customHeight="1" x14ac:dyDescent="0.35">
      <c r="A64" s="55" t="s">
        <v>164</v>
      </c>
      <c r="B64" s="61" t="s">
        <v>181</v>
      </c>
      <c r="C64" s="55">
        <v>99</v>
      </c>
      <c r="D64" s="58">
        <v>85.6</v>
      </c>
      <c r="E64" s="55">
        <v>28.5</v>
      </c>
      <c r="F64" s="55">
        <v>1.2</v>
      </c>
      <c r="G64" s="55">
        <v>100</v>
      </c>
      <c r="H64" s="55">
        <v>780</v>
      </c>
      <c r="I64" s="57">
        <v>3</v>
      </c>
      <c r="J64" s="48">
        <v>1</v>
      </c>
      <c r="K64" s="48">
        <v>1</v>
      </c>
    </row>
    <row r="65" spans="1:11" ht="15.75" customHeight="1" x14ac:dyDescent="0.35">
      <c r="A65" s="55" t="s">
        <v>164</v>
      </c>
      <c r="B65" s="61" t="s">
        <v>181</v>
      </c>
      <c r="C65" s="55">
        <v>91</v>
      </c>
      <c r="D65" s="58">
        <v>13.15</v>
      </c>
      <c r="E65" s="55">
        <v>26.13</v>
      </c>
      <c r="F65" s="55">
        <v>0</v>
      </c>
      <c r="G65" s="55">
        <v>100</v>
      </c>
      <c r="H65" s="55">
        <v>480</v>
      </c>
      <c r="I65" s="57">
        <v>3</v>
      </c>
      <c r="J65" s="48">
        <v>3</v>
      </c>
      <c r="K65" s="48">
        <v>3</v>
      </c>
    </row>
    <row r="66" spans="1:11" ht="15.75" customHeight="1" x14ac:dyDescent="0.35">
      <c r="A66" s="55" t="s">
        <v>164</v>
      </c>
      <c r="B66" s="61" t="s">
        <v>198</v>
      </c>
      <c r="C66" s="55">
        <v>75</v>
      </c>
      <c r="D66" s="58">
        <v>17.2</v>
      </c>
      <c r="E66" s="55">
        <v>28</v>
      </c>
      <c r="F66" s="55">
        <v>0</v>
      </c>
      <c r="G66" s="55">
        <v>100</v>
      </c>
      <c r="H66" s="55">
        <v>2000</v>
      </c>
      <c r="I66" s="57">
        <v>3</v>
      </c>
      <c r="J66" s="48">
        <v>2</v>
      </c>
      <c r="K66" s="48">
        <v>2</v>
      </c>
    </row>
    <row r="67" spans="1:11" s="75" customFormat="1" ht="15.75" customHeight="1" x14ac:dyDescent="0.35">
      <c r="A67" s="71" t="s">
        <v>164</v>
      </c>
      <c r="B67" s="72" t="s">
        <v>198</v>
      </c>
      <c r="C67" s="71">
        <v>93</v>
      </c>
      <c r="D67" s="73">
        <v>14.5</v>
      </c>
      <c r="E67" s="71">
        <v>28.73</v>
      </c>
      <c r="F67" s="71">
        <v>0</v>
      </c>
      <c r="G67" s="71">
        <v>100</v>
      </c>
      <c r="H67" s="71">
        <v>480</v>
      </c>
      <c r="I67" s="74">
        <v>3</v>
      </c>
      <c r="J67" s="75">
        <v>6</v>
      </c>
      <c r="K67" s="75">
        <v>9</v>
      </c>
    </row>
    <row r="68" spans="1:11" ht="15.75" customHeight="1" x14ac:dyDescent="0.35">
      <c r="A68" s="55" t="s">
        <v>164</v>
      </c>
      <c r="B68" s="61" t="s">
        <v>183</v>
      </c>
      <c r="C68" s="55">
        <v>89</v>
      </c>
      <c r="D68" s="58">
        <v>7.61</v>
      </c>
      <c r="E68" s="55">
        <v>23.8</v>
      </c>
      <c r="F68" s="55">
        <v>0.75</v>
      </c>
      <c r="G68" s="55">
        <v>100</v>
      </c>
      <c r="H68" s="55">
        <v>2000</v>
      </c>
      <c r="I68" s="57">
        <v>3</v>
      </c>
      <c r="J68" s="48">
        <v>5</v>
      </c>
      <c r="K68" s="48">
        <v>10</v>
      </c>
    </row>
    <row r="69" spans="1:11" ht="15.75" customHeight="1" x14ac:dyDescent="0.35">
      <c r="A69" s="55" t="s">
        <v>164</v>
      </c>
      <c r="B69" s="61" t="s">
        <v>183</v>
      </c>
      <c r="C69" s="55">
        <v>81</v>
      </c>
      <c r="D69" s="58">
        <v>5.23</v>
      </c>
      <c r="E69" s="55">
        <v>27.03</v>
      </c>
      <c r="F69" s="55">
        <v>0</v>
      </c>
      <c r="G69" s="55">
        <v>100</v>
      </c>
      <c r="H69" s="55">
        <v>480</v>
      </c>
      <c r="I69" s="57">
        <v>3</v>
      </c>
      <c r="J69" s="48">
        <v>4</v>
      </c>
      <c r="K69" s="48">
        <v>5</v>
      </c>
    </row>
    <row r="70" spans="1:11" ht="15.75" customHeight="1" x14ac:dyDescent="0.35">
      <c r="A70" s="55" t="s">
        <v>164</v>
      </c>
      <c r="B70" s="61" t="s">
        <v>186</v>
      </c>
      <c r="C70" s="55">
        <v>86</v>
      </c>
      <c r="D70" s="58">
        <v>0.14000000000000001</v>
      </c>
      <c r="E70" s="55">
        <v>18.55</v>
      </c>
      <c r="F70" s="55">
        <v>0</v>
      </c>
      <c r="G70" s="55">
        <v>100</v>
      </c>
      <c r="H70" s="55">
        <v>2000</v>
      </c>
      <c r="I70" s="57">
        <v>6</v>
      </c>
      <c r="J70" s="48">
        <v>5</v>
      </c>
      <c r="K70" s="48">
        <v>5</v>
      </c>
    </row>
    <row r="71" spans="1:11" ht="15.75" customHeight="1" x14ac:dyDescent="0.35">
      <c r="A71" s="55" t="s">
        <v>164</v>
      </c>
      <c r="B71" s="61" t="s">
        <v>186</v>
      </c>
      <c r="C71" s="55">
        <v>87</v>
      </c>
      <c r="D71" s="58">
        <v>0.15</v>
      </c>
      <c r="E71" s="55">
        <v>15.2</v>
      </c>
      <c r="F71" s="55">
        <v>0</v>
      </c>
      <c r="G71" s="55">
        <v>100</v>
      </c>
      <c r="H71" s="55">
        <v>2000</v>
      </c>
      <c r="I71" s="57">
        <v>6</v>
      </c>
      <c r="J71" s="48">
        <v>3</v>
      </c>
      <c r="K71" s="48">
        <v>3</v>
      </c>
    </row>
    <row r="72" spans="1:11" ht="15.75" customHeight="1" x14ac:dyDescent="0.35">
      <c r="A72" s="55" t="s">
        <v>164</v>
      </c>
      <c r="B72" s="61" t="s">
        <v>186</v>
      </c>
      <c r="C72" s="55">
        <v>83</v>
      </c>
      <c r="D72" s="58">
        <v>0.20499999999999999</v>
      </c>
      <c r="E72" s="55">
        <v>24.8</v>
      </c>
      <c r="F72" s="55">
        <v>0</v>
      </c>
      <c r="G72" s="55">
        <v>100</v>
      </c>
      <c r="H72" s="55">
        <v>480</v>
      </c>
      <c r="I72" s="57">
        <v>6</v>
      </c>
      <c r="J72" s="48">
        <v>0</v>
      </c>
      <c r="K72" s="48">
        <v>0</v>
      </c>
    </row>
    <row r="73" spans="1:11" ht="15.75" customHeight="1" x14ac:dyDescent="0.35">
      <c r="A73" s="55" t="s">
        <v>168</v>
      </c>
      <c r="B73" s="55" t="s">
        <v>176</v>
      </c>
      <c r="C73" s="55">
        <v>92</v>
      </c>
      <c r="D73" s="58">
        <v>0.14000000000000001</v>
      </c>
      <c r="E73" s="55">
        <v>22.5</v>
      </c>
      <c r="F73" s="55">
        <v>0</v>
      </c>
      <c r="G73" s="55">
        <v>100</v>
      </c>
      <c r="H73" s="55">
        <v>480</v>
      </c>
      <c r="I73" s="57">
        <v>4</v>
      </c>
      <c r="J73" s="48">
        <v>6</v>
      </c>
      <c r="K73" s="48">
        <v>11</v>
      </c>
    </row>
    <row r="74" spans="1:11" ht="15.75" customHeight="1" x14ac:dyDescent="0.35">
      <c r="A74" s="55" t="s">
        <v>168</v>
      </c>
      <c r="B74" s="55" t="s">
        <v>176</v>
      </c>
      <c r="C74" s="55">
        <v>92</v>
      </c>
      <c r="D74" s="58">
        <v>0.14000000000000001</v>
      </c>
      <c r="E74" s="55">
        <v>22.5</v>
      </c>
      <c r="F74" s="55">
        <v>0</v>
      </c>
      <c r="G74" s="55">
        <v>60</v>
      </c>
      <c r="H74" s="55">
        <v>2000</v>
      </c>
      <c r="I74" s="57">
        <v>4</v>
      </c>
      <c r="J74" s="48">
        <v>1</v>
      </c>
      <c r="K74" s="48">
        <v>2</v>
      </c>
    </row>
    <row r="75" spans="1:11" ht="15.75" customHeight="1" x14ac:dyDescent="0.35">
      <c r="A75" s="55" t="s">
        <v>168</v>
      </c>
      <c r="B75" s="55" t="s">
        <v>177</v>
      </c>
      <c r="C75" s="55">
        <v>97</v>
      </c>
      <c r="D75" s="58">
        <v>4.5999999999999996</v>
      </c>
      <c r="E75" s="55">
        <v>24.3</v>
      </c>
      <c r="F75" s="55">
        <v>0</v>
      </c>
      <c r="G75" s="55">
        <v>100</v>
      </c>
      <c r="H75" s="55">
        <v>480</v>
      </c>
      <c r="I75" s="57">
        <v>3</v>
      </c>
      <c r="J75" s="48">
        <v>17</v>
      </c>
      <c r="K75" s="48">
        <v>24</v>
      </c>
    </row>
    <row r="76" spans="1:11" ht="15.75" customHeight="1" x14ac:dyDescent="0.35">
      <c r="A76" s="55" t="s">
        <v>168</v>
      </c>
      <c r="B76" s="55" t="s">
        <v>200</v>
      </c>
      <c r="C76" s="55">
        <v>99</v>
      </c>
      <c r="D76" s="58">
        <v>24.2</v>
      </c>
      <c r="E76" s="55">
        <v>26.1</v>
      </c>
      <c r="F76" s="55">
        <v>0</v>
      </c>
      <c r="G76" s="55">
        <v>60</v>
      </c>
      <c r="H76" s="55">
        <v>2000</v>
      </c>
      <c r="I76" s="57">
        <v>5</v>
      </c>
      <c r="J76" s="48">
        <v>1</v>
      </c>
      <c r="K76" s="48">
        <v>1</v>
      </c>
    </row>
    <row r="77" spans="1:11" ht="15.75" customHeight="1" x14ac:dyDescent="0.35">
      <c r="A77" s="55" t="s">
        <v>168</v>
      </c>
      <c r="B77" s="55" t="s">
        <v>200</v>
      </c>
      <c r="C77" s="55">
        <v>99</v>
      </c>
      <c r="D77" s="58">
        <v>24.2</v>
      </c>
      <c r="E77" s="55">
        <v>26.1</v>
      </c>
      <c r="F77" s="55">
        <v>0</v>
      </c>
      <c r="G77" s="55">
        <v>35</v>
      </c>
      <c r="H77" s="55">
        <v>480</v>
      </c>
      <c r="I77" s="57">
        <v>5</v>
      </c>
      <c r="J77" s="48">
        <v>11</v>
      </c>
      <c r="K77" s="48">
        <v>11</v>
      </c>
    </row>
    <row r="78" spans="1:11" ht="15.75" customHeight="1" x14ac:dyDescent="0.35">
      <c r="A78" s="55" t="s">
        <v>168</v>
      </c>
      <c r="B78" s="55" t="s">
        <v>200</v>
      </c>
      <c r="C78" s="55">
        <v>84</v>
      </c>
      <c r="D78" s="58">
        <v>0.17</v>
      </c>
      <c r="E78" s="55">
        <v>24</v>
      </c>
      <c r="F78" s="55">
        <v>0</v>
      </c>
      <c r="G78" s="55">
        <v>100</v>
      </c>
      <c r="H78" s="55">
        <v>2000</v>
      </c>
      <c r="I78" s="57">
        <v>5</v>
      </c>
      <c r="J78" s="48">
        <v>2</v>
      </c>
      <c r="K78" s="48">
        <v>2</v>
      </c>
    </row>
    <row r="79" spans="1:11" ht="15.75" customHeight="1" x14ac:dyDescent="0.35">
      <c r="A79" s="55" t="s">
        <v>168</v>
      </c>
      <c r="B79" s="55" t="s">
        <v>180</v>
      </c>
      <c r="C79" s="55">
        <v>97</v>
      </c>
      <c r="D79" s="58">
        <v>1.08</v>
      </c>
      <c r="E79" s="55">
        <v>25.4</v>
      </c>
      <c r="F79" s="55">
        <v>0</v>
      </c>
      <c r="G79" s="55">
        <v>100</v>
      </c>
      <c r="H79" s="55">
        <v>2000</v>
      </c>
      <c r="I79" s="57">
        <v>5</v>
      </c>
      <c r="J79" s="48">
        <v>6</v>
      </c>
      <c r="K79" s="48">
        <v>8</v>
      </c>
    </row>
    <row r="80" spans="1:11" ht="15.75" customHeight="1" x14ac:dyDescent="0.35">
      <c r="A80" s="55" t="s">
        <v>168</v>
      </c>
      <c r="B80" s="55" t="s">
        <v>180</v>
      </c>
      <c r="C80" s="55">
        <v>97</v>
      </c>
      <c r="D80" s="58">
        <v>1.08</v>
      </c>
      <c r="E80" s="55">
        <v>25.4</v>
      </c>
      <c r="F80" s="55">
        <v>0</v>
      </c>
      <c r="G80" s="55">
        <v>65</v>
      </c>
      <c r="H80" s="55">
        <v>480</v>
      </c>
      <c r="I80" s="57">
        <v>5</v>
      </c>
      <c r="J80" s="48">
        <v>9</v>
      </c>
      <c r="K80" s="48">
        <v>9</v>
      </c>
    </row>
    <row r="81" spans="1:11" ht="15.75" customHeight="1" x14ac:dyDescent="0.35">
      <c r="A81" s="55" t="s">
        <v>168</v>
      </c>
      <c r="B81" s="48" t="s">
        <v>180</v>
      </c>
      <c r="C81" s="48">
        <v>80</v>
      </c>
      <c r="D81" s="76">
        <v>0.04</v>
      </c>
      <c r="E81" s="48">
        <v>25.3</v>
      </c>
      <c r="F81" s="48">
        <v>0</v>
      </c>
      <c r="G81" s="48">
        <v>100</v>
      </c>
      <c r="H81" s="55">
        <v>2000</v>
      </c>
      <c r="I81" s="49">
        <v>5</v>
      </c>
      <c r="J81" s="48">
        <v>0</v>
      </c>
      <c r="K81" s="48">
        <v>0</v>
      </c>
    </row>
    <row r="82" spans="1:11" ht="15.75" customHeight="1" x14ac:dyDescent="0.35">
      <c r="A82" s="55" t="s">
        <v>168</v>
      </c>
      <c r="B82" s="48" t="s">
        <v>181</v>
      </c>
      <c r="C82" s="48">
        <v>87</v>
      </c>
      <c r="D82" s="76">
        <v>9.8000000000000007</v>
      </c>
      <c r="E82" s="48">
        <v>34.5</v>
      </c>
      <c r="F82" s="48">
        <v>0</v>
      </c>
      <c r="G82" s="48">
        <v>90</v>
      </c>
      <c r="H82" s="48">
        <v>2000</v>
      </c>
      <c r="I82" s="49">
        <v>3</v>
      </c>
      <c r="J82" s="48">
        <v>4</v>
      </c>
      <c r="K82" s="48">
        <v>4</v>
      </c>
    </row>
    <row r="83" spans="1:11" ht="15.75" customHeight="1" x14ac:dyDescent="0.35">
      <c r="A83" s="55" t="s">
        <v>168</v>
      </c>
      <c r="B83" s="48" t="s">
        <v>181</v>
      </c>
      <c r="C83" s="48">
        <v>87</v>
      </c>
      <c r="D83" s="76">
        <v>9.8000000000000007</v>
      </c>
      <c r="E83" s="48">
        <v>34.5</v>
      </c>
      <c r="F83" s="48">
        <v>0</v>
      </c>
      <c r="G83" s="48">
        <v>0</v>
      </c>
      <c r="H83" s="48">
        <v>480</v>
      </c>
      <c r="I83" s="49">
        <v>3</v>
      </c>
      <c r="J83" s="48">
        <v>3</v>
      </c>
      <c r="K83" s="48">
        <v>3</v>
      </c>
    </row>
    <row r="84" spans="1:11" ht="15.75" customHeight="1" x14ac:dyDescent="0.35">
      <c r="A84" s="55" t="s">
        <v>168</v>
      </c>
      <c r="B84" s="48" t="s">
        <v>181</v>
      </c>
      <c r="C84" s="48">
        <v>80</v>
      </c>
      <c r="D84" s="76">
        <v>1.5</v>
      </c>
      <c r="E84" s="48">
        <v>26.9</v>
      </c>
      <c r="F84" s="48">
        <v>0</v>
      </c>
      <c r="G84" s="48">
        <v>100</v>
      </c>
      <c r="H84" s="48">
        <v>2000</v>
      </c>
      <c r="I84" s="49">
        <v>3</v>
      </c>
      <c r="J84" s="48">
        <v>3</v>
      </c>
      <c r="K84" s="48">
        <v>4</v>
      </c>
    </row>
    <row r="85" spans="1:11" ht="15.75" customHeight="1" x14ac:dyDescent="0.35">
      <c r="A85" s="55" t="s">
        <v>168</v>
      </c>
      <c r="B85" s="48" t="s">
        <v>198</v>
      </c>
      <c r="C85" s="48">
        <v>81</v>
      </c>
      <c r="D85" s="76">
        <v>36.6</v>
      </c>
      <c r="E85" s="48">
        <v>31.4</v>
      </c>
      <c r="F85" s="48">
        <v>0.8</v>
      </c>
      <c r="G85" s="48">
        <v>96</v>
      </c>
      <c r="H85" s="48">
        <v>480</v>
      </c>
      <c r="I85" s="49">
        <v>3</v>
      </c>
      <c r="J85" s="48">
        <v>7</v>
      </c>
      <c r="K85" s="48">
        <v>7</v>
      </c>
    </row>
    <row r="86" spans="1:11" ht="15.75" customHeight="1" x14ac:dyDescent="0.35">
      <c r="A86" s="55" t="s">
        <v>168</v>
      </c>
      <c r="B86" s="48" t="s">
        <v>198</v>
      </c>
      <c r="C86" s="48">
        <v>79</v>
      </c>
      <c r="D86" s="76">
        <v>13.35</v>
      </c>
      <c r="E86" s="48">
        <v>29.2</v>
      </c>
      <c r="F86" s="48">
        <v>0</v>
      </c>
      <c r="G86" s="48">
        <v>100</v>
      </c>
      <c r="H86" s="48">
        <v>2000</v>
      </c>
      <c r="I86" s="49">
        <v>3</v>
      </c>
      <c r="J86" s="48">
        <v>2</v>
      </c>
      <c r="K86" s="48">
        <v>2</v>
      </c>
    </row>
    <row r="87" spans="1:11" ht="15.75" customHeight="1" x14ac:dyDescent="0.35">
      <c r="A87" s="55" t="s">
        <v>168</v>
      </c>
      <c r="B87" s="48" t="s">
        <v>183</v>
      </c>
      <c r="C87" s="48">
        <v>89</v>
      </c>
      <c r="D87" s="76">
        <v>1</v>
      </c>
      <c r="E87" s="48">
        <v>22.2</v>
      </c>
      <c r="F87" s="48">
        <v>0</v>
      </c>
      <c r="G87" s="48">
        <v>100</v>
      </c>
      <c r="H87" s="48">
        <v>1420</v>
      </c>
      <c r="I87" s="49">
        <v>3</v>
      </c>
      <c r="J87" s="48">
        <v>4</v>
      </c>
      <c r="K87" s="48">
        <v>4</v>
      </c>
    </row>
    <row r="88" spans="1:11" ht="15.75" customHeight="1" x14ac:dyDescent="0.35">
      <c r="A88" s="55" t="s">
        <v>168</v>
      </c>
      <c r="B88" s="48" t="s">
        <v>183</v>
      </c>
      <c r="C88" s="48">
        <v>72</v>
      </c>
      <c r="D88" s="48">
        <v>0.75</v>
      </c>
      <c r="E88" s="48">
        <v>25</v>
      </c>
      <c r="F88" s="48">
        <v>0.9</v>
      </c>
      <c r="G88" s="48">
        <v>100</v>
      </c>
      <c r="H88" s="48">
        <v>2000</v>
      </c>
      <c r="I88" s="49">
        <v>3</v>
      </c>
      <c r="J88" s="48">
        <v>2</v>
      </c>
      <c r="K88" s="48">
        <v>3</v>
      </c>
    </row>
    <row r="89" spans="1:11" ht="15.75" customHeight="1" x14ac:dyDescent="0.35">
      <c r="A89" s="55" t="s">
        <v>168</v>
      </c>
      <c r="B89" s="48" t="s">
        <v>186</v>
      </c>
      <c r="C89" s="48">
        <v>76</v>
      </c>
      <c r="D89" s="76">
        <v>1.53</v>
      </c>
      <c r="E89" s="48">
        <v>25.4</v>
      </c>
      <c r="F89" s="48">
        <v>0</v>
      </c>
      <c r="G89" s="48">
        <v>100</v>
      </c>
      <c r="H89" s="48">
        <v>1420</v>
      </c>
      <c r="I89" s="49">
        <v>6</v>
      </c>
      <c r="J89" s="48">
        <v>4</v>
      </c>
      <c r="K89" s="48">
        <v>5</v>
      </c>
    </row>
    <row r="90" spans="1:11" ht="15.75" customHeight="1" x14ac:dyDescent="0.35">
      <c r="A90" s="48" t="s">
        <v>172</v>
      </c>
      <c r="B90" s="48" t="s">
        <v>177</v>
      </c>
      <c r="C90" s="48">
        <v>96</v>
      </c>
      <c r="D90" s="76">
        <v>1.1299999999999999</v>
      </c>
      <c r="E90" s="48">
        <v>26.4</v>
      </c>
      <c r="F90" s="48">
        <v>0</v>
      </c>
      <c r="G90" s="48">
        <v>100</v>
      </c>
      <c r="H90" s="48">
        <v>2000</v>
      </c>
      <c r="I90" s="49">
        <v>3</v>
      </c>
      <c r="J90" s="48">
        <v>5</v>
      </c>
      <c r="K90" s="48">
        <v>5</v>
      </c>
    </row>
    <row r="91" spans="1:11" ht="15.75" customHeight="1" x14ac:dyDescent="0.35">
      <c r="A91" s="48" t="s">
        <v>172</v>
      </c>
      <c r="B91" s="48" t="s">
        <v>200</v>
      </c>
      <c r="C91" s="48">
        <v>99</v>
      </c>
      <c r="D91" s="76">
        <v>0.28000000000000003</v>
      </c>
      <c r="E91" s="48">
        <v>23.5</v>
      </c>
      <c r="F91" s="48">
        <v>0</v>
      </c>
      <c r="G91" s="48">
        <v>100</v>
      </c>
      <c r="H91" s="48">
        <v>650</v>
      </c>
      <c r="I91" s="49">
        <v>5</v>
      </c>
      <c r="J91" s="48">
        <v>7</v>
      </c>
      <c r="K91" s="48">
        <v>10</v>
      </c>
    </row>
    <row r="92" spans="1:11" ht="15.75" customHeight="1" x14ac:dyDescent="0.35">
      <c r="A92" s="48" t="s">
        <v>172</v>
      </c>
      <c r="B92" s="48" t="s">
        <v>180</v>
      </c>
      <c r="C92" s="48">
        <v>96</v>
      </c>
      <c r="D92" s="76">
        <v>0.64</v>
      </c>
      <c r="E92" s="48">
        <v>24.9</v>
      </c>
      <c r="F92" s="48">
        <v>0</v>
      </c>
      <c r="G92" s="48">
        <v>100</v>
      </c>
      <c r="H92" s="48">
        <v>650</v>
      </c>
      <c r="I92" s="49">
        <v>5</v>
      </c>
      <c r="J92" s="48">
        <v>9</v>
      </c>
      <c r="K92" s="48">
        <v>9</v>
      </c>
    </row>
    <row r="93" spans="1:11" ht="15.75" customHeight="1" x14ac:dyDescent="0.35">
      <c r="A93" s="48" t="s">
        <v>172</v>
      </c>
      <c r="B93" s="48" t="s">
        <v>181</v>
      </c>
      <c r="C93" s="48">
        <v>98</v>
      </c>
      <c r="D93" s="76">
        <v>2.2799999999999998</v>
      </c>
      <c r="E93" s="48">
        <v>23.7</v>
      </c>
      <c r="F93" s="48">
        <v>0</v>
      </c>
      <c r="G93" s="48">
        <v>100</v>
      </c>
      <c r="H93" s="48">
        <v>650</v>
      </c>
      <c r="I93" s="49">
        <v>3</v>
      </c>
      <c r="J93" s="48">
        <v>4</v>
      </c>
      <c r="K93" s="48">
        <v>4</v>
      </c>
    </row>
    <row r="94" spans="1:11" ht="15.75" customHeight="1" x14ac:dyDescent="0.35">
      <c r="A94" s="48" t="s">
        <v>172</v>
      </c>
      <c r="B94" s="48" t="s">
        <v>198</v>
      </c>
      <c r="C94" s="48">
        <v>99</v>
      </c>
      <c r="D94" s="76">
        <v>7.2350000000000003</v>
      </c>
      <c r="E94" s="48">
        <v>24.6</v>
      </c>
      <c r="F94" s="48">
        <v>1.4</v>
      </c>
      <c r="G94" s="48">
        <v>100</v>
      </c>
      <c r="H94" s="48">
        <v>650</v>
      </c>
      <c r="I94" s="49">
        <v>3</v>
      </c>
      <c r="J94" s="48">
        <v>10</v>
      </c>
      <c r="K94" s="48">
        <v>16</v>
      </c>
    </row>
    <row r="95" spans="1:11" ht="15.75" customHeight="1" x14ac:dyDescent="0.35">
      <c r="A95" s="48" t="s">
        <v>172</v>
      </c>
      <c r="B95" s="48" t="s">
        <v>183</v>
      </c>
      <c r="C95" s="48">
        <v>84</v>
      </c>
      <c r="D95" s="76">
        <v>0.5</v>
      </c>
      <c r="E95" s="48">
        <v>25.9</v>
      </c>
      <c r="F95" s="48">
        <v>0</v>
      </c>
      <c r="G95" s="48">
        <v>100</v>
      </c>
      <c r="H95" s="48">
        <v>2000</v>
      </c>
      <c r="I95" s="49">
        <v>3</v>
      </c>
      <c r="J95" s="48">
        <v>4</v>
      </c>
      <c r="K95" s="48">
        <v>4</v>
      </c>
    </row>
    <row r="96" spans="1:11" ht="15.75" customHeight="1" x14ac:dyDescent="0.35">
      <c r="A96" s="48" t="s">
        <v>172</v>
      </c>
      <c r="B96" s="48" t="s">
        <v>186</v>
      </c>
      <c r="C96" s="48">
        <v>83</v>
      </c>
      <c r="D96" s="76">
        <v>1.1299999999999999</v>
      </c>
      <c r="E96" s="48">
        <v>25.5</v>
      </c>
      <c r="F96" s="48">
        <v>0</v>
      </c>
      <c r="G96" s="48">
        <v>100</v>
      </c>
      <c r="H96" s="48">
        <v>2000</v>
      </c>
      <c r="I96" s="49">
        <v>6</v>
      </c>
      <c r="J96" s="48">
        <v>9</v>
      </c>
      <c r="K96" s="48">
        <v>19</v>
      </c>
    </row>
    <row r="97" spans="4:4" ht="15.75" customHeight="1" x14ac:dyDescent="0.35">
      <c r="D97" s="76"/>
    </row>
    <row r="98" spans="4:4" ht="15.75" customHeight="1" x14ac:dyDescent="0.35">
      <c r="D98" s="76"/>
    </row>
    <row r="99" spans="4:4" ht="15.75" customHeight="1" x14ac:dyDescent="0.35">
      <c r="D99" s="76"/>
    </row>
    <row r="100" spans="4:4" ht="15.75" customHeight="1" x14ac:dyDescent="0.35">
      <c r="D100" s="76"/>
    </row>
    <row r="101" spans="4:4" ht="15.75" customHeight="1" x14ac:dyDescent="0.35">
      <c r="D101" s="76"/>
    </row>
    <row r="102" spans="4:4" ht="15.75" customHeight="1" x14ac:dyDescent="0.35">
      <c r="D102" s="76"/>
    </row>
    <row r="103" spans="4:4" ht="15.75" customHeight="1" x14ac:dyDescent="0.35">
      <c r="D103" s="76"/>
    </row>
    <row r="104" spans="4:4" ht="15.75" customHeight="1" x14ac:dyDescent="0.35">
      <c r="D104" s="76"/>
    </row>
    <row r="105" spans="4:4" ht="15.75" customHeight="1" x14ac:dyDescent="0.35">
      <c r="D105" s="76"/>
    </row>
    <row r="106" spans="4:4" ht="15.75" customHeight="1" x14ac:dyDescent="0.35">
      <c r="D106" s="76"/>
    </row>
    <row r="107" spans="4:4" ht="15.75" customHeight="1" x14ac:dyDescent="0.35">
      <c r="D107" s="76"/>
    </row>
    <row r="108" spans="4:4" ht="15.75" customHeight="1" x14ac:dyDescent="0.35">
      <c r="D108" s="76"/>
    </row>
    <row r="109" spans="4:4" ht="15.75" customHeight="1" x14ac:dyDescent="0.35">
      <c r="D109" s="76"/>
    </row>
    <row r="110" spans="4:4" ht="15.75" customHeight="1" x14ac:dyDescent="0.35">
      <c r="D110" s="76"/>
    </row>
    <row r="111" spans="4:4" ht="15.75" customHeight="1" x14ac:dyDescent="0.35">
      <c r="D111" s="76"/>
    </row>
    <row r="112" spans="4:4" ht="15.75" customHeight="1" x14ac:dyDescent="0.35">
      <c r="D112" s="76"/>
    </row>
    <row r="113" spans="4:4" ht="15.75" customHeight="1" x14ac:dyDescent="0.35">
      <c r="D113" s="76"/>
    </row>
    <row r="114" spans="4:4" ht="15.75" customHeight="1" x14ac:dyDescent="0.35">
      <c r="D114" s="76"/>
    </row>
    <row r="115" spans="4:4" ht="15.75" customHeight="1" x14ac:dyDescent="0.35">
      <c r="D115" s="76"/>
    </row>
    <row r="116" spans="4:4" ht="15.75" customHeight="1" x14ac:dyDescent="0.35">
      <c r="D116" s="76"/>
    </row>
    <row r="117" spans="4:4" ht="15.75" customHeight="1" x14ac:dyDescent="0.35">
      <c r="D117" s="76"/>
    </row>
    <row r="118" spans="4:4" ht="15.75" customHeight="1" x14ac:dyDescent="0.35">
      <c r="D118" s="76"/>
    </row>
    <row r="119" spans="4:4" ht="15.75" customHeight="1" x14ac:dyDescent="0.35">
      <c r="D119" s="76"/>
    </row>
    <row r="120" spans="4:4" ht="15.75" customHeight="1" x14ac:dyDescent="0.35">
      <c r="D120" s="76"/>
    </row>
    <row r="121" spans="4:4" ht="15.75" customHeight="1" x14ac:dyDescent="0.35">
      <c r="D121" s="76"/>
    </row>
    <row r="122" spans="4:4" ht="15.75" customHeight="1" x14ac:dyDescent="0.35">
      <c r="D122" s="76"/>
    </row>
    <row r="123" spans="4:4" ht="15.75" customHeight="1" x14ac:dyDescent="0.35">
      <c r="D123" s="76"/>
    </row>
    <row r="124" spans="4:4" ht="15.75" customHeight="1" x14ac:dyDescent="0.35">
      <c r="D124" s="76"/>
    </row>
    <row r="125" spans="4:4" ht="15.75" customHeight="1" x14ac:dyDescent="0.35">
      <c r="D125" s="76"/>
    </row>
    <row r="126" spans="4:4" ht="15.75" customHeight="1" x14ac:dyDescent="0.35">
      <c r="D126" s="76"/>
    </row>
    <row r="127" spans="4:4" ht="15.75" customHeight="1" x14ac:dyDescent="0.35">
      <c r="D127" s="76"/>
    </row>
    <row r="128" spans="4:4" ht="15.75" customHeight="1" x14ac:dyDescent="0.35">
      <c r="D128" s="76"/>
    </row>
    <row r="129" spans="4:4" ht="15.75" customHeight="1" x14ac:dyDescent="0.35">
      <c r="D129" s="76"/>
    </row>
    <row r="130" spans="4:4" ht="15.75" customHeight="1" x14ac:dyDescent="0.35">
      <c r="D130" s="76"/>
    </row>
    <row r="131" spans="4:4" ht="15.75" customHeight="1" x14ac:dyDescent="0.35">
      <c r="D131" s="76"/>
    </row>
    <row r="132" spans="4:4" ht="15.75" customHeight="1" x14ac:dyDescent="0.35">
      <c r="D132" s="76"/>
    </row>
    <row r="133" spans="4:4" ht="15.75" customHeight="1" x14ac:dyDescent="0.35">
      <c r="D133" s="76"/>
    </row>
    <row r="134" spans="4:4" ht="15.75" customHeight="1" x14ac:dyDescent="0.35">
      <c r="D134" s="76"/>
    </row>
    <row r="135" spans="4:4" ht="15.75" customHeight="1" x14ac:dyDescent="0.35">
      <c r="D135" s="76"/>
    </row>
    <row r="136" spans="4:4" ht="15.75" customHeight="1" x14ac:dyDescent="0.35">
      <c r="D136" s="76"/>
    </row>
    <row r="137" spans="4:4" ht="15.75" customHeight="1" x14ac:dyDescent="0.35">
      <c r="D137" s="76"/>
    </row>
    <row r="138" spans="4:4" ht="15.75" customHeight="1" x14ac:dyDescent="0.35">
      <c r="D138" s="76"/>
    </row>
    <row r="139" spans="4:4" ht="15.75" customHeight="1" x14ac:dyDescent="0.35">
      <c r="D139" s="76"/>
    </row>
    <row r="140" spans="4:4" ht="15.75" customHeight="1" x14ac:dyDescent="0.35">
      <c r="D140" s="76"/>
    </row>
    <row r="141" spans="4:4" ht="15.75" customHeight="1" x14ac:dyDescent="0.35">
      <c r="D141" s="76"/>
    </row>
    <row r="142" spans="4:4" ht="15.75" customHeight="1" x14ac:dyDescent="0.35">
      <c r="D142" s="76"/>
    </row>
    <row r="143" spans="4:4" ht="15.75" customHeight="1" x14ac:dyDescent="0.35">
      <c r="D143" s="76"/>
    </row>
    <row r="144" spans="4:4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/>
    <row r="170" spans="4:4" ht="15.75" customHeight="1" x14ac:dyDescent="0.35"/>
    <row r="171" spans="4:4" ht="15.75" customHeight="1" x14ac:dyDescent="0.35"/>
    <row r="172" spans="4:4" ht="15.75" customHeight="1" x14ac:dyDescent="0.35"/>
    <row r="173" spans="4:4" ht="15.75" customHeight="1" x14ac:dyDescent="0.35"/>
    <row r="174" spans="4:4" ht="15.75" customHeight="1" x14ac:dyDescent="0.35"/>
    <row r="175" spans="4:4" ht="15.75" customHeight="1" x14ac:dyDescent="0.35"/>
    <row r="176" spans="4:4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workbookViewId="0">
      <selection activeCell="A6" sqref="A6:XFD6"/>
    </sheetView>
  </sheetViews>
  <sheetFormatPr defaultRowHeight="14.5" x14ac:dyDescent="0.35"/>
  <sheetData>
    <row r="1" spans="1:11" ht="120" x14ac:dyDescent="0.35">
      <c r="A1" s="51" t="s">
        <v>196</v>
      </c>
      <c r="B1" s="51" t="s">
        <v>187</v>
      </c>
      <c r="C1" s="52" t="s">
        <v>188</v>
      </c>
      <c r="D1" s="54" t="s">
        <v>189</v>
      </c>
      <c r="E1" s="52" t="s">
        <v>190</v>
      </c>
      <c r="F1" s="52" t="s">
        <v>191</v>
      </c>
      <c r="G1" s="52" t="s">
        <v>192</v>
      </c>
      <c r="H1" s="52" t="s">
        <v>197</v>
      </c>
      <c r="I1" s="53" t="s">
        <v>194</v>
      </c>
      <c r="J1" s="48" t="s">
        <v>195</v>
      </c>
      <c r="K1" s="48" t="s">
        <v>175</v>
      </c>
    </row>
    <row r="2" spans="1:11" x14ac:dyDescent="0.35">
      <c r="A2" s="55" t="s">
        <v>146</v>
      </c>
      <c r="B2" s="61" t="s">
        <v>176</v>
      </c>
      <c r="C2" s="55">
        <v>99</v>
      </c>
      <c r="D2" s="70">
        <v>0.27700000000000002</v>
      </c>
      <c r="E2" s="55">
        <v>26.4</v>
      </c>
      <c r="F2" s="55">
        <v>0</v>
      </c>
      <c r="G2" s="55">
        <v>100</v>
      </c>
      <c r="H2" s="55">
        <v>2000</v>
      </c>
      <c r="I2" s="57">
        <v>4</v>
      </c>
      <c r="J2" s="48">
        <v>6</v>
      </c>
      <c r="K2" s="48">
        <v>22</v>
      </c>
    </row>
    <row r="3" spans="1:11" x14ac:dyDescent="0.35">
      <c r="A3" s="55" t="s">
        <v>146</v>
      </c>
      <c r="B3" s="61" t="s">
        <v>200</v>
      </c>
      <c r="C3" s="55">
        <v>94</v>
      </c>
      <c r="D3" s="70">
        <v>0.5</v>
      </c>
      <c r="E3" s="55">
        <v>24.8</v>
      </c>
      <c r="F3" s="55">
        <v>0</v>
      </c>
      <c r="G3" s="55">
        <v>100</v>
      </c>
      <c r="H3" s="55">
        <v>870</v>
      </c>
      <c r="I3" s="57">
        <v>5</v>
      </c>
      <c r="J3" s="48">
        <v>2</v>
      </c>
      <c r="K3" s="48">
        <v>6</v>
      </c>
    </row>
    <row r="4" spans="1:11" x14ac:dyDescent="0.35">
      <c r="A4" s="55" t="s">
        <v>146</v>
      </c>
      <c r="B4" s="61" t="s">
        <v>200</v>
      </c>
      <c r="C4" s="59">
        <v>94</v>
      </c>
      <c r="D4" s="70">
        <v>0.5</v>
      </c>
      <c r="E4" s="55">
        <v>23</v>
      </c>
      <c r="F4" s="55">
        <v>0</v>
      </c>
      <c r="G4" s="55">
        <v>100</v>
      </c>
      <c r="H4" s="55">
        <v>2000</v>
      </c>
      <c r="I4" s="57">
        <v>5</v>
      </c>
      <c r="J4" s="48">
        <v>5</v>
      </c>
      <c r="K4" s="48">
        <v>5</v>
      </c>
    </row>
    <row r="5" spans="1:11" x14ac:dyDescent="0.35">
      <c r="A5" s="55" t="s">
        <v>146</v>
      </c>
      <c r="B5" s="61" t="s">
        <v>200</v>
      </c>
      <c r="C5" s="59">
        <v>94</v>
      </c>
      <c r="D5" s="70">
        <v>0.5</v>
      </c>
      <c r="E5" s="55">
        <v>22</v>
      </c>
      <c r="F5" s="55">
        <v>0</v>
      </c>
      <c r="G5" s="55">
        <v>100</v>
      </c>
      <c r="H5" s="55">
        <v>2000</v>
      </c>
      <c r="I5" s="57">
        <v>5</v>
      </c>
      <c r="J5" s="48">
        <v>1</v>
      </c>
      <c r="K5" s="48">
        <v>1</v>
      </c>
    </row>
    <row r="6" spans="1:11" x14ac:dyDescent="0.35">
      <c r="A6" s="55" t="s">
        <v>146</v>
      </c>
      <c r="B6" s="61" t="s">
        <v>181</v>
      </c>
      <c r="C6" s="55">
        <v>99</v>
      </c>
      <c r="D6" s="58">
        <v>7.59</v>
      </c>
      <c r="E6" s="55">
        <v>23.9</v>
      </c>
      <c r="F6" s="55">
        <v>0</v>
      </c>
      <c r="G6" s="55">
        <v>100</v>
      </c>
      <c r="H6" s="55">
        <v>870</v>
      </c>
      <c r="I6" s="57">
        <v>3</v>
      </c>
      <c r="J6" s="48">
        <v>5</v>
      </c>
      <c r="K6" s="48">
        <v>6</v>
      </c>
    </row>
    <row r="7" spans="1:11" x14ac:dyDescent="0.35">
      <c r="A7" s="55" t="s">
        <v>146</v>
      </c>
      <c r="B7" s="61" t="s">
        <v>198</v>
      </c>
      <c r="C7" s="55">
        <v>99</v>
      </c>
      <c r="D7" s="58">
        <v>13.05</v>
      </c>
      <c r="E7" s="55">
        <v>25.9</v>
      </c>
      <c r="F7" s="55">
        <v>0.45</v>
      </c>
      <c r="G7" s="55">
        <v>100</v>
      </c>
      <c r="H7" s="55">
        <v>870</v>
      </c>
      <c r="I7" s="57">
        <v>3</v>
      </c>
      <c r="J7" s="48">
        <v>4</v>
      </c>
      <c r="K7" s="48">
        <v>4</v>
      </c>
    </row>
    <row r="8" spans="1:11" x14ac:dyDescent="0.35">
      <c r="A8" s="55" t="s">
        <v>146</v>
      </c>
      <c r="B8" s="61" t="s">
        <v>199</v>
      </c>
      <c r="C8" s="55">
        <v>93</v>
      </c>
      <c r="D8" s="58">
        <v>6.64</v>
      </c>
      <c r="E8" s="55">
        <v>26</v>
      </c>
      <c r="F8" s="55">
        <v>0</v>
      </c>
      <c r="G8" s="55">
        <v>100</v>
      </c>
      <c r="H8" s="55">
        <v>870</v>
      </c>
      <c r="I8" s="57">
        <v>2</v>
      </c>
      <c r="J8" s="48">
        <v>7</v>
      </c>
      <c r="K8" s="48">
        <v>13</v>
      </c>
    </row>
    <row r="9" spans="1:11" x14ac:dyDescent="0.35">
      <c r="A9" s="55" t="s">
        <v>146</v>
      </c>
      <c r="B9" s="61" t="s">
        <v>199</v>
      </c>
      <c r="C9" s="55">
        <v>59</v>
      </c>
      <c r="D9" s="58">
        <v>39.5</v>
      </c>
      <c r="E9" s="55">
        <v>31.13</v>
      </c>
      <c r="F9" s="55">
        <v>2.1</v>
      </c>
      <c r="G9" s="55">
        <v>100</v>
      </c>
      <c r="H9" s="55">
        <v>2000</v>
      </c>
      <c r="I9" s="57">
        <v>2</v>
      </c>
      <c r="J9" s="48">
        <v>4</v>
      </c>
      <c r="K9" s="48">
        <v>9</v>
      </c>
    </row>
    <row r="10" spans="1:11" x14ac:dyDescent="0.35">
      <c r="A10" s="55" t="s">
        <v>146</v>
      </c>
      <c r="B10" s="61" t="s">
        <v>199</v>
      </c>
      <c r="C10" s="55">
        <v>80</v>
      </c>
      <c r="D10" s="58">
        <v>6.56</v>
      </c>
      <c r="E10" s="55">
        <v>23.9</v>
      </c>
      <c r="F10" s="55">
        <v>0</v>
      </c>
      <c r="G10" s="55">
        <v>100</v>
      </c>
      <c r="H10" s="55">
        <v>2000</v>
      </c>
      <c r="I10" s="57">
        <v>2</v>
      </c>
      <c r="J10" s="48">
        <v>0</v>
      </c>
      <c r="K10" s="48">
        <v>0</v>
      </c>
    </row>
    <row r="11" spans="1:11" x14ac:dyDescent="0.35">
      <c r="A11" s="55" t="s">
        <v>146</v>
      </c>
      <c r="B11" s="61" t="s">
        <v>183</v>
      </c>
      <c r="C11" s="55">
        <v>79</v>
      </c>
      <c r="D11" s="58">
        <v>15.5</v>
      </c>
      <c r="E11" s="55">
        <v>28.3</v>
      </c>
      <c r="F11" s="55">
        <v>0</v>
      </c>
      <c r="G11" s="55">
        <v>100</v>
      </c>
      <c r="H11" s="55">
        <v>1360</v>
      </c>
      <c r="I11" s="57">
        <v>3</v>
      </c>
      <c r="J11" s="48">
        <v>3</v>
      </c>
      <c r="K11" s="48">
        <v>3</v>
      </c>
    </row>
    <row r="12" spans="1:11" x14ac:dyDescent="0.35">
      <c r="A12" s="55" t="s">
        <v>146</v>
      </c>
      <c r="B12" s="61" t="s">
        <v>183</v>
      </c>
      <c r="C12" s="55">
        <v>79</v>
      </c>
      <c r="D12" s="58">
        <v>4.87</v>
      </c>
      <c r="E12" s="55">
        <v>25.2</v>
      </c>
      <c r="F12" s="55">
        <v>0</v>
      </c>
      <c r="G12" s="55">
        <v>100</v>
      </c>
      <c r="H12" s="55">
        <v>2000</v>
      </c>
      <c r="I12" s="57">
        <v>3</v>
      </c>
      <c r="J12" s="48">
        <v>0</v>
      </c>
      <c r="K12" s="48">
        <v>0</v>
      </c>
    </row>
    <row r="13" spans="1:11" x14ac:dyDescent="0.35">
      <c r="A13" s="55" t="s">
        <v>146</v>
      </c>
      <c r="B13" s="61" t="s">
        <v>185</v>
      </c>
      <c r="C13" s="55">
        <v>86</v>
      </c>
      <c r="D13" s="58">
        <v>19.5</v>
      </c>
      <c r="E13" s="55">
        <v>27.4</v>
      </c>
      <c r="F13" s="55">
        <v>2.9</v>
      </c>
      <c r="G13" s="55">
        <v>100</v>
      </c>
      <c r="H13" s="55">
        <v>1360</v>
      </c>
      <c r="I13" s="57">
        <v>1</v>
      </c>
      <c r="J13" s="48">
        <v>3</v>
      </c>
      <c r="K13" s="48">
        <v>5</v>
      </c>
    </row>
    <row r="14" spans="1:11" x14ac:dyDescent="0.35">
      <c r="A14" s="55" t="s">
        <v>146</v>
      </c>
      <c r="B14" s="61" t="s">
        <v>186</v>
      </c>
      <c r="C14" s="55">
        <v>79</v>
      </c>
      <c r="D14" s="58">
        <v>0.56999999999999995</v>
      </c>
      <c r="E14" s="55">
        <v>24.8</v>
      </c>
      <c r="F14" s="55">
        <v>0</v>
      </c>
      <c r="G14" s="55">
        <v>100</v>
      </c>
      <c r="H14" s="55">
        <v>1360</v>
      </c>
      <c r="I14" s="57">
        <v>6</v>
      </c>
      <c r="J14" s="48">
        <v>3</v>
      </c>
      <c r="K14" s="48">
        <v>4</v>
      </c>
    </row>
    <row r="15" spans="1:11" x14ac:dyDescent="0.35">
      <c r="A15" s="55" t="s">
        <v>146</v>
      </c>
      <c r="B15" s="61" t="s">
        <v>186</v>
      </c>
      <c r="C15" s="55">
        <v>96</v>
      </c>
      <c r="D15" s="58">
        <v>15.05</v>
      </c>
      <c r="E15" s="55">
        <v>30.2</v>
      </c>
      <c r="F15" s="55">
        <v>0</v>
      </c>
      <c r="G15" s="55">
        <v>100</v>
      </c>
      <c r="H15" s="55">
        <v>2000</v>
      </c>
      <c r="I15" s="57">
        <v>6</v>
      </c>
      <c r="J15" s="48">
        <v>2</v>
      </c>
      <c r="K15" s="48">
        <v>6</v>
      </c>
    </row>
    <row r="16" spans="1:11" x14ac:dyDescent="0.35">
      <c r="A16" s="55" t="s">
        <v>146</v>
      </c>
      <c r="B16" s="55" t="s">
        <v>186</v>
      </c>
      <c r="C16" s="55">
        <v>57</v>
      </c>
      <c r="D16" s="58">
        <v>153.19999999999999</v>
      </c>
      <c r="E16" s="55">
        <v>30.2</v>
      </c>
      <c r="F16" s="55">
        <v>0.4</v>
      </c>
      <c r="G16" s="55">
        <v>100</v>
      </c>
      <c r="H16" s="55">
        <v>2000</v>
      </c>
      <c r="I16" s="57">
        <v>6</v>
      </c>
      <c r="J16" s="48">
        <v>2</v>
      </c>
      <c r="K16" s="48">
        <v>3</v>
      </c>
    </row>
    <row r="17" spans="1:11" x14ac:dyDescent="0.35">
      <c r="A17" s="55" t="s">
        <v>153</v>
      </c>
      <c r="B17" s="61" t="s">
        <v>176</v>
      </c>
      <c r="C17" s="55">
        <v>98</v>
      </c>
      <c r="D17" s="58">
        <v>7.54</v>
      </c>
      <c r="E17" s="55">
        <v>25.8</v>
      </c>
      <c r="F17" s="55">
        <v>0</v>
      </c>
      <c r="G17" s="55">
        <v>100</v>
      </c>
      <c r="H17" s="55">
        <v>2000</v>
      </c>
      <c r="I17" s="57">
        <v>4</v>
      </c>
      <c r="J17" s="48">
        <v>5</v>
      </c>
      <c r="K17" s="48">
        <v>7</v>
      </c>
    </row>
    <row r="18" spans="1:11" x14ac:dyDescent="0.35">
      <c r="A18" s="55" t="s">
        <v>153</v>
      </c>
      <c r="B18" s="61" t="s">
        <v>176</v>
      </c>
      <c r="C18" s="55">
        <v>99</v>
      </c>
      <c r="D18" s="58">
        <v>6.06</v>
      </c>
      <c r="E18" s="55">
        <v>25.35</v>
      </c>
      <c r="F18" s="55">
        <v>0</v>
      </c>
      <c r="G18" s="55">
        <v>100</v>
      </c>
      <c r="H18" s="55">
        <v>580</v>
      </c>
      <c r="I18" s="57">
        <v>4</v>
      </c>
      <c r="J18" s="48">
        <v>9</v>
      </c>
      <c r="K18" s="48">
        <v>9</v>
      </c>
    </row>
    <row r="19" spans="1:11" x14ac:dyDescent="0.35">
      <c r="A19" s="55" t="s">
        <v>153</v>
      </c>
      <c r="B19" s="61" t="s">
        <v>177</v>
      </c>
      <c r="C19" s="55">
        <v>98</v>
      </c>
      <c r="D19" s="58">
        <v>0.77</v>
      </c>
      <c r="E19" s="55">
        <v>22.6</v>
      </c>
      <c r="F19" s="55">
        <v>0</v>
      </c>
      <c r="G19" s="55">
        <v>100</v>
      </c>
      <c r="H19" s="55">
        <v>580</v>
      </c>
      <c r="I19" s="57">
        <v>3</v>
      </c>
      <c r="J19" s="48">
        <v>8</v>
      </c>
      <c r="K19" s="48">
        <v>14</v>
      </c>
    </row>
    <row r="20" spans="1:11" x14ac:dyDescent="0.35">
      <c r="A20" s="55" t="s">
        <v>153</v>
      </c>
      <c r="B20" s="61" t="s">
        <v>200</v>
      </c>
      <c r="C20" s="55">
        <v>98</v>
      </c>
      <c r="D20" s="58">
        <v>3.69</v>
      </c>
      <c r="E20" s="55">
        <v>22.35</v>
      </c>
      <c r="F20" s="55">
        <v>0</v>
      </c>
      <c r="G20" s="55">
        <v>0</v>
      </c>
      <c r="H20" s="55">
        <v>870</v>
      </c>
      <c r="I20" s="57">
        <v>5</v>
      </c>
      <c r="J20" s="48">
        <v>3</v>
      </c>
      <c r="K20" s="48">
        <v>7</v>
      </c>
    </row>
    <row r="21" spans="1:11" x14ac:dyDescent="0.35">
      <c r="A21" s="55" t="s">
        <v>153</v>
      </c>
      <c r="B21" s="61" t="s">
        <v>200</v>
      </c>
      <c r="C21" s="55">
        <v>98</v>
      </c>
      <c r="D21" s="58">
        <v>3.69</v>
      </c>
      <c r="E21" s="55">
        <v>22.35</v>
      </c>
      <c r="F21" s="55">
        <v>0</v>
      </c>
      <c r="G21" s="55">
        <v>0</v>
      </c>
      <c r="H21" s="55">
        <v>870</v>
      </c>
      <c r="I21" s="57">
        <v>5</v>
      </c>
      <c r="J21" s="48">
        <v>13</v>
      </c>
      <c r="K21" s="48">
        <v>14</v>
      </c>
    </row>
    <row r="22" spans="1:11" x14ac:dyDescent="0.35">
      <c r="A22" s="55" t="s">
        <v>153</v>
      </c>
      <c r="B22" s="61" t="s">
        <v>200</v>
      </c>
      <c r="C22" s="55">
        <v>65</v>
      </c>
      <c r="D22" s="70">
        <v>3.5000000000000003E-2</v>
      </c>
      <c r="E22" s="55">
        <v>25.7</v>
      </c>
      <c r="F22" s="55">
        <v>0</v>
      </c>
      <c r="G22" s="55">
        <v>100</v>
      </c>
      <c r="H22" s="55">
        <v>2000</v>
      </c>
      <c r="I22" s="57">
        <v>5</v>
      </c>
      <c r="J22" s="48">
        <v>3</v>
      </c>
      <c r="K22" s="48">
        <v>3</v>
      </c>
    </row>
    <row r="23" spans="1:11" x14ac:dyDescent="0.35">
      <c r="A23" s="55" t="s">
        <v>153</v>
      </c>
      <c r="B23" s="61" t="s">
        <v>180</v>
      </c>
      <c r="C23" s="55">
        <v>85</v>
      </c>
      <c r="D23" s="58">
        <v>3.81</v>
      </c>
      <c r="E23" s="55">
        <v>25</v>
      </c>
      <c r="F23" s="55">
        <v>0</v>
      </c>
      <c r="G23" s="55">
        <v>78.33</v>
      </c>
      <c r="H23" s="55">
        <v>870</v>
      </c>
      <c r="I23" s="57">
        <v>5</v>
      </c>
      <c r="J23" s="48">
        <v>3</v>
      </c>
      <c r="K23" s="48">
        <v>3</v>
      </c>
    </row>
    <row r="24" spans="1:11" x14ac:dyDescent="0.35">
      <c r="A24" s="55" t="s">
        <v>153</v>
      </c>
      <c r="B24" s="61" t="s">
        <v>180</v>
      </c>
      <c r="C24" s="55">
        <v>61</v>
      </c>
      <c r="D24" s="58">
        <v>4.78</v>
      </c>
      <c r="E24" s="55">
        <v>28.7</v>
      </c>
      <c r="F24" s="55">
        <v>0</v>
      </c>
      <c r="G24" s="55">
        <v>100</v>
      </c>
      <c r="H24" s="55">
        <v>2000</v>
      </c>
      <c r="I24" s="57">
        <v>5</v>
      </c>
      <c r="J24" s="48">
        <v>0</v>
      </c>
      <c r="K24" s="48">
        <v>0</v>
      </c>
    </row>
    <row r="25" spans="1:11" x14ac:dyDescent="0.35">
      <c r="A25" s="55" t="s">
        <v>153</v>
      </c>
      <c r="B25" s="61" t="s">
        <v>180</v>
      </c>
      <c r="C25" s="55">
        <v>50</v>
      </c>
      <c r="D25" s="70">
        <v>0.7</v>
      </c>
      <c r="E25" s="55">
        <v>26.3</v>
      </c>
      <c r="F25" s="55">
        <v>0</v>
      </c>
      <c r="G25" s="55">
        <v>100</v>
      </c>
      <c r="H25" s="55">
        <v>2000</v>
      </c>
      <c r="I25" s="57">
        <v>5</v>
      </c>
      <c r="J25" s="48">
        <v>2</v>
      </c>
      <c r="K25" s="48">
        <v>5</v>
      </c>
    </row>
    <row r="26" spans="1:11" x14ac:dyDescent="0.35">
      <c r="A26" s="55" t="s">
        <v>153</v>
      </c>
      <c r="B26" s="61" t="s">
        <v>181</v>
      </c>
      <c r="C26" s="55">
        <v>85</v>
      </c>
      <c r="D26" s="58">
        <v>13.84</v>
      </c>
      <c r="E26" s="55">
        <v>26.7</v>
      </c>
      <c r="F26" s="55">
        <v>0</v>
      </c>
      <c r="G26" s="55">
        <v>100</v>
      </c>
      <c r="H26" s="55">
        <v>870</v>
      </c>
      <c r="I26" s="57">
        <v>3</v>
      </c>
      <c r="J26" s="48">
        <v>4</v>
      </c>
      <c r="K26" s="48">
        <v>6</v>
      </c>
    </row>
    <row r="27" spans="1:11" x14ac:dyDescent="0.35">
      <c r="A27" s="55" t="s">
        <v>153</v>
      </c>
      <c r="B27" s="61" t="s">
        <v>181</v>
      </c>
      <c r="C27" s="55">
        <v>55</v>
      </c>
      <c r="D27" s="58">
        <v>55.3</v>
      </c>
      <c r="E27" s="55">
        <v>30.2</v>
      </c>
      <c r="F27" s="55">
        <v>0</v>
      </c>
      <c r="G27" s="55">
        <v>100</v>
      </c>
      <c r="H27" s="55">
        <v>2000</v>
      </c>
      <c r="I27" s="57">
        <v>3</v>
      </c>
      <c r="J27" s="48">
        <v>0</v>
      </c>
      <c r="K27" s="48">
        <v>0</v>
      </c>
    </row>
    <row r="28" spans="1:11" x14ac:dyDescent="0.35">
      <c r="A28" s="55" t="s">
        <v>153</v>
      </c>
      <c r="B28" s="61" t="s">
        <v>198</v>
      </c>
      <c r="C28" s="55">
        <v>90</v>
      </c>
      <c r="D28" s="58">
        <v>8.44</v>
      </c>
      <c r="E28" s="55">
        <v>27.4</v>
      </c>
      <c r="F28" s="55">
        <v>0.8</v>
      </c>
      <c r="G28" s="55">
        <v>100</v>
      </c>
      <c r="H28" s="55">
        <v>870</v>
      </c>
      <c r="I28" s="57">
        <v>3</v>
      </c>
      <c r="J28" s="48">
        <v>12</v>
      </c>
      <c r="K28" s="48">
        <v>17</v>
      </c>
    </row>
    <row r="29" spans="1:11" x14ac:dyDescent="0.35">
      <c r="A29" s="55" t="s">
        <v>153</v>
      </c>
      <c r="B29" s="56" t="s">
        <v>198</v>
      </c>
      <c r="C29" s="55">
        <v>58</v>
      </c>
      <c r="D29" s="58">
        <v>30.1</v>
      </c>
      <c r="E29" s="55">
        <v>29.1</v>
      </c>
      <c r="F29" s="55">
        <v>0</v>
      </c>
      <c r="G29" s="55">
        <v>98.75</v>
      </c>
      <c r="H29" s="55">
        <v>2000</v>
      </c>
      <c r="I29" s="57">
        <v>3</v>
      </c>
      <c r="J29" s="48">
        <v>2</v>
      </c>
      <c r="K29" s="48">
        <v>2</v>
      </c>
    </row>
    <row r="30" spans="1:11" x14ac:dyDescent="0.35">
      <c r="A30" s="55" t="s">
        <v>153</v>
      </c>
      <c r="B30" s="61" t="s">
        <v>199</v>
      </c>
      <c r="C30" s="55">
        <v>77</v>
      </c>
      <c r="D30" s="70">
        <v>1.79</v>
      </c>
      <c r="E30" s="55">
        <v>23.98</v>
      </c>
      <c r="F30" s="55">
        <v>0.83</v>
      </c>
      <c r="G30" s="55">
        <v>100</v>
      </c>
      <c r="H30" s="55">
        <v>1100</v>
      </c>
      <c r="I30" s="57">
        <v>2</v>
      </c>
      <c r="J30" s="48">
        <v>3</v>
      </c>
      <c r="K30" s="48">
        <v>3</v>
      </c>
    </row>
    <row r="31" spans="1:11" x14ac:dyDescent="0.35">
      <c r="A31" s="55" t="s">
        <v>153</v>
      </c>
      <c r="B31" s="61" t="s">
        <v>199</v>
      </c>
      <c r="C31" s="55">
        <v>78</v>
      </c>
      <c r="D31" s="70">
        <v>20.350000000000001</v>
      </c>
      <c r="E31" s="55">
        <v>22.55</v>
      </c>
      <c r="F31" s="55">
        <v>0</v>
      </c>
      <c r="G31" s="55">
        <v>38.33</v>
      </c>
      <c r="H31" s="48">
        <v>1420</v>
      </c>
      <c r="I31" s="57">
        <v>2</v>
      </c>
      <c r="J31" s="48">
        <v>6</v>
      </c>
      <c r="K31" s="48">
        <v>14</v>
      </c>
    </row>
    <row r="32" spans="1:11" x14ac:dyDescent="0.35">
      <c r="A32" s="55" t="s">
        <v>153</v>
      </c>
      <c r="B32" s="61" t="s">
        <v>199</v>
      </c>
      <c r="C32" s="55">
        <v>98</v>
      </c>
      <c r="D32" s="70">
        <v>3.05</v>
      </c>
      <c r="E32" s="55">
        <v>21.7</v>
      </c>
      <c r="F32" s="55">
        <v>0.9</v>
      </c>
      <c r="G32" s="55">
        <v>100</v>
      </c>
      <c r="H32" s="55">
        <v>2000</v>
      </c>
      <c r="I32" s="57">
        <v>2</v>
      </c>
      <c r="J32" s="48">
        <v>1</v>
      </c>
      <c r="K32" s="48">
        <v>1</v>
      </c>
    </row>
    <row r="33" spans="1:11" x14ac:dyDescent="0.35">
      <c r="A33" s="55" t="s">
        <v>153</v>
      </c>
      <c r="B33" s="61" t="s">
        <v>199</v>
      </c>
      <c r="C33" s="55">
        <v>77</v>
      </c>
      <c r="D33" s="70">
        <v>12.54</v>
      </c>
      <c r="E33" s="55">
        <v>25.3</v>
      </c>
      <c r="F33" s="55">
        <v>1</v>
      </c>
      <c r="G33" s="55">
        <v>100</v>
      </c>
      <c r="H33" s="55">
        <v>2000</v>
      </c>
      <c r="I33" s="57">
        <v>2</v>
      </c>
      <c r="J33" s="48">
        <v>1</v>
      </c>
      <c r="K33" s="48">
        <v>5</v>
      </c>
    </row>
    <row r="34" spans="1:11" x14ac:dyDescent="0.35">
      <c r="A34" s="55" t="s">
        <v>153</v>
      </c>
      <c r="B34" s="61" t="s">
        <v>183</v>
      </c>
      <c r="C34" s="55">
        <v>95</v>
      </c>
      <c r="D34" s="58">
        <v>10.69</v>
      </c>
      <c r="E34" s="55">
        <v>22.8</v>
      </c>
      <c r="F34" s="55">
        <v>1.2</v>
      </c>
      <c r="G34" s="55">
        <v>100</v>
      </c>
      <c r="H34" s="55">
        <v>1100</v>
      </c>
      <c r="I34" s="57">
        <v>3</v>
      </c>
      <c r="J34" s="48">
        <v>4</v>
      </c>
      <c r="K34" s="48">
        <v>7</v>
      </c>
    </row>
    <row r="35" spans="1:11" x14ac:dyDescent="0.35">
      <c r="A35" s="55" t="s">
        <v>153</v>
      </c>
      <c r="B35" s="61" t="s">
        <v>183</v>
      </c>
      <c r="C35" s="55">
        <v>95</v>
      </c>
      <c r="D35" s="58">
        <v>5.99</v>
      </c>
      <c r="E35" s="55">
        <v>25.7</v>
      </c>
      <c r="F35" s="55">
        <v>0</v>
      </c>
      <c r="G35" s="55">
        <v>100</v>
      </c>
      <c r="H35" s="55">
        <v>1420</v>
      </c>
      <c r="I35" s="57">
        <v>3</v>
      </c>
      <c r="J35" s="48">
        <v>5</v>
      </c>
      <c r="K35" s="48">
        <v>7</v>
      </c>
    </row>
    <row r="36" spans="1:11" x14ac:dyDescent="0.35">
      <c r="A36" s="55" t="s">
        <v>153</v>
      </c>
      <c r="B36" s="56" t="s">
        <v>183</v>
      </c>
      <c r="C36" s="55">
        <v>98</v>
      </c>
      <c r="D36" s="58">
        <v>3.61</v>
      </c>
      <c r="E36" s="55">
        <v>23</v>
      </c>
      <c r="F36" s="55">
        <v>0</v>
      </c>
      <c r="G36" s="55">
        <v>100</v>
      </c>
      <c r="H36" s="55">
        <v>2000</v>
      </c>
      <c r="I36" s="57">
        <v>3</v>
      </c>
      <c r="J36" s="48">
        <v>0</v>
      </c>
      <c r="K36" s="48">
        <v>0</v>
      </c>
    </row>
    <row r="37" spans="1:11" x14ac:dyDescent="0.35">
      <c r="A37" s="55" t="s">
        <v>153</v>
      </c>
      <c r="B37" s="61" t="s">
        <v>183</v>
      </c>
      <c r="C37" s="55">
        <v>80</v>
      </c>
      <c r="D37" s="58">
        <v>6.89</v>
      </c>
      <c r="E37" s="55">
        <v>24.3</v>
      </c>
      <c r="F37" s="55">
        <v>0.87</v>
      </c>
      <c r="G37" s="55">
        <v>100</v>
      </c>
      <c r="H37" s="55">
        <v>2000</v>
      </c>
      <c r="I37" s="57">
        <v>3</v>
      </c>
      <c r="J37" s="48">
        <v>2</v>
      </c>
      <c r="K37" s="48">
        <v>2</v>
      </c>
    </row>
    <row r="38" spans="1:11" x14ac:dyDescent="0.35">
      <c r="A38" s="55" t="s">
        <v>153</v>
      </c>
      <c r="B38" s="61" t="s">
        <v>185</v>
      </c>
      <c r="C38" s="55">
        <v>80</v>
      </c>
      <c r="D38" s="70">
        <v>14.7</v>
      </c>
      <c r="E38" s="55">
        <v>24.13</v>
      </c>
      <c r="F38" s="55">
        <v>2.1</v>
      </c>
      <c r="G38" s="55">
        <v>100</v>
      </c>
      <c r="H38" s="55">
        <v>1420</v>
      </c>
      <c r="I38" s="57">
        <v>1</v>
      </c>
      <c r="J38" s="48">
        <v>3</v>
      </c>
      <c r="K38" s="48">
        <v>11</v>
      </c>
    </row>
    <row r="39" spans="1:11" x14ac:dyDescent="0.35">
      <c r="A39" s="55" t="s">
        <v>153</v>
      </c>
      <c r="B39" s="61" t="s">
        <v>185</v>
      </c>
      <c r="C39" s="55">
        <v>99</v>
      </c>
      <c r="D39" s="70">
        <v>12.46</v>
      </c>
      <c r="E39" s="55">
        <v>22.9</v>
      </c>
      <c r="F39" s="55">
        <v>0</v>
      </c>
      <c r="G39" s="55">
        <v>100</v>
      </c>
      <c r="H39" s="55">
        <v>1420</v>
      </c>
      <c r="I39" s="57">
        <v>1</v>
      </c>
      <c r="J39" s="48">
        <v>4</v>
      </c>
      <c r="K39" s="48">
        <v>5</v>
      </c>
    </row>
    <row r="40" spans="1:11" x14ac:dyDescent="0.35">
      <c r="A40" s="55" t="s">
        <v>153</v>
      </c>
      <c r="B40" s="56" t="s">
        <v>185</v>
      </c>
      <c r="C40" s="55">
        <v>99</v>
      </c>
      <c r="D40" s="58">
        <v>8.2799999999999994</v>
      </c>
      <c r="E40" s="55">
        <v>24.2</v>
      </c>
      <c r="F40" s="55">
        <v>0</v>
      </c>
      <c r="G40" s="55">
        <v>100</v>
      </c>
      <c r="H40" s="55">
        <v>2000</v>
      </c>
      <c r="I40" s="57">
        <v>1</v>
      </c>
      <c r="J40" s="48">
        <v>0</v>
      </c>
      <c r="K40" s="48">
        <v>0</v>
      </c>
    </row>
    <row r="41" spans="1:11" x14ac:dyDescent="0.35">
      <c r="A41" s="55" t="s">
        <v>153</v>
      </c>
      <c r="B41" s="56" t="s">
        <v>185</v>
      </c>
      <c r="C41" s="55">
        <v>99</v>
      </c>
      <c r="D41" s="58">
        <v>7.19</v>
      </c>
      <c r="E41" s="55">
        <v>23.4</v>
      </c>
      <c r="F41" s="55">
        <v>1.5</v>
      </c>
      <c r="G41" s="55">
        <v>100</v>
      </c>
      <c r="H41" s="55">
        <v>2000</v>
      </c>
      <c r="I41" s="57">
        <v>1</v>
      </c>
      <c r="J41" s="48">
        <v>0</v>
      </c>
      <c r="K41" s="48">
        <v>0</v>
      </c>
    </row>
    <row r="42" spans="1:11" x14ac:dyDescent="0.35">
      <c r="A42" s="55" t="s">
        <v>153</v>
      </c>
      <c r="B42" s="61" t="s">
        <v>186</v>
      </c>
      <c r="C42" s="55">
        <v>95</v>
      </c>
      <c r="D42" s="58">
        <v>1.44</v>
      </c>
      <c r="E42" s="55">
        <v>25.1</v>
      </c>
      <c r="F42" s="55">
        <v>0</v>
      </c>
      <c r="G42" s="55">
        <v>100</v>
      </c>
      <c r="H42" s="55">
        <v>1420</v>
      </c>
      <c r="I42" s="57">
        <v>6</v>
      </c>
      <c r="J42" s="48">
        <v>2</v>
      </c>
      <c r="K42" s="48">
        <v>7</v>
      </c>
    </row>
    <row r="43" spans="1:11" x14ac:dyDescent="0.35">
      <c r="A43" s="55" t="s">
        <v>153</v>
      </c>
      <c r="B43" s="61" t="s">
        <v>186</v>
      </c>
      <c r="C43" s="55">
        <v>99</v>
      </c>
      <c r="D43" s="58">
        <v>0.54</v>
      </c>
      <c r="E43" s="55">
        <v>21.9</v>
      </c>
      <c r="F43" s="55">
        <v>0</v>
      </c>
      <c r="G43" s="55">
        <v>100</v>
      </c>
      <c r="H43" s="55">
        <v>1420</v>
      </c>
      <c r="I43" s="57">
        <v>6</v>
      </c>
      <c r="J43" s="48">
        <v>3</v>
      </c>
      <c r="K43" s="48">
        <v>3</v>
      </c>
    </row>
    <row r="44" spans="1:11" x14ac:dyDescent="0.35">
      <c r="A44" s="55" t="s">
        <v>153</v>
      </c>
      <c r="B44" s="61" t="s">
        <v>186</v>
      </c>
      <c r="C44" s="55">
        <v>99</v>
      </c>
      <c r="D44" s="58">
        <v>0.63</v>
      </c>
      <c r="E44" s="55">
        <v>25.1</v>
      </c>
      <c r="F44" s="55">
        <v>0</v>
      </c>
      <c r="G44" s="55">
        <v>100</v>
      </c>
      <c r="H44" s="55">
        <v>2000</v>
      </c>
      <c r="I44" s="57">
        <v>6</v>
      </c>
      <c r="J44" s="48">
        <v>3</v>
      </c>
      <c r="K44" s="48">
        <v>8</v>
      </c>
    </row>
    <row r="45" spans="1:11" x14ac:dyDescent="0.35">
      <c r="A45" s="55" t="s">
        <v>153</v>
      </c>
      <c r="B45" s="61" t="s">
        <v>186</v>
      </c>
      <c r="C45" s="55">
        <v>99</v>
      </c>
      <c r="D45" s="58">
        <v>1.67</v>
      </c>
      <c r="E45" s="55">
        <v>25.2</v>
      </c>
      <c r="F45" s="55">
        <v>0</v>
      </c>
      <c r="G45" s="55">
        <v>100</v>
      </c>
      <c r="H45" s="55">
        <v>2000</v>
      </c>
      <c r="I45" s="57">
        <v>6</v>
      </c>
      <c r="J45" s="48">
        <v>3</v>
      </c>
      <c r="K45" s="48">
        <v>4</v>
      </c>
    </row>
    <row r="46" spans="1:11" x14ac:dyDescent="0.35">
      <c r="A46" s="55" t="s">
        <v>158</v>
      </c>
      <c r="B46" s="61" t="s">
        <v>176</v>
      </c>
      <c r="C46" s="55">
        <v>96</v>
      </c>
      <c r="D46" s="58">
        <v>1.1399999999999999</v>
      </c>
      <c r="E46" s="55">
        <v>26.4</v>
      </c>
      <c r="F46" s="55">
        <v>0</v>
      </c>
      <c r="G46" s="55">
        <v>22</v>
      </c>
      <c r="H46" s="55">
        <v>550</v>
      </c>
      <c r="I46" s="57">
        <v>4</v>
      </c>
      <c r="J46" s="48">
        <v>4</v>
      </c>
      <c r="K46" s="48">
        <v>7</v>
      </c>
    </row>
    <row r="47" spans="1:11" x14ac:dyDescent="0.35">
      <c r="A47" s="55" t="s">
        <v>158</v>
      </c>
      <c r="B47" s="61" t="s">
        <v>176</v>
      </c>
      <c r="C47" s="55">
        <v>99</v>
      </c>
      <c r="D47" s="58">
        <v>8.52</v>
      </c>
      <c r="E47" s="55">
        <v>26.5</v>
      </c>
      <c r="F47" s="55">
        <v>0</v>
      </c>
      <c r="G47" s="55">
        <v>100</v>
      </c>
      <c r="H47" s="55">
        <v>2000</v>
      </c>
      <c r="I47" s="57">
        <v>4</v>
      </c>
      <c r="J47" s="48">
        <v>5</v>
      </c>
      <c r="K47" s="48">
        <v>6</v>
      </c>
    </row>
    <row r="48" spans="1:11" x14ac:dyDescent="0.35">
      <c r="A48" s="55" t="s">
        <v>158</v>
      </c>
      <c r="B48" s="61" t="s">
        <v>178</v>
      </c>
      <c r="C48" s="55">
        <v>99</v>
      </c>
      <c r="D48" s="58">
        <v>6.93</v>
      </c>
      <c r="E48" s="55">
        <v>23.5</v>
      </c>
      <c r="F48" s="55">
        <v>0</v>
      </c>
      <c r="G48" s="55">
        <v>98</v>
      </c>
      <c r="H48" s="55">
        <v>2000</v>
      </c>
      <c r="I48" s="57">
        <v>3</v>
      </c>
      <c r="J48" s="48">
        <v>7</v>
      </c>
      <c r="K48" s="48">
        <v>7</v>
      </c>
    </row>
    <row r="49" spans="1:11" x14ac:dyDescent="0.35">
      <c r="A49" s="55" t="s">
        <v>158</v>
      </c>
      <c r="B49" s="61" t="s">
        <v>178</v>
      </c>
      <c r="C49" s="55">
        <v>99</v>
      </c>
      <c r="D49" s="58">
        <v>6.8</v>
      </c>
      <c r="E49" s="55">
        <v>23.5</v>
      </c>
      <c r="F49" s="55">
        <v>0</v>
      </c>
      <c r="G49" s="55">
        <v>100</v>
      </c>
      <c r="H49" s="55">
        <v>2000</v>
      </c>
      <c r="I49" s="57">
        <v>3</v>
      </c>
      <c r="J49" s="48">
        <v>1</v>
      </c>
      <c r="K49" s="48">
        <v>1</v>
      </c>
    </row>
    <row r="50" spans="1:11" x14ac:dyDescent="0.35">
      <c r="A50" s="55" t="s">
        <v>158</v>
      </c>
      <c r="B50" s="61" t="s">
        <v>200</v>
      </c>
      <c r="C50" s="55">
        <v>89</v>
      </c>
      <c r="D50" s="58">
        <v>2.74</v>
      </c>
      <c r="E50" s="55">
        <v>23.5</v>
      </c>
      <c r="F50" s="55">
        <v>0</v>
      </c>
      <c r="G50" s="55">
        <v>0</v>
      </c>
      <c r="H50" s="55">
        <v>700</v>
      </c>
      <c r="I50" s="57">
        <v>5</v>
      </c>
      <c r="J50" s="48">
        <v>13</v>
      </c>
      <c r="K50" s="48">
        <v>16</v>
      </c>
    </row>
    <row r="51" spans="1:11" x14ac:dyDescent="0.35">
      <c r="A51" s="55" t="s">
        <v>158</v>
      </c>
      <c r="B51" s="61" t="s">
        <v>200</v>
      </c>
      <c r="C51" s="55">
        <v>99</v>
      </c>
      <c r="D51" s="58">
        <v>0.32</v>
      </c>
      <c r="E51" s="55">
        <v>21.5</v>
      </c>
      <c r="F51" s="55">
        <v>0</v>
      </c>
      <c r="G51" s="55">
        <v>100</v>
      </c>
      <c r="H51" s="55">
        <v>2000</v>
      </c>
      <c r="I51" s="57">
        <v>5</v>
      </c>
      <c r="J51" s="48">
        <v>3</v>
      </c>
      <c r="K51" s="48">
        <v>3</v>
      </c>
    </row>
    <row r="52" spans="1:11" x14ac:dyDescent="0.35">
      <c r="A52" s="55" t="s">
        <v>158</v>
      </c>
      <c r="B52" s="61" t="s">
        <v>200</v>
      </c>
      <c r="C52" s="55">
        <v>87</v>
      </c>
      <c r="D52" s="58">
        <v>0.03</v>
      </c>
      <c r="E52" s="55">
        <v>23.2</v>
      </c>
      <c r="F52" s="55">
        <v>0</v>
      </c>
      <c r="G52" s="55">
        <v>100</v>
      </c>
      <c r="H52" s="55">
        <v>2000</v>
      </c>
      <c r="I52" s="57">
        <v>5</v>
      </c>
      <c r="J52" s="48">
        <v>3</v>
      </c>
      <c r="K52" s="48">
        <v>3</v>
      </c>
    </row>
    <row r="53" spans="1:11" x14ac:dyDescent="0.35">
      <c r="A53" s="55" t="s">
        <v>158</v>
      </c>
      <c r="B53" s="61" t="s">
        <v>200</v>
      </c>
      <c r="C53" s="55">
        <v>85</v>
      </c>
      <c r="D53" s="58">
        <v>0.04</v>
      </c>
      <c r="E53" s="55">
        <v>23.2</v>
      </c>
      <c r="F53" s="55">
        <v>0</v>
      </c>
      <c r="G53" s="55">
        <v>50</v>
      </c>
      <c r="H53" s="55">
        <v>2000</v>
      </c>
      <c r="I53" s="57">
        <v>5</v>
      </c>
      <c r="J53" s="48">
        <v>1</v>
      </c>
      <c r="K53" s="48">
        <v>1</v>
      </c>
    </row>
    <row r="54" spans="1:11" x14ac:dyDescent="0.35">
      <c r="A54" s="55" t="s">
        <v>158</v>
      </c>
      <c r="B54" s="61" t="s">
        <v>180</v>
      </c>
      <c r="C54" s="55">
        <v>88</v>
      </c>
      <c r="D54" s="58">
        <v>0.69</v>
      </c>
      <c r="E54" s="55">
        <v>23.4</v>
      </c>
      <c r="F54" s="55">
        <v>6</v>
      </c>
      <c r="G54" s="55">
        <v>100</v>
      </c>
      <c r="H54" s="55">
        <v>700</v>
      </c>
      <c r="I54" s="57">
        <v>5</v>
      </c>
      <c r="J54" s="48">
        <v>8</v>
      </c>
      <c r="K54" s="48">
        <v>9</v>
      </c>
    </row>
    <row r="55" spans="1:11" x14ac:dyDescent="0.35">
      <c r="A55" s="55" t="s">
        <v>158</v>
      </c>
      <c r="B55" s="61" t="s">
        <v>180</v>
      </c>
      <c r="C55" s="55">
        <v>88</v>
      </c>
      <c r="D55" s="58">
        <v>1.86</v>
      </c>
      <c r="E55" s="55">
        <v>27.2</v>
      </c>
      <c r="F55" s="55">
        <v>0.6</v>
      </c>
      <c r="G55" s="55">
        <v>100</v>
      </c>
      <c r="H55" s="55">
        <v>2000</v>
      </c>
      <c r="I55" s="57">
        <v>5</v>
      </c>
      <c r="J55" s="48">
        <v>4</v>
      </c>
      <c r="K55" s="48">
        <v>4</v>
      </c>
    </row>
    <row r="56" spans="1:11" x14ac:dyDescent="0.35">
      <c r="A56" s="55" t="s">
        <v>158</v>
      </c>
      <c r="B56" s="61" t="s">
        <v>181</v>
      </c>
      <c r="C56" s="55">
        <v>80</v>
      </c>
      <c r="D56" s="58">
        <v>51.6</v>
      </c>
      <c r="E56" s="55">
        <v>28.7</v>
      </c>
      <c r="F56" s="55">
        <v>2.5</v>
      </c>
      <c r="G56" s="55">
        <v>0</v>
      </c>
      <c r="H56" s="55">
        <v>700</v>
      </c>
      <c r="I56" s="57">
        <v>3</v>
      </c>
      <c r="J56" s="48">
        <v>5</v>
      </c>
      <c r="K56" s="48">
        <v>5</v>
      </c>
    </row>
    <row r="57" spans="1:11" x14ac:dyDescent="0.35">
      <c r="A57" s="55" t="s">
        <v>158</v>
      </c>
      <c r="B57" s="61" t="s">
        <v>198</v>
      </c>
      <c r="C57" s="55">
        <v>71</v>
      </c>
      <c r="D57" s="58">
        <v>7.17</v>
      </c>
      <c r="E57" s="55">
        <v>26.1</v>
      </c>
      <c r="F57" s="55">
        <v>1.9</v>
      </c>
      <c r="G57" s="55">
        <v>0</v>
      </c>
      <c r="H57" s="55">
        <v>700</v>
      </c>
      <c r="I57" s="57">
        <v>3</v>
      </c>
      <c r="J57" s="48">
        <v>9</v>
      </c>
      <c r="K57" s="48">
        <v>11</v>
      </c>
    </row>
    <row r="58" spans="1:11" x14ac:dyDescent="0.35">
      <c r="A58" s="55" t="s">
        <v>158</v>
      </c>
      <c r="B58" s="61" t="s">
        <v>198</v>
      </c>
      <c r="C58" s="55">
        <v>74</v>
      </c>
      <c r="D58" s="58">
        <v>7.5</v>
      </c>
      <c r="E58" s="55">
        <v>26</v>
      </c>
      <c r="F58" s="55">
        <v>0</v>
      </c>
      <c r="G58" s="55">
        <v>100</v>
      </c>
      <c r="H58" s="55">
        <v>2000</v>
      </c>
      <c r="I58" s="57">
        <v>3</v>
      </c>
      <c r="J58" s="48">
        <v>1</v>
      </c>
      <c r="K58" s="48">
        <v>1</v>
      </c>
    </row>
    <row r="59" spans="1:11" x14ac:dyDescent="0.35">
      <c r="A59" s="55" t="s">
        <v>158</v>
      </c>
      <c r="B59" s="61" t="s">
        <v>199</v>
      </c>
      <c r="C59" s="48">
        <v>72</v>
      </c>
      <c r="D59" s="48">
        <v>17.850000000000001</v>
      </c>
      <c r="E59" s="48">
        <v>26.9</v>
      </c>
      <c r="F59" s="48">
        <v>1.6</v>
      </c>
      <c r="G59" s="48">
        <v>90</v>
      </c>
      <c r="H59" s="55">
        <v>700</v>
      </c>
      <c r="I59" s="57">
        <v>2</v>
      </c>
      <c r="J59" s="48">
        <v>2</v>
      </c>
      <c r="K59" s="48">
        <v>3</v>
      </c>
    </row>
    <row r="60" spans="1:11" x14ac:dyDescent="0.35">
      <c r="A60" s="55" t="s">
        <v>158</v>
      </c>
      <c r="B60" s="61" t="s">
        <v>199</v>
      </c>
      <c r="C60" s="55">
        <v>66</v>
      </c>
      <c r="D60" s="58">
        <v>6.27</v>
      </c>
      <c r="E60" s="55">
        <v>26.2</v>
      </c>
      <c r="F60" s="55">
        <v>0.8</v>
      </c>
      <c r="G60" s="55">
        <v>100</v>
      </c>
      <c r="H60" s="55">
        <v>2000</v>
      </c>
      <c r="I60" s="57">
        <v>2</v>
      </c>
      <c r="J60" s="48">
        <v>1</v>
      </c>
      <c r="K60" s="48">
        <v>1</v>
      </c>
    </row>
    <row r="61" spans="1:11" x14ac:dyDescent="0.35">
      <c r="A61" s="55" t="s">
        <v>158</v>
      </c>
      <c r="B61" s="61" t="s">
        <v>183</v>
      </c>
      <c r="C61" s="55">
        <v>77</v>
      </c>
      <c r="D61" s="58">
        <v>19</v>
      </c>
      <c r="E61" s="55">
        <v>23.9</v>
      </c>
      <c r="F61" s="55">
        <v>0</v>
      </c>
      <c r="G61" s="55">
        <v>100</v>
      </c>
      <c r="H61" s="55">
        <v>2000</v>
      </c>
      <c r="I61" s="57">
        <v>3</v>
      </c>
      <c r="J61" s="48">
        <v>4</v>
      </c>
      <c r="K61" s="48">
        <v>13</v>
      </c>
    </row>
    <row r="62" spans="1:11" x14ac:dyDescent="0.35">
      <c r="A62" s="55" t="s">
        <v>158</v>
      </c>
      <c r="B62" s="61" t="s">
        <v>183</v>
      </c>
      <c r="C62" s="55">
        <v>99</v>
      </c>
      <c r="D62" s="58">
        <v>29.59</v>
      </c>
      <c r="E62" s="55">
        <v>24.9</v>
      </c>
      <c r="F62" s="55">
        <v>0.65</v>
      </c>
      <c r="G62" s="55">
        <v>99</v>
      </c>
      <c r="H62" s="55">
        <v>700</v>
      </c>
      <c r="I62" s="57">
        <v>3</v>
      </c>
      <c r="J62" s="48">
        <v>4</v>
      </c>
      <c r="K62" s="48">
        <v>7</v>
      </c>
    </row>
    <row r="63" spans="1:11" x14ac:dyDescent="0.35">
      <c r="A63" s="55" t="s">
        <v>158</v>
      </c>
      <c r="B63" s="61" t="s">
        <v>183</v>
      </c>
      <c r="C63" s="55">
        <v>74</v>
      </c>
      <c r="D63" s="58">
        <v>1.52</v>
      </c>
      <c r="E63" s="55">
        <v>19.829999999999998</v>
      </c>
      <c r="F63" s="55">
        <v>0.85</v>
      </c>
      <c r="G63" s="55">
        <v>100</v>
      </c>
      <c r="H63" s="55">
        <v>2000</v>
      </c>
      <c r="I63" s="57">
        <v>3</v>
      </c>
      <c r="J63" s="48">
        <v>2</v>
      </c>
      <c r="K63" s="48">
        <v>2</v>
      </c>
    </row>
    <row r="64" spans="1:11" x14ac:dyDescent="0.35">
      <c r="A64" s="55" t="s">
        <v>158</v>
      </c>
      <c r="B64" s="61" t="s">
        <v>185</v>
      </c>
      <c r="C64" s="55">
        <v>99</v>
      </c>
      <c r="D64" s="58">
        <v>27.94</v>
      </c>
      <c r="E64" s="55">
        <v>22.3</v>
      </c>
      <c r="F64" s="55">
        <v>1.2</v>
      </c>
      <c r="G64" s="55">
        <v>100</v>
      </c>
      <c r="H64" s="55">
        <v>700</v>
      </c>
      <c r="I64" s="57">
        <v>1</v>
      </c>
      <c r="J64" s="48">
        <v>5</v>
      </c>
      <c r="K64" s="48">
        <v>15</v>
      </c>
    </row>
    <row r="65" spans="1:11" x14ac:dyDescent="0.35">
      <c r="A65" s="55" t="s">
        <v>158</v>
      </c>
      <c r="B65" s="61" t="s">
        <v>185</v>
      </c>
      <c r="C65" s="55">
        <v>80</v>
      </c>
      <c r="D65" s="58">
        <v>6.81</v>
      </c>
      <c r="E65" s="55">
        <v>19.03</v>
      </c>
      <c r="F65" s="55">
        <v>1.8</v>
      </c>
      <c r="G65" s="55">
        <v>100</v>
      </c>
      <c r="H65" s="55">
        <v>2000</v>
      </c>
      <c r="I65" s="57">
        <v>1</v>
      </c>
      <c r="J65" s="48">
        <v>2</v>
      </c>
      <c r="K65" s="48">
        <v>4</v>
      </c>
    </row>
    <row r="66" spans="1:11" x14ac:dyDescent="0.35">
      <c r="A66" s="55" t="s">
        <v>158</v>
      </c>
      <c r="B66" s="61" t="s">
        <v>186</v>
      </c>
      <c r="C66" s="55">
        <v>95</v>
      </c>
      <c r="D66" s="58">
        <v>0.4</v>
      </c>
      <c r="E66" s="55">
        <v>17.100000000000001</v>
      </c>
      <c r="F66" s="55">
        <v>0</v>
      </c>
      <c r="G66" s="55">
        <v>0</v>
      </c>
      <c r="H66" s="55">
        <v>700</v>
      </c>
      <c r="I66" s="57">
        <v>6</v>
      </c>
      <c r="J66" s="48">
        <v>10</v>
      </c>
      <c r="K66" s="48">
        <v>33</v>
      </c>
    </row>
    <row r="67" spans="1:11" x14ac:dyDescent="0.35">
      <c r="A67" s="55" t="s">
        <v>158</v>
      </c>
      <c r="B67" s="61" t="s">
        <v>186</v>
      </c>
      <c r="C67" s="55">
        <v>95</v>
      </c>
      <c r="D67" s="58">
        <v>0.42</v>
      </c>
      <c r="E67" s="55">
        <v>17.2</v>
      </c>
      <c r="F67" s="55">
        <v>0</v>
      </c>
      <c r="G67" s="55">
        <v>100</v>
      </c>
      <c r="H67" s="55">
        <v>2000</v>
      </c>
      <c r="I67" s="57">
        <v>6</v>
      </c>
      <c r="J67" s="48">
        <v>1</v>
      </c>
      <c r="K67" s="48">
        <v>1</v>
      </c>
    </row>
    <row r="68" spans="1:11" x14ac:dyDescent="0.35">
      <c r="A68" s="55" t="s">
        <v>158</v>
      </c>
      <c r="B68" s="61" t="s">
        <v>186</v>
      </c>
      <c r="C68" s="55">
        <v>95</v>
      </c>
      <c r="D68" s="58">
        <v>0.41</v>
      </c>
      <c r="E68" s="55">
        <v>17.100000000000001</v>
      </c>
      <c r="F68" s="55">
        <v>0</v>
      </c>
      <c r="G68" s="55">
        <v>100</v>
      </c>
      <c r="H68" s="55">
        <v>700</v>
      </c>
      <c r="I68" s="57">
        <v>6</v>
      </c>
      <c r="J68" s="48">
        <v>8</v>
      </c>
      <c r="K68" s="48">
        <v>11</v>
      </c>
    </row>
    <row r="69" spans="1:11" x14ac:dyDescent="0.35">
      <c r="A69" s="55" t="s">
        <v>158</v>
      </c>
      <c r="B69" s="61" t="s">
        <v>186</v>
      </c>
      <c r="C69" s="55">
        <v>87</v>
      </c>
      <c r="D69" s="58">
        <v>0.16</v>
      </c>
      <c r="E69" s="55">
        <v>20.2</v>
      </c>
      <c r="F69" s="55">
        <v>0</v>
      </c>
      <c r="G69" s="55">
        <v>100</v>
      </c>
      <c r="H69" s="55">
        <v>2000</v>
      </c>
      <c r="I69" s="57">
        <v>6</v>
      </c>
      <c r="J69" s="48">
        <v>6</v>
      </c>
      <c r="K69" s="48">
        <v>6</v>
      </c>
    </row>
    <row r="70" spans="1:11" x14ac:dyDescent="0.35">
      <c r="A70" s="55" t="s">
        <v>164</v>
      </c>
      <c r="B70" s="61" t="s">
        <v>176</v>
      </c>
      <c r="C70" s="55">
        <v>89</v>
      </c>
      <c r="D70" s="58">
        <v>1.36</v>
      </c>
      <c r="E70" s="55">
        <v>23.18</v>
      </c>
      <c r="F70" s="55">
        <v>0</v>
      </c>
      <c r="G70" s="55">
        <v>100</v>
      </c>
      <c r="H70" s="55">
        <v>2000</v>
      </c>
      <c r="I70" s="57">
        <v>4</v>
      </c>
      <c r="J70" s="48">
        <v>8</v>
      </c>
      <c r="K70" s="48">
        <v>11</v>
      </c>
    </row>
    <row r="71" spans="1:11" x14ac:dyDescent="0.35">
      <c r="A71" s="55" t="s">
        <v>164</v>
      </c>
      <c r="B71" s="61" t="s">
        <v>177</v>
      </c>
      <c r="C71" s="55">
        <v>94</v>
      </c>
      <c r="D71" s="58">
        <v>7.68</v>
      </c>
      <c r="E71" s="55">
        <v>26.7</v>
      </c>
      <c r="F71" s="55">
        <v>0.75</v>
      </c>
      <c r="G71" s="55">
        <v>100</v>
      </c>
      <c r="H71" s="55">
        <v>2000</v>
      </c>
      <c r="I71" s="57">
        <v>3</v>
      </c>
      <c r="J71" s="48">
        <v>6</v>
      </c>
      <c r="K71" s="48">
        <v>8</v>
      </c>
    </row>
    <row r="72" spans="1:11" x14ac:dyDescent="0.35">
      <c r="A72" s="55" t="s">
        <v>164</v>
      </c>
      <c r="B72" s="61" t="s">
        <v>177</v>
      </c>
      <c r="C72" s="55">
        <v>90</v>
      </c>
      <c r="D72" s="58">
        <v>1.5</v>
      </c>
      <c r="E72" s="55">
        <v>23.4</v>
      </c>
      <c r="F72" s="55">
        <v>0</v>
      </c>
      <c r="G72" s="55">
        <v>100</v>
      </c>
      <c r="H72" s="55">
        <v>2000</v>
      </c>
      <c r="I72" s="57">
        <v>3</v>
      </c>
      <c r="J72" s="48">
        <v>1</v>
      </c>
      <c r="K72" s="48">
        <v>1</v>
      </c>
    </row>
    <row r="73" spans="1:11" x14ac:dyDescent="0.35">
      <c r="A73" s="55" t="s">
        <v>164</v>
      </c>
      <c r="B73" s="61" t="s">
        <v>200</v>
      </c>
      <c r="C73" s="55">
        <v>91</v>
      </c>
      <c r="D73" s="58">
        <v>1.1499999999999999</v>
      </c>
      <c r="E73" s="55">
        <v>24.4</v>
      </c>
      <c r="F73" s="55">
        <v>0</v>
      </c>
      <c r="G73" s="55">
        <v>100</v>
      </c>
      <c r="H73" s="55">
        <v>480</v>
      </c>
      <c r="I73" s="57">
        <v>5</v>
      </c>
      <c r="J73" s="48">
        <v>8</v>
      </c>
      <c r="K73" s="48">
        <v>8</v>
      </c>
    </row>
    <row r="74" spans="1:11" x14ac:dyDescent="0.35">
      <c r="A74" s="55" t="s">
        <v>164</v>
      </c>
      <c r="B74" s="61" t="s">
        <v>200</v>
      </c>
      <c r="C74" s="55">
        <v>94</v>
      </c>
      <c r="D74" s="58">
        <v>1.2</v>
      </c>
      <c r="E74" s="55">
        <v>24.4</v>
      </c>
      <c r="F74" s="55">
        <v>0</v>
      </c>
      <c r="G74" s="55">
        <v>100</v>
      </c>
      <c r="H74" s="55">
        <v>2000</v>
      </c>
      <c r="I74" s="57">
        <v>5</v>
      </c>
      <c r="J74" s="48">
        <v>1</v>
      </c>
      <c r="K74" s="48">
        <v>1</v>
      </c>
    </row>
    <row r="75" spans="1:11" x14ac:dyDescent="0.35">
      <c r="A75" s="55" t="s">
        <v>164</v>
      </c>
      <c r="B75" s="61" t="s">
        <v>200</v>
      </c>
      <c r="C75" s="55">
        <v>85</v>
      </c>
      <c r="D75" s="58">
        <v>1.3</v>
      </c>
      <c r="E75" s="55">
        <v>24.4</v>
      </c>
      <c r="F75" s="55">
        <v>0</v>
      </c>
      <c r="G75" s="55">
        <v>100</v>
      </c>
      <c r="H75" s="55">
        <v>2000</v>
      </c>
      <c r="I75" s="57">
        <v>5</v>
      </c>
      <c r="J75" s="48">
        <v>8</v>
      </c>
      <c r="K75" s="48">
        <v>8</v>
      </c>
    </row>
    <row r="76" spans="1:11" x14ac:dyDescent="0.35">
      <c r="A76" s="55" t="s">
        <v>164</v>
      </c>
      <c r="B76" s="61" t="s">
        <v>180</v>
      </c>
      <c r="C76" s="55">
        <v>91</v>
      </c>
      <c r="D76" s="58">
        <v>0.57999999999999996</v>
      </c>
      <c r="E76" s="55">
        <v>26.4</v>
      </c>
      <c r="F76" s="55">
        <v>0</v>
      </c>
      <c r="G76" s="55">
        <v>100</v>
      </c>
      <c r="H76" s="55">
        <v>780</v>
      </c>
      <c r="I76" s="57">
        <v>5</v>
      </c>
      <c r="J76" s="48">
        <v>10</v>
      </c>
      <c r="K76" s="48">
        <v>10</v>
      </c>
    </row>
    <row r="77" spans="1:11" x14ac:dyDescent="0.35">
      <c r="A77" s="55" t="s">
        <v>164</v>
      </c>
      <c r="B77" s="61" t="s">
        <v>180</v>
      </c>
      <c r="C77" s="55">
        <v>91</v>
      </c>
      <c r="D77" s="58">
        <v>0.81</v>
      </c>
      <c r="E77" s="55">
        <v>23.28</v>
      </c>
      <c r="F77" s="55">
        <v>0</v>
      </c>
      <c r="G77" s="55">
        <v>100</v>
      </c>
      <c r="H77" s="55">
        <v>480</v>
      </c>
      <c r="I77" s="57">
        <v>5</v>
      </c>
      <c r="J77" s="48">
        <v>5</v>
      </c>
      <c r="K77" s="48">
        <v>5</v>
      </c>
    </row>
    <row r="78" spans="1:11" x14ac:dyDescent="0.35">
      <c r="A78" s="55" t="s">
        <v>164</v>
      </c>
      <c r="B78" s="61" t="s">
        <v>181</v>
      </c>
      <c r="C78" s="55">
        <v>91</v>
      </c>
      <c r="D78" s="58">
        <v>0.81</v>
      </c>
      <c r="E78" s="55">
        <v>23.3</v>
      </c>
      <c r="F78" s="55">
        <v>0</v>
      </c>
      <c r="G78" s="55">
        <v>100</v>
      </c>
      <c r="H78" s="55">
        <v>2000</v>
      </c>
      <c r="I78" s="57">
        <v>3</v>
      </c>
      <c r="J78" s="48">
        <v>1</v>
      </c>
      <c r="K78" s="48">
        <v>2</v>
      </c>
    </row>
    <row r="79" spans="1:11" x14ac:dyDescent="0.35">
      <c r="A79" s="55" t="s">
        <v>164</v>
      </c>
      <c r="B79" s="61" t="s">
        <v>181</v>
      </c>
      <c r="C79" s="55">
        <v>99</v>
      </c>
      <c r="D79" s="58">
        <v>85.6</v>
      </c>
      <c r="E79" s="55">
        <v>28.5</v>
      </c>
      <c r="F79" s="55">
        <v>1.2</v>
      </c>
      <c r="G79" s="55">
        <v>100</v>
      </c>
      <c r="H79" s="55">
        <v>780</v>
      </c>
      <c r="I79" s="57">
        <v>3</v>
      </c>
      <c r="J79" s="48">
        <v>1</v>
      </c>
      <c r="K79" s="48">
        <v>1</v>
      </c>
    </row>
    <row r="80" spans="1:11" x14ac:dyDescent="0.35">
      <c r="A80" s="55" t="s">
        <v>164</v>
      </c>
      <c r="B80" s="61" t="s">
        <v>181</v>
      </c>
      <c r="C80" s="55">
        <v>91</v>
      </c>
      <c r="D80" s="58">
        <v>13.15</v>
      </c>
      <c r="E80" s="55">
        <v>26.13</v>
      </c>
      <c r="F80" s="55">
        <v>0</v>
      </c>
      <c r="G80" s="55">
        <v>100</v>
      </c>
      <c r="H80" s="55">
        <v>480</v>
      </c>
      <c r="I80" s="57">
        <v>3</v>
      </c>
      <c r="J80" s="48">
        <v>3</v>
      </c>
      <c r="K80" s="48">
        <v>3</v>
      </c>
    </row>
    <row r="81" spans="1:11" x14ac:dyDescent="0.35">
      <c r="A81" s="55" t="s">
        <v>164</v>
      </c>
      <c r="B81" s="61" t="s">
        <v>198</v>
      </c>
      <c r="C81" s="55">
        <v>75</v>
      </c>
      <c r="D81" s="58">
        <v>17.2</v>
      </c>
      <c r="E81" s="55">
        <v>28</v>
      </c>
      <c r="F81" s="55">
        <v>0</v>
      </c>
      <c r="G81" s="55">
        <v>100</v>
      </c>
      <c r="H81" s="55">
        <v>2000</v>
      </c>
      <c r="I81" s="57">
        <v>3</v>
      </c>
      <c r="J81" s="48">
        <v>2</v>
      </c>
      <c r="K81" s="48">
        <v>2</v>
      </c>
    </row>
    <row r="82" spans="1:11" x14ac:dyDescent="0.35">
      <c r="A82" s="71" t="s">
        <v>164</v>
      </c>
      <c r="B82" s="72" t="s">
        <v>198</v>
      </c>
      <c r="C82" s="71">
        <v>93</v>
      </c>
      <c r="D82" s="73">
        <v>14.5</v>
      </c>
      <c r="E82" s="71">
        <v>28.73</v>
      </c>
      <c r="F82" s="71">
        <v>0</v>
      </c>
      <c r="G82" s="71">
        <v>100</v>
      </c>
      <c r="H82" s="71">
        <v>480</v>
      </c>
      <c r="I82" s="74">
        <v>3</v>
      </c>
      <c r="J82" s="75">
        <v>6</v>
      </c>
      <c r="K82" s="75">
        <v>9</v>
      </c>
    </row>
    <row r="83" spans="1:11" x14ac:dyDescent="0.35">
      <c r="A83" s="55" t="s">
        <v>164</v>
      </c>
      <c r="B83" s="61" t="s">
        <v>199</v>
      </c>
      <c r="C83" s="55">
        <v>92</v>
      </c>
      <c r="D83" s="58">
        <v>97.97</v>
      </c>
      <c r="E83" s="55">
        <v>28.73</v>
      </c>
      <c r="F83" s="55">
        <v>0.97</v>
      </c>
      <c r="G83" s="55">
        <v>100</v>
      </c>
      <c r="H83" s="55">
        <v>480</v>
      </c>
      <c r="I83" s="57">
        <v>2</v>
      </c>
      <c r="J83" s="48">
        <v>0</v>
      </c>
      <c r="K83" s="48">
        <v>0</v>
      </c>
    </row>
    <row r="84" spans="1:11" x14ac:dyDescent="0.35">
      <c r="A84" s="55" t="s">
        <v>164</v>
      </c>
      <c r="B84" s="61" t="s">
        <v>199</v>
      </c>
      <c r="C84" s="55">
        <v>86.5</v>
      </c>
      <c r="D84" s="58">
        <v>33.18</v>
      </c>
      <c r="E84" s="55">
        <v>25.7</v>
      </c>
      <c r="F84" s="55">
        <v>1.2</v>
      </c>
      <c r="G84" s="55">
        <v>100</v>
      </c>
      <c r="H84" s="55">
        <v>2000</v>
      </c>
      <c r="I84" s="57">
        <v>2</v>
      </c>
      <c r="J84" s="48">
        <v>3</v>
      </c>
      <c r="K84" s="48">
        <v>6</v>
      </c>
    </row>
    <row r="85" spans="1:11" x14ac:dyDescent="0.35">
      <c r="A85" s="55" t="s">
        <v>164</v>
      </c>
      <c r="B85" s="61" t="s">
        <v>183</v>
      </c>
      <c r="C85" s="55">
        <v>89</v>
      </c>
      <c r="D85" s="58">
        <v>7.61</v>
      </c>
      <c r="E85" s="55">
        <v>23.8</v>
      </c>
      <c r="F85" s="55">
        <v>0.75</v>
      </c>
      <c r="G85" s="55">
        <v>100</v>
      </c>
      <c r="H85" s="55">
        <v>2000</v>
      </c>
      <c r="I85" s="57">
        <v>3</v>
      </c>
      <c r="J85" s="48">
        <v>5</v>
      </c>
      <c r="K85" s="48">
        <v>10</v>
      </c>
    </row>
    <row r="86" spans="1:11" x14ac:dyDescent="0.35">
      <c r="A86" s="55" t="s">
        <v>164</v>
      </c>
      <c r="B86" s="61" t="s">
        <v>183</v>
      </c>
      <c r="C86" s="55">
        <v>81</v>
      </c>
      <c r="D86" s="58">
        <v>5.23</v>
      </c>
      <c r="E86" s="55">
        <v>27.03</v>
      </c>
      <c r="F86" s="55">
        <v>0</v>
      </c>
      <c r="G86" s="55">
        <v>100</v>
      </c>
      <c r="H86" s="55">
        <v>480</v>
      </c>
      <c r="I86" s="57">
        <v>3</v>
      </c>
      <c r="J86" s="48">
        <v>4</v>
      </c>
      <c r="K86" s="48">
        <v>5</v>
      </c>
    </row>
    <row r="87" spans="1:11" x14ac:dyDescent="0.35">
      <c r="A87" s="55" t="s">
        <v>164</v>
      </c>
      <c r="B87" s="61" t="s">
        <v>185</v>
      </c>
      <c r="C87" s="55">
        <v>88</v>
      </c>
      <c r="D87" s="58">
        <v>24.87</v>
      </c>
      <c r="E87" s="55">
        <v>23.25</v>
      </c>
      <c r="F87" s="55">
        <v>0.45</v>
      </c>
      <c r="G87" s="55">
        <v>100</v>
      </c>
      <c r="H87" s="55">
        <v>2000</v>
      </c>
      <c r="I87" s="57">
        <v>1</v>
      </c>
      <c r="J87" s="48">
        <v>1</v>
      </c>
      <c r="K87" s="48">
        <v>1</v>
      </c>
    </row>
    <row r="88" spans="1:11" x14ac:dyDescent="0.35">
      <c r="A88" s="55" t="s">
        <v>164</v>
      </c>
      <c r="B88" s="61" t="s">
        <v>185</v>
      </c>
      <c r="C88" s="55">
        <v>72</v>
      </c>
      <c r="D88" s="58">
        <v>4.6399999999999997</v>
      </c>
      <c r="E88" s="55">
        <v>24.9</v>
      </c>
      <c r="F88" s="55">
        <v>3.17</v>
      </c>
      <c r="G88" s="55">
        <v>100</v>
      </c>
      <c r="H88" s="55">
        <v>480</v>
      </c>
      <c r="I88" s="57">
        <v>1</v>
      </c>
      <c r="J88" s="48">
        <v>2</v>
      </c>
      <c r="K88" s="48">
        <v>4</v>
      </c>
    </row>
    <row r="89" spans="1:11" x14ac:dyDescent="0.35">
      <c r="A89" s="55" t="s">
        <v>164</v>
      </c>
      <c r="B89" s="61" t="s">
        <v>186</v>
      </c>
      <c r="C89" s="55">
        <v>86</v>
      </c>
      <c r="D89" s="58">
        <v>0.14000000000000001</v>
      </c>
      <c r="E89" s="55">
        <v>18.55</v>
      </c>
      <c r="F89" s="55">
        <v>0</v>
      </c>
      <c r="G89" s="55">
        <v>100</v>
      </c>
      <c r="H89" s="55">
        <v>2000</v>
      </c>
      <c r="I89" s="57">
        <v>6</v>
      </c>
      <c r="J89" s="48">
        <v>5</v>
      </c>
      <c r="K89" s="48">
        <v>5</v>
      </c>
    </row>
    <row r="90" spans="1:11" x14ac:dyDescent="0.35">
      <c r="A90" s="55" t="s">
        <v>164</v>
      </c>
      <c r="B90" s="61" t="s">
        <v>186</v>
      </c>
      <c r="C90" s="55">
        <v>87</v>
      </c>
      <c r="D90" s="58">
        <v>0.15</v>
      </c>
      <c r="E90" s="55">
        <v>15.2</v>
      </c>
      <c r="F90" s="55">
        <v>0</v>
      </c>
      <c r="G90" s="55">
        <v>100</v>
      </c>
      <c r="H90" s="55">
        <v>2000</v>
      </c>
      <c r="I90" s="57">
        <v>6</v>
      </c>
      <c r="J90" s="48">
        <v>3</v>
      </c>
      <c r="K90" s="48">
        <v>3</v>
      </c>
    </row>
    <row r="91" spans="1:11" x14ac:dyDescent="0.35">
      <c r="A91" s="55" t="s">
        <v>164</v>
      </c>
      <c r="B91" s="61" t="s">
        <v>186</v>
      </c>
      <c r="C91" s="55">
        <v>83</v>
      </c>
      <c r="D91" s="58">
        <v>0.20499999999999999</v>
      </c>
      <c r="E91" s="55">
        <v>24.8</v>
      </c>
      <c r="F91" s="55">
        <v>0</v>
      </c>
      <c r="G91" s="55">
        <v>100</v>
      </c>
      <c r="H91" s="55">
        <v>480</v>
      </c>
      <c r="I91" s="57">
        <v>6</v>
      </c>
      <c r="J91" s="48">
        <v>0</v>
      </c>
      <c r="K91" s="48">
        <v>0</v>
      </c>
    </row>
    <row r="92" spans="1:11" x14ac:dyDescent="0.35">
      <c r="A92" s="55" t="s">
        <v>168</v>
      </c>
      <c r="B92" s="55" t="s">
        <v>176</v>
      </c>
      <c r="C92" s="55">
        <v>92</v>
      </c>
      <c r="D92" s="58">
        <v>0.14000000000000001</v>
      </c>
      <c r="E92" s="55">
        <v>22.5</v>
      </c>
      <c r="F92" s="55">
        <v>0</v>
      </c>
      <c r="G92" s="55">
        <v>100</v>
      </c>
      <c r="H92" s="55">
        <v>480</v>
      </c>
      <c r="I92" s="57">
        <v>4</v>
      </c>
      <c r="J92" s="48">
        <v>6</v>
      </c>
      <c r="K92" s="48">
        <v>11</v>
      </c>
    </row>
    <row r="93" spans="1:11" x14ac:dyDescent="0.35">
      <c r="A93" s="55" t="s">
        <v>168</v>
      </c>
      <c r="B93" s="55" t="s">
        <v>176</v>
      </c>
      <c r="C93" s="55">
        <v>92</v>
      </c>
      <c r="D93" s="58">
        <v>0.14000000000000001</v>
      </c>
      <c r="E93" s="55">
        <v>22.5</v>
      </c>
      <c r="F93" s="55">
        <v>0</v>
      </c>
      <c r="G93" s="55">
        <v>60</v>
      </c>
      <c r="H93" s="55">
        <v>2000</v>
      </c>
      <c r="I93" s="57">
        <v>4</v>
      </c>
      <c r="J93" s="48">
        <v>1</v>
      </c>
      <c r="K93" s="48">
        <v>2</v>
      </c>
    </row>
    <row r="94" spans="1:11" x14ac:dyDescent="0.35">
      <c r="A94" s="55" t="s">
        <v>168</v>
      </c>
      <c r="B94" s="55" t="s">
        <v>177</v>
      </c>
      <c r="C94" s="55">
        <v>97</v>
      </c>
      <c r="D94" s="58">
        <v>4.5999999999999996</v>
      </c>
      <c r="E94" s="55">
        <v>24.3</v>
      </c>
      <c r="F94" s="55">
        <v>0</v>
      </c>
      <c r="G94" s="55">
        <v>100</v>
      </c>
      <c r="H94" s="55">
        <v>480</v>
      </c>
      <c r="I94" s="57">
        <v>3</v>
      </c>
      <c r="J94" s="48">
        <v>17</v>
      </c>
      <c r="K94" s="48">
        <v>24</v>
      </c>
    </row>
    <row r="95" spans="1:11" x14ac:dyDescent="0.35">
      <c r="A95" s="55" t="s">
        <v>168</v>
      </c>
      <c r="B95" s="55" t="s">
        <v>200</v>
      </c>
      <c r="C95" s="55">
        <v>99</v>
      </c>
      <c r="D95" s="58">
        <v>24.2</v>
      </c>
      <c r="E95" s="55">
        <v>26.1</v>
      </c>
      <c r="F95" s="55">
        <v>0</v>
      </c>
      <c r="G95" s="55">
        <v>60</v>
      </c>
      <c r="H95" s="55">
        <v>2000</v>
      </c>
      <c r="I95" s="57">
        <v>5</v>
      </c>
      <c r="J95" s="48">
        <v>1</v>
      </c>
      <c r="K95" s="48">
        <v>1</v>
      </c>
    </row>
    <row r="96" spans="1:11" x14ac:dyDescent="0.35">
      <c r="A96" s="55" t="s">
        <v>168</v>
      </c>
      <c r="B96" s="55" t="s">
        <v>200</v>
      </c>
      <c r="C96" s="55">
        <v>99</v>
      </c>
      <c r="D96" s="58">
        <v>24.2</v>
      </c>
      <c r="E96" s="55">
        <v>26.1</v>
      </c>
      <c r="F96" s="55">
        <v>0</v>
      </c>
      <c r="G96" s="55">
        <v>35</v>
      </c>
      <c r="H96" s="55">
        <v>480</v>
      </c>
      <c r="I96" s="57">
        <v>5</v>
      </c>
      <c r="J96" s="48">
        <v>11</v>
      </c>
      <c r="K96" s="48">
        <v>11</v>
      </c>
    </row>
    <row r="97" spans="1:11" x14ac:dyDescent="0.35">
      <c r="A97" s="55" t="s">
        <v>168</v>
      </c>
      <c r="B97" s="55" t="s">
        <v>200</v>
      </c>
      <c r="C97" s="55">
        <v>84</v>
      </c>
      <c r="D97" s="58">
        <v>0.17</v>
      </c>
      <c r="E97" s="55">
        <v>24</v>
      </c>
      <c r="F97" s="55">
        <v>0</v>
      </c>
      <c r="G97" s="55">
        <v>100</v>
      </c>
      <c r="H97" s="55">
        <v>2000</v>
      </c>
      <c r="I97" s="57">
        <v>5</v>
      </c>
      <c r="J97" s="48">
        <v>2</v>
      </c>
      <c r="K97" s="48">
        <v>2</v>
      </c>
    </row>
    <row r="98" spans="1:11" x14ac:dyDescent="0.35">
      <c r="A98" s="55" t="s">
        <v>168</v>
      </c>
      <c r="B98" s="55" t="s">
        <v>180</v>
      </c>
      <c r="C98" s="55">
        <v>97</v>
      </c>
      <c r="D98" s="58">
        <v>1.08</v>
      </c>
      <c r="E98" s="55">
        <v>25.4</v>
      </c>
      <c r="F98" s="55">
        <v>0</v>
      </c>
      <c r="G98" s="55">
        <v>100</v>
      </c>
      <c r="H98" s="55">
        <v>2000</v>
      </c>
      <c r="I98" s="57">
        <v>5</v>
      </c>
      <c r="J98" s="48">
        <v>6</v>
      </c>
      <c r="K98" s="48">
        <v>8</v>
      </c>
    </row>
    <row r="99" spans="1:11" x14ac:dyDescent="0.35">
      <c r="A99" s="55" t="s">
        <v>168</v>
      </c>
      <c r="B99" s="55" t="s">
        <v>180</v>
      </c>
      <c r="C99" s="55">
        <v>97</v>
      </c>
      <c r="D99" s="58">
        <v>1.08</v>
      </c>
      <c r="E99" s="55">
        <v>25.4</v>
      </c>
      <c r="F99" s="55">
        <v>0</v>
      </c>
      <c r="G99" s="55">
        <v>65</v>
      </c>
      <c r="H99" s="55">
        <v>480</v>
      </c>
      <c r="I99" s="57">
        <v>5</v>
      </c>
      <c r="J99" s="48">
        <v>9</v>
      </c>
      <c r="K99" s="48">
        <v>9</v>
      </c>
    </row>
    <row r="100" spans="1:11" x14ac:dyDescent="0.35">
      <c r="A100" s="55" t="s">
        <v>168</v>
      </c>
      <c r="B100" s="48" t="s">
        <v>180</v>
      </c>
      <c r="C100" s="48">
        <v>80</v>
      </c>
      <c r="D100" s="76">
        <v>0.04</v>
      </c>
      <c r="E100" s="48">
        <v>25.3</v>
      </c>
      <c r="F100" s="48">
        <v>0</v>
      </c>
      <c r="G100" s="48">
        <v>100</v>
      </c>
      <c r="H100" s="55">
        <v>2000</v>
      </c>
      <c r="I100" s="49">
        <v>5</v>
      </c>
      <c r="J100" s="48">
        <v>0</v>
      </c>
      <c r="K100" s="48">
        <v>0</v>
      </c>
    </row>
    <row r="101" spans="1:11" x14ac:dyDescent="0.35">
      <c r="A101" s="55" t="s">
        <v>168</v>
      </c>
      <c r="B101" s="48" t="s">
        <v>181</v>
      </c>
      <c r="C101" s="48">
        <v>87</v>
      </c>
      <c r="D101" s="76">
        <v>9.8000000000000007</v>
      </c>
      <c r="E101" s="48">
        <v>34.5</v>
      </c>
      <c r="F101" s="48">
        <v>0</v>
      </c>
      <c r="G101" s="48">
        <v>90</v>
      </c>
      <c r="H101" s="55">
        <v>2000</v>
      </c>
      <c r="I101" s="49">
        <v>3</v>
      </c>
      <c r="J101" s="48">
        <v>4</v>
      </c>
      <c r="K101" s="48">
        <v>4</v>
      </c>
    </row>
    <row r="102" spans="1:11" x14ac:dyDescent="0.35">
      <c r="A102" s="55" t="s">
        <v>168</v>
      </c>
      <c r="B102" s="48" t="s">
        <v>181</v>
      </c>
      <c r="C102" s="48">
        <v>87</v>
      </c>
      <c r="D102" s="76">
        <v>9.8000000000000007</v>
      </c>
      <c r="E102" s="48">
        <v>34.5</v>
      </c>
      <c r="F102" s="48">
        <v>0</v>
      </c>
      <c r="G102" s="48">
        <v>0</v>
      </c>
      <c r="H102" s="48">
        <v>480</v>
      </c>
      <c r="I102" s="49">
        <v>3</v>
      </c>
      <c r="J102" s="48">
        <v>3</v>
      </c>
      <c r="K102" s="48">
        <v>3</v>
      </c>
    </row>
    <row r="103" spans="1:11" x14ac:dyDescent="0.35">
      <c r="A103" s="55" t="s">
        <v>168</v>
      </c>
      <c r="B103" s="48" t="s">
        <v>181</v>
      </c>
      <c r="C103" s="48">
        <v>80</v>
      </c>
      <c r="D103" s="76">
        <v>1.5</v>
      </c>
      <c r="E103" s="48">
        <v>26.9</v>
      </c>
      <c r="F103" s="48">
        <v>0</v>
      </c>
      <c r="G103" s="48">
        <v>100</v>
      </c>
      <c r="H103" s="48">
        <v>2000</v>
      </c>
      <c r="I103" s="49">
        <v>3</v>
      </c>
      <c r="J103" s="48">
        <v>3</v>
      </c>
      <c r="K103" s="48">
        <v>4</v>
      </c>
    </row>
    <row r="104" spans="1:11" x14ac:dyDescent="0.35">
      <c r="A104" s="55" t="s">
        <v>168</v>
      </c>
      <c r="B104" s="48" t="s">
        <v>198</v>
      </c>
      <c r="C104" s="48">
        <v>81</v>
      </c>
      <c r="D104" s="76">
        <v>36.6</v>
      </c>
      <c r="E104" s="48">
        <v>31.4</v>
      </c>
      <c r="F104" s="48">
        <v>0.8</v>
      </c>
      <c r="G104" s="48">
        <v>96</v>
      </c>
      <c r="H104" s="48">
        <v>480</v>
      </c>
      <c r="I104" s="49">
        <v>3</v>
      </c>
      <c r="J104" s="48">
        <v>7</v>
      </c>
      <c r="K104" s="48">
        <v>7</v>
      </c>
    </row>
    <row r="105" spans="1:11" x14ac:dyDescent="0.35">
      <c r="A105" s="55" t="s">
        <v>168</v>
      </c>
      <c r="B105" s="48" t="s">
        <v>198</v>
      </c>
      <c r="C105" s="48">
        <v>79</v>
      </c>
      <c r="D105" s="76">
        <v>13.35</v>
      </c>
      <c r="E105" s="48">
        <v>29.2</v>
      </c>
      <c r="F105" s="48">
        <v>0</v>
      </c>
      <c r="G105" s="48">
        <v>100</v>
      </c>
      <c r="H105" s="48">
        <v>2000</v>
      </c>
      <c r="I105" s="49">
        <v>3</v>
      </c>
      <c r="J105" s="48">
        <v>2</v>
      </c>
      <c r="K105" s="48">
        <v>2</v>
      </c>
    </row>
    <row r="106" spans="1:11" x14ac:dyDescent="0.35">
      <c r="A106" s="55" t="s">
        <v>168</v>
      </c>
      <c r="B106" s="48" t="s">
        <v>199</v>
      </c>
      <c r="C106" s="48">
        <v>92</v>
      </c>
      <c r="D106" s="76">
        <v>15.6</v>
      </c>
      <c r="E106" s="48">
        <v>23.5</v>
      </c>
      <c r="F106" s="48">
        <v>0.7</v>
      </c>
      <c r="G106" s="48">
        <v>2</v>
      </c>
      <c r="H106" s="48">
        <v>480</v>
      </c>
      <c r="I106" s="49">
        <v>2</v>
      </c>
      <c r="J106" s="48">
        <v>1</v>
      </c>
      <c r="K106" s="48">
        <v>1</v>
      </c>
    </row>
    <row r="107" spans="1:11" x14ac:dyDescent="0.35">
      <c r="A107" s="55" t="s">
        <v>168</v>
      </c>
      <c r="B107" s="48" t="s">
        <v>199</v>
      </c>
      <c r="C107" s="48">
        <v>79</v>
      </c>
      <c r="D107" s="76">
        <v>7.6</v>
      </c>
      <c r="E107" s="48">
        <v>25.4</v>
      </c>
      <c r="F107" s="48">
        <v>0</v>
      </c>
      <c r="G107" s="48">
        <v>100</v>
      </c>
      <c r="H107" s="48">
        <v>2000</v>
      </c>
      <c r="I107" s="49">
        <v>2</v>
      </c>
      <c r="J107" s="48">
        <v>2</v>
      </c>
      <c r="K107" s="48">
        <v>5</v>
      </c>
    </row>
    <row r="108" spans="1:11" x14ac:dyDescent="0.35">
      <c r="A108" s="55" t="s">
        <v>168</v>
      </c>
      <c r="B108" s="48" t="s">
        <v>183</v>
      </c>
      <c r="C108" s="48">
        <v>89</v>
      </c>
      <c r="D108" s="76">
        <v>1</v>
      </c>
      <c r="E108" s="48">
        <v>22.2</v>
      </c>
      <c r="F108" s="48">
        <v>0</v>
      </c>
      <c r="G108" s="48">
        <v>100</v>
      </c>
      <c r="H108" s="48">
        <v>1420</v>
      </c>
      <c r="I108" s="49">
        <v>3</v>
      </c>
      <c r="J108" s="48">
        <v>4</v>
      </c>
      <c r="K108" s="48">
        <v>4</v>
      </c>
    </row>
    <row r="109" spans="1:11" x14ac:dyDescent="0.35">
      <c r="A109" s="55" t="s">
        <v>168</v>
      </c>
      <c r="B109" s="48" t="s">
        <v>183</v>
      </c>
      <c r="C109" s="48">
        <v>72</v>
      </c>
      <c r="D109" s="48">
        <v>0.75</v>
      </c>
      <c r="E109" s="48">
        <v>25</v>
      </c>
      <c r="F109" s="48">
        <v>0.9</v>
      </c>
      <c r="G109" s="48">
        <v>100</v>
      </c>
      <c r="H109" s="48">
        <v>2000</v>
      </c>
      <c r="I109" s="49">
        <v>3</v>
      </c>
      <c r="J109" s="48">
        <v>2</v>
      </c>
      <c r="K109" s="48">
        <v>3</v>
      </c>
    </row>
    <row r="110" spans="1:11" x14ac:dyDescent="0.35">
      <c r="A110" s="55" t="s">
        <v>168</v>
      </c>
      <c r="B110" s="48" t="s">
        <v>185</v>
      </c>
      <c r="C110" s="48">
        <v>60</v>
      </c>
      <c r="D110" s="76">
        <v>44</v>
      </c>
      <c r="E110" s="48">
        <v>32.6</v>
      </c>
      <c r="F110" s="48">
        <v>0</v>
      </c>
      <c r="G110" s="48">
        <v>85</v>
      </c>
      <c r="H110" s="48">
        <v>1420</v>
      </c>
      <c r="I110" s="49">
        <v>1</v>
      </c>
      <c r="J110" s="48">
        <v>2</v>
      </c>
      <c r="K110" s="48">
        <v>4</v>
      </c>
    </row>
    <row r="111" spans="1:11" x14ac:dyDescent="0.35">
      <c r="A111" s="55" t="s">
        <v>168</v>
      </c>
      <c r="B111" s="48" t="s">
        <v>185</v>
      </c>
      <c r="C111" s="48">
        <v>79</v>
      </c>
      <c r="D111" s="76">
        <v>39.200000000000003</v>
      </c>
      <c r="E111" s="48">
        <v>31.4</v>
      </c>
      <c r="F111" s="48">
        <v>0</v>
      </c>
      <c r="G111" s="48">
        <v>100</v>
      </c>
      <c r="H111" s="48">
        <v>2000</v>
      </c>
      <c r="I111" s="49">
        <v>1</v>
      </c>
      <c r="J111" s="48">
        <v>0</v>
      </c>
      <c r="K111" s="48">
        <v>0</v>
      </c>
    </row>
    <row r="112" spans="1:11" x14ac:dyDescent="0.35">
      <c r="A112" s="55" t="s">
        <v>168</v>
      </c>
      <c r="B112" s="48" t="s">
        <v>186</v>
      </c>
      <c r="C112" s="48">
        <v>76</v>
      </c>
      <c r="D112" s="76">
        <v>1.53</v>
      </c>
      <c r="E112" s="48">
        <v>25.4</v>
      </c>
      <c r="F112" s="48">
        <v>0</v>
      </c>
      <c r="G112" s="48">
        <v>100</v>
      </c>
      <c r="H112" s="48">
        <v>1420</v>
      </c>
      <c r="I112" s="49">
        <v>6</v>
      </c>
      <c r="J112" s="48">
        <v>4</v>
      </c>
      <c r="K112" s="48">
        <v>5</v>
      </c>
    </row>
    <row r="113" spans="1:11" x14ac:dyDescent="0.35">
      <c r="A113" s="48" t="s">
        <v>172</v>
      </c>
      <c r="B113" s="48" t="s">
        <v>177</v>
      </c>
      <c r="C113" s="48">
        <v>96</v>
      </c>
      <c r="D113" s="76">
        <v>1.1299999999999999</v>
      </c>
      <c r="E113" s="48">
        <v>26.4</v>
      </c>
      <c r="F113" s="48">
        <v>0</v>
      </c>
      <c r="G113" s="48">
        <v>100</v>
      </c>
      <c r="H113" s="48">
        <v>2000</v>
      </c>
      <c r="I113" s="49">
        <v>3</v>
      </c>
      <c r="J113" s="48">
        <v>5</v>
      </c>
      <c r="K113" s="48">
        <v>5</v>
      </c>
    </row>
    <row r="114" spans="1:11" x14ac:dyDescent="0.35">
      <c r="A114" s="48" t="s">
        <v>172</v>
      </c>
      <c r="B114" s="48" t="s">
        <v>200</v>
      </c>
      <c r="C114" s="48">
        <v>99</v>
      </c>
      <c r="D114" s="76">
        <v>0.28000000000000003</v>
      </c>
      <c r="E114" s="48">
        <v>23.5</v>
      </c>
      <c r="F114" s="48">
        <v>0</v>
      </c>
      <c r="G114" s="48">
        <v>100</v>
      </c>
      <c r="H114" s="48">
        <v>650</v>
      </c>
      <c r="I114" s="49">
        <v>5</v>
      </c>
      <c r="J114" s="48">
        <v>7</v>
      </c>
      <c r="K114" s="48">
        <v>10</v>
      </c>
    </row>
    <row r="115" spans="1:11" x14ac:dyDescent="0.35">
      <c r="A115" s="48" t="s">
        <v>172</v>
      </c>
      <c r="B115" s="48" t="s">
        <v>180</v>
      </c>
      <c r="C115" s="48">
        <v>96</v>
      </c>
      <c r="D115" s="76">
        <v>0.64</v>
      </c>
      <c r="E115" s="48">
        <v>24.9</v>
      </c>
      <c r="F115" s="48">
        <v>0</v>
      </c>
      <c r="G115" s="48">
        <v>100</v>
      </c>
      <c r="H115" s="48">
        <v>650</v>
      </c>
      <c r="I115" s="49">
        <v>5</v>
      </c>
      <c r="J115" s="48">
        <v>9</v>
      </c>
      <c r="K115" s="48">
        <v>9</v>
      </c>
    </row>
    <row r="116" spans="1:11" x14ac:dyDescent="0.35">
      <c r="A116" s="48" t="s">
        <v>172</v>
      </c>
      <c r="B116" s="48" t="s">
        <v>181</v>
      </c>
      <c r="C116" s="48">
        <v>98</v>
      </c>
      <c r="D116" s="76">
        <v>2.2799999999999998</v>
      </c>
      <c r="E116" s="48">
        <v>23.7</v>
      </c>
      <c r="F116" s="48">
        <v>0</v>
      </c>
      <c r="G116" s="48">
        <v>100</v>
      </c>
      <c r="H116" s="48">
        <v>650</v>
      </c>
      <c r="I116" s="49">
        <v>3</v>
      </c>
      <c r="J116" s="48">
        <v>4</v>
      </c>
      <c r="K116" s="48">
        <v>4</v>
      </c>
    </row>
    <row r="117" spans="1:11" x14ac:dyDescent="0.35">
      <c r="A117" s="48" t="s">
        <v>172</v>
      </c>
      <c r="B117" s="48" t="s">
        <v>198</v>
      </c>
      <c r="C117" s="48">
        <v>99</v>
      </c>
      <c r="D117" s="76">
        <v>7.2350000000000003</v>
      </c>
      <c r="E117" s="48">
        <v>24.6</v>
      </c>
      <c r="F117" s="48">
        <v>1.4</v>
      </c>
      <c r="G117" s="48">
        <v>100</v>
      </c>
      <c r="H117" s="48">
        <v>650</v>
      </c>
      <c r="I117" s="49">
        <v>3</v>
      </c>
      <c r="J117" s="48">
        <v>10</v>
      </c>
      <c r="K117" s="48">
        <v>16</v>
      </c>
    </row>
    <row r="118" spans="1:11" x14ac:dyDescent="0.35">
      <c r="A118" s="48" t="s">
        <v>172</v>
      </c>
      <c r="B118" s="48" t="s">
        <v>199</v>
      </c>
      <c r="C118" s="48">
        <v>78</v>
      </c>
      <c r="D118" s="76">
        <v>17.850000000000001</v>
      </c>
      <c r="E118" s="48">
        <v>26.8</v>
      </c>
      <c r="F118" s="48">
        <v>0.7</v>
      </c>
      <c r="G118" s="48">
        <v>100</v>
      </c>
      <c r="H118" s="48">
        <v>650</v>
      </c>
      <c r="I118" s="49">
        <v>2</v>
      </c>
      <c r="J118" s="48">
        <v>3</v>
      </c>
      <c r="K118" s="48">
        <v>3</v>
      </c>
    </row>
    <row r="119" spans="1:11" x14ac:dyDescent="0.35">
      <c r="A119" s="48" t="s">
        <v>172</v>
      </c>
      <c r="B119" s="48" t="s">
        <v>183</v>
      </c>
      <c r="C119" s="48">
        <v>84</v>
      </c>
      <c r="D119" s="76">
        <v>0.5</v>
      </c>
      <c r="E119" s="48">
        <v>25.9</v>
      </c>
      <c r="F119" s="48">
        <v>0</v>
      </c>
      <c r="G119" s="48">
        <v>100</v>
      </c>
      <c r="H119" s="48">
        <v>2000</v>
      </c>
      <c r="I119" s="49">
        <v>3</v>
      </c>
      <c r="J119" s="48">
        <v>4</v>
      </c>
      <c r="K119" s="48">
        <v>4</v>
      </c>
    </row>
    <row r="120" spans="1:11" x14ac:dyDescent="0.35">
      <c r="A120" s="48" t="s">
        <v>172</v>
      </c>
      <c r="B120" s="48" t="s">
        <v>186</v>
      </c>
      <c r="C120" s="48">
        <v>83</v>
      </c>
      <c r="D120" s="76">
        <v>1.1299999999999999</v>
      </c>
      <c r="E120" s="48">
        <v>25.5</v>
      </c>
      <c r="F120" s="48">
        <v>0</v>
      </c>
      <c r="G120" s="48">
        <v>100</v>
      </c>
      <c r="H120" s="48">
        <v>2000</v>
      </c>
      <c r="I120" s="49">
        <v>6</v>
      </c>
      <c r="J120" s="48">
        <v>9</v>
      </c>
      <c r="K120" s="48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33"/>
  <sheetViews>
    <sheetView tabSelected="1" topLeftCell="H63" workbookViewId="0">
      <selection activeCell="T66" sqref="T66:T67"/>
    </sheetView>
  </sheetViews>
  <sheetFormatPr defaultRowHeight="14.5" x14ac:dyDescent="0.35"/>
  <cols>
    <col min="2" max="2" width="12" style="152" customWidth="1"/>
    <col min="7" max="7" width="11.1796875" style="101" customWidth="1"/>
    <col min="14" max="14" width="8.7265625" style="152"/>
  </cols>
  <sheetData>
    <row r="1" spans="1:110" ht="156.5" x14ac:dyDescent="0.35">
      <c r="A1" s="51" t="s">
        <v>196</v>
      </c>
      <c r="B1" s="107" t="s">
        <v>187</v>
      </c>
      <c r="C1" s="52" t="s">
        <v>188</v>
      </c>
      <c r="D1" s="54" t="s">
        <v>189</v>
      </c>
      <c r="E1" s="52" t="s">
        <v>190</v>
      </c>
      <c r="F1" s="52" t="s">
        <v>191</v>
      </c>
      <c r="G1" s="88" t="s">
        <v>10</v>
      </c>
      <c r="H1" s="52" t="s">
        <v>201</v>
      </c>
      <c r="I1" s="52" t="s">
        <v>192</v>
      </c>
      <c r="J1" s="52" t="s">
        <v>197</v>
      </c>
      <c r="K1" s="53" t="s">
        <v>194</v>
      </c>
      <c r="L1" s="48" t="s">
        <v>195</v>
      </c>
      <c r="M1" s="48" t="s">
        <v>175</v>
      </c>
      <c r="N1" s="154" t="s">
        <v>214</v>
      </c>
      <c r="O1" s="132" t="s">
        <v>22</v>
      </c>
      <c r="P1" s="132" t="s">
        <v>23</v>
      </c>
      <c r="Q1" s="132" t="s">
        <v>24</v>
      </c>
      <c r="R1" s="132" t="s">
        <v>25</v>
      </c>
      <c r="S1" s="132" t="s">
        <v>26</v>
      </c>
      <c r="T1" s="132" t="s">
        <v>27</v>
      </c>
      <c r="U1" s="132" t="s">
        <v>28</v>
      </c>
      <c r="V1" s="132" t="s">
        <v>29</v>
      </c>
      <c r="W1" s="132" t="s">
        <v>30</v>
      </c>
      <c r="X1" s="132" t="s">
        <v>31</v>
      </c>
      <c r="Y1" s="132" t="s">
        <v>32</v>
      </c>
      <c r="Z1" s="132" t="s">
        <v>33</v>
      </c>
      <c r="AA1" s="132" t="s">
        <v>34</v>
      </c>
      <c r="AB1" s="132" t="s">
        <v>35</v>
      </c>
      <c r="AC1" s="133" t="s">
        <v>36</v>
      </c>
      <c r="AD1" s="132" t="s">
        <v>37</v>
      </c>
      <c r="AE1" s="132" t="s">
        <v>38</v>
      </c>
      <c r="AF1" s="132" t="s">
        <v>39</v>
      </c>
      <c r="AG1" s="132" t="s">
        <v>40</v>
      </c>
      <c r="AH1" s="132" t="s">
        <v>41</v>
      </c>
      <c r="AI1" s="132" t="s">
        <v>42</v>
      </c>
      <c r="AJ1" s="132" t="s">
        <v>43</v>
      </c>
      <c r="AK1" s="132" t="s">
        <v>44</v>
      </c>
      <c r="AL1" s="134" t="s">
        <v>45</v>
      </c>
      <c r="AM1" s="132" t="s">
        <v>46</v>
      </c>
      <c r="AN1" s="132" t="s">
        <v>47</v>
      </c>
      <c r="AO1" s="132" t="s">
        <v>48</v>
      </c>
      <c r="AP1" s="132" t="s">
        <v>49</v>
      </c>
      <c r="AQ1" s="132" t="s">
        <v>50</v>
      </c>
      <c r="AR1" s="134" t="s">
        <v>51</v>
      </c>
      <c r="AS1" s="134" t="s">
        <v>52</v>
      </c>
      <c r="AT1" s="132" t="s">
        <v>53</v>
      </c>
      <c r="AU1" s="132" t="s">
        <v>54</v>
      </c>
      <c r="AV1" s="134" t="s">
        <v>55</v>
      </c>
      <c r="AW1" s="132" t="s">
        <v>56</v>
      </c>
      <c r="AX1" s="133" t="s">
        <v>57</v>
      </c>
      <c r="AY1" s="133" t="s">
        <v>58</v>
      </c>
      <c r="AZ1" s="132" t="s">
        <v>59</v>
      </c>
      <c r="BA1" s="132" t="s">
        <v>60</v>
      </c>
      <c r="BB1" s="132" t="s">
        <v>61</v>
      </c>
      <c r="BC1" s="132" t="s">
        <v>62</v>
      </c>
      <c r="BD1" s="132" t="s">
        <v>63</v>
      </c>
      <c r="BE1" s="132" t="s">
        <v>64</v>
      </c>
      <c r="BF1" s="132" t="s">
        <v>65</v>
      </c>
      <c r="BG1" s="132" t="s">
        <v>66</v>
      </c>
      <c r="BH1" s="132" t="s">
        <v>67</v>
      </c>
      <c r="BI1" s="132" t="s">
        <v>68</v>
      </c>
      <c r="BJ1" s="132" t="s">
        <v>69</v>
      </c>
      <c r="BK1" s="132" t="s">
        <v>70</v>
      </c>
      <c r="BL1" s="133" t="s">
        <v>71</v>
      </c>
      <c r="BM1" s="132" t="s">
        <v>72</v>
      </c>
      <c r="BN1" s="132" t="s">
        <v>73</v>
      </c>
      <c r="BO1" s="132" t="s">
        <v>74</v>
      </c>
      <c r="BP1" s="132" t="s">
        <v>75</v>
      </c>
      <c r="BQ1" s="133" t="s">
        <v>76</v>
      </c>
      <c r="BR1" s="132" t="s">
        <v>77</v>
      </c>
      <c r="BS1" s="133" t="s">
        <v>78</v>
      </c>
      <c r="BT1" s="133" t="s">
        <v>79</v>
      </c>
      <c r="BU1" s="132" t="s">
        <v>80</v>
      </c>
      <c r="BV1" s="135" t="s">
        <v>81</v>
      </c>
      <c r="BW1" s="132" t="s">
        <v>82</v>
      </c>
      <c r="BX1" s="134" t="s">
        <v>83</v>
      </c>
      <c r="BY1" s="132" t="s">
        <v>84</v>
      </c>
      <c r="BZ1" s="132" t="s">
        <v>85</v>
      </c>
      <c r="CA1" s="132" t="s">
        <v>86</v>
      </c>
      <c r="CB1" s="132" t="s">
        <v>87</v>
      </c>
      <c r="CC1" s="132" t="s">
        <v>88</v>
      </c>
      <c r="CD1" s="132" t="s">
        <v>89</v>
      </c>
      <c r="CE1" s="132" t="s">
        <v>90</v>
      </c>
      <c r="CF1" s="132" t="s">
        <v>91</v>
      </c>
      <c r="CG1" s="132" t="s">
        <v>92</v>
      </c>
      <c r="CH1" s="132" t="s">
        <v>93</v>
      </c>
      <c r="CI1" s="132" t="s">
        <v>94</v>
      </c>
      <c r="CJ1" s="132" t="s">
        <v>95</v>
      </c>
      <c r="CK1" s="132" t="s">
        <v>96</v>
      </c>
      <c r="CL1" s="132" t="s">
        <v>97</v>
      </c>
      <c r="CM1" s="132" t="s">
        <v>98</v>
      </c>
      <c r="CN1" s="132" t="s">
        <v>99</v>
      </c>
      <c r="CO1" s="132" t="s">
        <v>100</v>
      </c>
      <c r="CP1" s="132" t="s">
        <v>102</v>
      </c>
      <c r="CQ1" s="136" t="s">
        <v>103</v>
      </c>
      <c r="CR1" s="136" t="s">
        <v>104</v>
      </c>
      <c r="CS1" s="132" t="s">
        <v>105</v>
      </c>
      <c r="CT1" s="132" t="s">
        <v>106</v>
      </c>
      <c r="CU1" s="132" t="s">
        <v>107</v>
      </c>
      <c r="CV1" s="132" t="s">
        <v>108</v>
      </c>
      <c r="CW1" s="133" t="s">
        <v>109</v>
      </c>
      <c r="CX1" s="133" t="s">
        <v>110</v>
      </c>
      <c r="CY1" s="132" t="s">
        <v>111</v>
      </c>
      <c r="CZ1" s="132" t="s">
        <v>112</v>
      </c>
      <c r="DA1" s="132" t="s">
        <v>113</v>
      </c>
      <c r="DB1" s="134" t="s">
        <v>114</v>
      </c>
      <c r="DC1" s="132" t="s">
        <v>115</v>
      </c>
      <c r="DD1" s="132" t="s">
        <v>116</v>
      </c>
      <c r="DE1" s="132" t="s">
        <v>117</v>
      </c>
      <c r="DF1" s="132" t="s">
        <v>118</v>
      </c>
    </row>
    <row r="2" spans="1:110" s="191" customFormat="1" x14ac:dyDescent="0.35">
      <c r="A2" s="186" t="s">
        <v>146</v>
      </c>
      <c r="B2" s="187">
        <v>700</v>
      </c>
      <c r="C2" s="186">
        <v>94</v>
      </c>
      <c r="D2" s="188">
        <v>0.5</v>
      </c>
      <c r="E2" s="186">
        <v>24.8</v>
      </c>
      <c r="F2" s="186">
        <v>0</v>
      </c>
      <c r="G2" s="189" t="s">
        <v>149</v>
      </c>
      <c r="H2" s="189">
        <v>105</v>
      </c>
      <c r="I2" s="186">
        <v>100</v>
      </c>
      <c r="J2" s="186">
        <v>870</v>
      </c>
      <c r="K2" s="189">
        <v>5</v>
      </c>
      <c r="L2" s="190">
        <v>2</v>
      </c>
      <c r="M2" s="190">
        <v>6</v>
      </c>
      <c r="N2" s="192">
        <f>ABS(B2-J2)</f>
        <v>170</v>
      </c>
      <c r="AC2" s="186"/>
      <c r="AK2" s="190"/>
      <c r="AL2" s="186"/>
      <c r="AR2" s="186"/>
      <c r="AS2" s="186"/>
      <c r="AV2" s="186"/>
      <c r="AX2" s="186"/>
      <c r="AY2" s="186"/>
      <c r="BL2" s="186"/>
      <c r="BQ2" s="186"/>
      <c r="BS2" s="186"/>
      <c r="BT2" s="186"/>
      <c r="BX2" s="186"/>
      <c r="CK2" s="192">
        <v>5</v>
      </c>
      <c r="CM2" s="190"/>
      <c r="CO2" s="190"/>
      <c r="CQ2" s="186"/>
      <c r="CR2" s="186"/>
      <c r="CW2" s="186">
        <v>1</v>
      </c>
      <c r="CX2" s="186"/>
      <c r="DB2" s="186"/>
    </row>
    <row r="3" spans="1:110" s="191" customFormat="1" x14ac:dyDescent="0.35">
      <c r="A3" s="186" t="s">
        <v>146</v>
      </c>
      <c r="B3" s="187">
        <v>870</v>
      </c>
      <c r="C3" s="186">
        <v>99</v>
      </c>
      <c r="D3" s="193">
        <v>7.59</v>
      </c>
      <c r="E3" s="186">
        <v>23.9</v>
      </c>
      <c r="F3" s="186">
        <v>0</v>
      </c>
      <c r="G3" s="189" t="s">
        <v>149</v>
      </c>
      <c r="H3" s="189">
        <v>105</v>
      </c>
      <c r="I3" s="186">
        <v>100</v>
      </c>
      <c r="J3" s="186">
        <v>870</v>
      </c>
      <c r="K3" s="189">
        <v>3</v>
      </c>
      <c r="L3" s="190">
        <v>5</v>
      </c>
      <c r="M3" s="190">
        <v>6</v>
      </c>
      <c r="N3" s="192">
        <f t="shared" ref="N3:N66" si="0">ABS(B3-J3)</f>
        <v>0</v>
      </c>
      <c r="P3" s="190"/>
      <c r="AC3" s="186"/>
      <c r="AL3" s="186"/>
      <c r="AR3" s="186"/>
      <c r="AS3" s="186"/>
      <c r="AV3" s="186"/>
      <c r="AX3" s="186"/>
      <c r="AY3" s="186"/>
      <c r="BH3" s="190"/>
      <c r="BL3" s="186"/>
      <c r="BQ3" s="186"/>
      <c r="BS3" s="186"/>
      <c r="BT3" s="186"/>
      <c r="BX3" s="186"/>
      <c r="BY3" s="190"/>
      <c r="CF3" s="190">
        <v>1</v>
      </c>
      <c r="CH3" s="192">
        <v>1</v>
      </c>
      <c r="CI3" s="190">
        <v>1</v>
      </c>
      <c r="CQ3" s="186"/>
      <c r="CR3" s="186"/>
      <c r="CU3" s="192">
        <v>2</v>
      </c>
      <c r="CW3" s="186"/>
      <c r="CX3" s="186"/>
      <c r="CY3" s="192">
        <v>1</v>
      </c>
      <c r="DB3" s="186"/>
    </row>
    <row r="4" spans="1:110" s="191" customFormat="1" x14ac:dyDescent="0.35">
      <c r="A4" s="186" t="s">
        <v>146</v>
      </c>
      <c r="B4" s="187">
        <v>1000</v>
      </c>
      <c r="C4" s="186">
        <v>99</v>
      </c>
      <c r="D4" s="193">
        <v>13.05</v>
      </c>
      <c r="E4" s="186">
        <v>25.9</v>
      </c>
      <c r="F4" s="186">
        <v>0.45</v>
      </c>
      <c r="G4" s="189" t="s">
        <v>149</v>
      </c>
      <c r="H4" s="189">
        <v>105</v>
      </c>
      <c r="I4" s="186">
        <v>100</v>
      </c>
      <c r="J4" s="186">
        <v>870</v>
      </c>
      <c r="K4" s="189">
        <v>3</v>
      </c>
      <c r="L4" s="190">
        <v>4</v>
      </c>
      <c r="M4" s="190">
        <v>4</v>
      </c>
      <c r="N4" s="192">
        <f t="shared" si="0"/>
        <v>130</v>
      </c>
      <c r="AC4" s="186"/>
      <c r="AE4" s="190"/>
      <c r="AL4" s="186"/>
      <c r="AR4" s="186"/>
      <c r="AS4" s="186"/>
      <c r="AV4" s="186"/>
      <c r="AX4" s="186"/>
      <c r="AY4" s="186"/>
      <c r="AZ4" s="190"/>
      <c r="BC4" s="190"/>
      <c r="BD4" s="190"/>
      <c r="BL4" s="186"/>
      <c r="BQ4" s="186"/>
      <c r="BS4" s="186"/>
      <c r="BT4" s="186"/>
      <c r="BX4" s="186">
        <v>1</v>
      </c>
      <c r="CC4" s="190"/>
      <c r="CE4" s="190"/>
      <c r="CF4" s="190"/>
      <c r="CI4" s="192">
        <v>1</v>
      </c>
      <c r="CJ4" s="192">
        <v>1</v>
      </c>
      <c r="CQ4" s="186"/>
      <c r="CR4" s="186"/>
      <c r="CU4" s="192">
        <v>1</v>
      </c>
      <c r="CW4" s="186"/>
      <c r="CX4" s="186"/>
      <c r="DB4" s="186"/>
    </row>
    <row r="5" spans="1:110" s="191" customFormat="1" x14ac:dyDescent="0.35">
      <c r="A5" s="186" t="s">
        <v>146</v>
      </c>
      <c r="B5" s="187">
        <v>1100</v>
      </c>
      <c r="C5" s="186">
        <v>93</v>
      </c>
      <c r="D5" s="193">
        <v>6.64</v>
      </c>
      <c r="E5" s="186">
        <v>26</v>
      </c>
      <c r="F5" s="186">
        <v>0</v>
      </c>
      <c r="G5" s="189" t="s">
        <v>149</v>
      </c>
      <c r="H5" s="189">
        <v>105</v>
      </c>
      <c r="I5" s="186">
        <v>100</v>
      </c>
      <c r="J5" s="186">
        <v>870</v>
      </c>
      <c r="K5" s="189">
        <v>2</v>
      </c>
      <c r="L5" s="190">
        <v>7</v>
      </c>
      <c r="M5" s="190">
        <v>13</v>
      </c>
      <c r="N5" s="192">
        <f t="shared" si="0"/>
        <v>230</v>
      </c>
      <c r="X5" s="192">
        <v>1</v>
      </c>
      <c r="AC5" s="186"/>
      <c r="AL5" s="186"/>
      <c r="AR5" s="186"/>
      <c r="AS5" s="186"/>
      <c r="AU5" s="192">
        <v>2</v>
      </c>
      <c r="AV5" s="186"/>
      <c r="AX5" s="186"/>
      <c r="AY5" s="186"/>
      <c r="BF5" s="192">
        <v>3</v>
      </c>
      <c r="BH5" s="192">
        <v>2</v>
      </c>
      <c r="BL5" s="186"/>
      <c r="BM5" s="192">
        <v>3</v>
      </c>
      <c r="BQ5" s="186"/>
      <c r="BS5" s="186"/>
      <c r="BT5" s="186"/>
      <c r="BX5" s="186"/>
      <c r="BZ5" s="192">
        <v>1</v>
      </c>
      <c r="CA5" s="192">
        <v>1</v>
      </c>
      <c r="CK5" s="190"/>
      <c r="CQ5" s="186"/>
      <c r="CR5" s="186"/>
      <c r="CW5" s="186"/>
      <c r="CX5" s="186"/>
      <c r="DB5" s="186"/>
    </row>
    <row r="6" spans="1:110" s="191" customFormat="1" x14ac:dyDescent="0.35">
      <c r="A6" s="186" t="s">
        <v>146</v>
      </c>
      <c r="B6" s="187">
        <v>1420</v>
      </c>
      <c r="C6" s="186">
        <v>96</v>
      </c>
      <c r="D6" s="193">
        <v>15.05</v>
      </c>
      <c r="E6" s="186">
        <v>30.2</v>
      </c>
      <c r="F6" s="186">
        <v>0</v>
      </c>
      <c r="G6" s="189" t="s">
        <v>149</v>
      </c>
      <c r="H6" s="189">
        <v>105</v>
      </c>
      <c r="I6" s="186">
        <v>100</v>
      </c>
      <c r="J6" s="186">
        <v>2000</v>
      </c>
      <c r="K6" s="189">
        <v>6</v>
      </c>
      <c r="L6" s="190">
        <v>2</v>
      </c>
      <c r="M6" s="190">
        <v>6</v>
      </c>
      <c r="N6" s="192">
        <f t="shared" si="0"/>
        <v>580</v>
      </c>
      <c r="AC6" s="186"/>
      <c r="AE6" s="190"/>
      <c r="AL6" s="186"/>
      <c r="AM6" s="190"/>
      <c r="AR6" s="186"/>
      <c r="AS6" s="186"/>
      <c r="AV6" s="186"/>
      <c r="AX6" s="186"/>
      <c r="AY6" s="186"/>
      <c r="BC6" s="192">
        <v>1</v>
      </c>
      <c r="BL6" s="186"/>
      <c r="BQ6" s="186"/>
      <c r="BS6" s="186"/>
      <c r="BT6" s="186"/>
      <c r="BX6" s="186"/>
      <c r="CC6" s="190"/>
      <c r="CF6" s="190"/>
      <c r="CL6" s="192">
        <v>5</v>
      </c>
      <c r="CQ6" s="186"/>
      <c r="CR6" s="186"/>
      <c r="CW6" s="186"/>
      <c r="CX6" s="186"/>
      <c r="DB6" s="186"/>
    </row>
    <row r="7" spans="1:110" x14ac:dyDescent="0.35">
      <c r="A7" s="55" t="s">
        <v>146</v>
      </c>
      <c r="B7" s="161">
        <v>700</v>
      </c>
      <c r="C7" s="59">
        <v>94</v>
      </c>
      <c r="D7" s="70">
        <v>0.5</v>
      </c>
      <c r="E7" s="55">
        <v>23</v>
      </c>
      <c r="F7" s="55">
        <v>0</v>
      </c>
      <c r="G7" s="93" t="s">
        <v>150</v>
      </c>
      <c r="H7" s="77">
        <v>108</v>
      </c>
      <c r="I7" s="55">
        <v>100</v>
      </c>
      <c r="J7" s="55">
        <v>2000</v>
      </c>
      <c r="K7" s="57">
        <v>5</v>
      </c>
      <c r="L7" s="48">
        <v>5</v>
      </c>
      <c r="M7" s="48">
        <v>5</v>
      </c>
      <c r="N7" s="192">
        <f t="shared" si="0"/>
        <v>1300</v>
      </c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9"/>
      <c r="AD7" s="137"/>
      <c r="AE7" s="102">
        <v>1</v>
      </c>
      <c r="AF7" s="137"/>
      <c r="AG7" s="137"/>
      <c r="AH7" s="137"/>
      <c r="AI7" s="137"/>
      <c r="AJ7" s="137"/>
      <c r="AK7" s="137"/>
      <c r="AL7" s="139"/>
      <c r="AM7" s="102">
        <v>1</v>
      </c>
      <c r="AN7" s="137"/>
      <c r="AO7" s="137"/>
      <c r="AP7" s="137"/>
      <c r="AQ7" s="137"/>
      <c r="AR7" s="139"/>
      <c r="AS7" s="139"/>
      <c r="AT7" s="137"/>
      <c r="AU7" s="137"/>
      <c r="AV7" s="139"/>
      <c r="AW7" s="137"/>
      <c r="AX7" s="139">
        <v>1</v>
      </c>
      <c r="AY7" s="139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9"/>
      <c r="BM7" s="137"/>
      <c r="BN7" s="137"/>
      <c r="BO7" s="137"/>
      <c r="BP7" s="137"/>
      <c r="BQ7" s="139"/>
      <c r="BR7" s="137"/>
      <c r="BS7" s="139"/>
      <c r="BT7" s="139"/>
      <c r="BU7" s="137"/>
      <c r="BV7" s="137"/>
      <c r="BW7" s="137"/>
      <c r="BX7" s="139"/>
      <c r="BY7" s="137"/>
      <c r="BZ7" s="137"/>
      <c r="CA7" s="137"/>
      <c r="CB7" s="137"/>
      <c r="CC7" s="102">
        <v>1</v>
      </c>
      <c r="CD7" s="137"/>
      <c r="CE7" s="137"/>
      <c r="CF7" s="102">
        <v>1</v>
      </c>
      <c r="CG7" s="137"/>
      <c r="CH7" s="137"/>
      <c r="CI7" s="137"/>
      <c r="CJ7" s="137"/>
      <c r="CK7" s="137"/>
      <c r="CL7" s="137"/>
      <c r="CM7" s="137"/>
      <c r="CN7" s="137"/>
      <c r="CO7" s="137"/>
      <c r="CP7" s="137"/>
      <c r="CQ7" s="139"/>
      <c r="CR7" s="139"/>
      <c r="CS7" s="137"/>
      <c r="CT7" s="137"/>
      <c r="CU7" s="137"/>
      <c r="CV7" s="137"/>
      <c r="CW7" s="139"/>
      <c r="CX7" s="139"/>
      <c r="CY7" s="137"/>
      <c r="CZ7" s="137"/>
      <c r="DA7" s="137"/>
      <c r="DB7" s="139"/>
      <c r="DC7" s="137"/>
      <c r="DD7" s="137"/>
      <c r="DE7" s="137"/>
      <c r="DF7" s="137"/>
    </row>
    <row r="8" spans="1:110" x14ac:dyDescent="0.35">
      <c r="A8" s="55" t="s">
        <v>146</v>
      </c>
      <c r="B8" s="161">
        <v>700</v>
      </c>
      <c r="C8" s="160">
        <v>94</v>
      </c>
      <c r="D8" s="162">
        <v>0.5</v>
      </c>
      <c r="E8" s="55">
        <v>22</v>
      </c>
      <c r="F8" s="55">
        <v>0</v>
      </c>
      <c r="G8" s="93" t="s">
        <v>151</v>
      </c>
      <c r="H8" s="77">
        <v>111</v>
      </c>
      <c r="I8" s="55">
        <v>100</v>
      </c>
      <c r="J8" s="55">
        <v>2000</v>
      </c>
      <c r="K8" s="57">
        <v>5</v>
      </c>
      <c r="L8" s="48">
        <v>1</v>
      </c>
      <c r="M8" s="48">
        <v>1</v>
      </c>
      <c r="N8" s="192">
        <f t="shared" si="0"/>
        <v>1300</v>
      </c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9"/>
      <c r="AD8" s="137"/>
      <c r="AE8" s="137"/>
      <c r="AF8" s="137"/>
      <c r="AG8" s="137"/>
      <c r="AH8" s="137"/>
      <c r="AI8" s="137"/>
      <c r="AJ8" s="137"/>
      <c r="AK8" s="137"/>
      <c r="AL8" s="139">
        <v>1</v>
      </c>
      <c r="AM8" s="137"/>
      <c r="AN8" s="137"/>
      <c r="AO8" s="137"/>
      <c r="AP8" s="137"/>
      <c r="AQ8" s="137"/>
      <c r="AR8" s="139"/>
      <c r="AS8" s="139"/>
      <c r="AT8" s="137"/>
      <c r="AU8" s="137"/>
      <c r="AV8" s="139"/>
      <c r="AW8" s="137"/>
      <c r="AX8" s="139"/>
      <c r="AY8" s="139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9"/>
      <c r="BM8" s="137"/>
      <c r="BN8" s="137"/>
      <c r="BO8" s="137"/>
      <c r="BP8" s="137"/>
      <c r="BQ8" s="139"/>
      <c r="BR8" s="137"/>
      <c r="BS8" s="139"/>
      <c r="BT8" s="139"/>
      <c r="BU8" s="137"/>
      <c r="BV8" s="137"/>
      <c r="BW8" s="137"/>
      <c r="BX8" s="139"/>
      <c r="BY8" s="137"/>
      <c r="BZ8" s="137"/>
      <c r="CA8" s="137"/>
      <c r="CB8" s="137"/>
      <c r="CC8" s="137"/>
      <c r="CD8" s="137"/>
      <c r="CE8" s="137"/>
      <c r="CF8" s="154"/>
      <c r="CG8" s="137"/>
      <c r="CH8" s="154"/>
      <c r="CI8" s="154"/>
      <c r="CJ8" s="137"/>
      <c r="CK8" s="137"/>
      <c r="CL8" s="137"/>
      <c r="CM8" s="137"/>
      <c r="CN8" s="137"/>
      <c r="CO8" s="137"/>
      <c r="CP8" s="137"/>
      <c r="CQ8" s="139"/>
      <c r="CR8" s="139"/>
      <c r="CS8" s="137"/>
      <c r="CT8" s="137"/>
      <c r="CU8" s="154"/>
      <c r="CV8" s="137"/>
      <c r="CW8" s="139"/>
      <c r="CX8" s="139"/>
      <c r="CY8" s="154"/>
      <c r="CZ8" s="137"/>
      <c r="DA8" s="137"/>
      <c r="DB8" s="139"/>
      <c r="DC8" s="137"/>
      <c r="DD8" s="137"/>
      <c r="DE8" s="137"/>
      <c r="DF8" s="137"/>
    </row>
    <row r="9" spans="1:110" x14ac:dyDescent="0.35">
      <c r="A9" s="55" t="s">
        <v>146</v>
      </c>
      <c r="B9" s="161">
        <v>480</v>
      </c>
      <c r="C9" s="55">
        <v>99</v>
      </c>
      <c r="D9" s="162">
        <v>0.27700000000000002</v>
      </c>
      <c r="E9" s="55">
        <v>26.4</v>
      </c>
      <c r="F9" s="55">
        <v>0</v>
      </c>
      <c r="G9" s="93" t="s">
        <v>147</v>
      </c>
      <c r="H9" s="77">
        <v>117</v>
      </c>
      <c r="I9" s="55">
        <v>100</v>
      </c>
      <c r="J9" s="55">
        <v>2000</v>
      </c>
      <c r="K9" s="57">
        <v>4</v>
      </c>
      <c r="L9" s="48">
        <v>6</v>
      </c>
      <c r="M9" s="48">
        <v>22</v>
      </c>
      <c r="N9" s="192">
        <f t="shared" si="0"/>
        <v>1520</v>
      </c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9">
        <v>2</v>
      </c>
      <c r="AD9" s="137"/>
      <c r="AE9" s="137"/>
      <c r="AF9" s="137"/>
      <c r="AG9" s="137"/>
      <c r="AH9" s="137"/>
      <c r="AI9" s="137"/>
      <c r="AJ9" s="137"/>
      <c r="AK9" s="102">
        <v>1</v>
      </c>
      <c r="AL9" s="139"/>
      <c r="AM9" s="137"/>
      <c r="AN9" s="137"/>
      <c r="AO9" s="137"/>
      <c r="AP9" s="137"/>
      <c r="AQ9" s="137"/>
      <c r="AR9" s="139"/>
      <c r="AS9" s="139"/>
      <c r="AT9" s="137"/>
      <c r="AU9" s="137"/>
      <c r="AV9" s="139"/>
      <c r="AW9" s="137"/>
      <c r="AX9" s="139"/>
      <c r="AY9" s="139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9">
        <v>1</v>
      </c>
      <c r="BM9" s="137"/>
      <c r="BN9" s="137"/>
      <c r="BO9" s="137"/>
      <c r="BP9" s="137"/>
      <c r="BQ9" s="139"/>
      <c r="BR9" s="137"/>
      <c r="BS9" s="139"/>
      <c r="BT9" s="139">
        <v>3</v>
      </c>
      <c r="BU9" s="137"/>
      <c r="BV9" s="137"/>
      <c r="BW9" s="137"/>
      <c r="BX9" s="139"/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54"/>
      <c r="CJ9" s="154"/>
      <c r="CK9" s="137"/>
      <c r="CL9" s="137"/>
      <c r="CM9" s="102">
        <v>4</v>
      </c>
      <c r="CN9" s="137"/>
      <c r="CO9" s="102">
        <v>11</v>
      </c>
      <c r="CP9" s="137"/>
      <c r="CQ9" s="139"/>
      <c r="CR9" s="139"/>
      <c r="CS9" s="137"/>
      <c r="CT9" s="137"/>
      <c r="CU9" s="154"/>
      <c r="CV9" s="137"/>
      <c r="CW9" s="139"/>
      <c r="CX9" s="139"/>
      <c r="CY9" s="137"/>
      <c r="CZ9" s="137"/>
      <c r="DA9" s="137"/>
      <c r="DB9" s="139"/>
      <c r="DC9" s="137"/>
      <c r="DD9" s="137"/>
      <c r="DE9" s="137"/>
      <c r="DF9" s="137"/>
    </row>
    <row r="10" spans="1:110" x14ac:dyDescent="0.35">
      <c r="A10" s="55" t="s">
        <v>146</v>
      </c>
      <c r="B10" s="161">
        <v>1100</v>
      </c>
      <c r="C10" s="55">
        <v>59</v>
      </c>
      <c r="D10" s="58">
        <v>39.5</v>
      </c>
      <c r="E10" s="55">
        <v>31.13</v>
      </c>
      <c r="F10" s="55">
        <v>2.1</v>
      </c>
      <c r="G10" s="93" t="s">
        <v>152</v>
      </c>
      <c r="H10" s="77">
        <v>118</v>
      </c>
      <c r="I10" s="55">
        <v>100</v>
      </c>
      <c r="J10" s="55">
        <v>2000</v>
      </c>
      <c r="K10" s="57">
        <v>2</v>
      </c>
      <c r="L10" s="48">
        <v>4</v>
      </c>
      <c r="M10" s="48">
        <v>9</v>
      </c>
      <c r="N10" s="192">
        <f t="shared" si="0"/>
        <v>900</v>
      </c>
      <c r="O10" s="137"/>
      <c r="P10" s="137"/>
      <c r="Q10" s="137"/>
      <c r="R10" s="137"/>
      <c r="S10" s="137"/>
      <c r="T10" s="137"/>
      <c r="U10" s="137"/>
      <c r="V10" s="137"/>
      <c r="W10" s="137"/>
      <c r="X10" s="154"/>
      <c r="Y10" s="137"/>
      <c r="Z10" s="137"/>
      <c r="AA10" s="137"/>
      <c r="AB10" s="137"/>
      <c r="AC10" s="139"/>
      <c r="AD10" s="137"/>
      <c r="AE10" s="137"/>
      <c r="AF10" s="137"/>
      <c r="AG10" s="137"/>
      <c r="AH10" s="137"/>
      <c r="AI10" s="137"/>
      <c r="AJ10" s="137"/>
      <c r="AK10" s="137"/>
      <c r="AL10" s="139"/>
      <c r="AM10" s="137"/>
      <c r="AN10" s="137"/>
      <c r="AO10" s="137"/>
      <c r="AP10" s="137"/>
      <c r="AQ10" s="137"/>
      <c r="AR10" s="139">
        <v>3</v>
      </c>
      <c r="AS10" s="139"/>
      <c r="AT10" s="102">
        <v>3</v>
      </c>
      <c r="AU10" s="138">
        <v>1</v>
      </c>
      <c r="AV10" s="139"/>
      <c r="AW10" s="137"/>
      <c r="AX10" s="139"/>
      <c r="AY10" s="139"/>
      <c r="AZ10" s="137"/>
      <c r="BA10" s="137"/>
      <c r="BB10" s="137"/>
      <c r="BC10" s="137"/>
      <c r="BD10" s="137"/>
      <c r="BE10" s="137"/>
      <c r="BF10" s="154"/>
      <c r="BG10" s="137"/>
      <c r="BH10" s="154"/>
      <c r="BI10" s="137"/>
      <c r="BJ10" s="137"/>
      <c r="BK10" s="137"/>
      <c r="BL10" s="139"/>
      <c r="BM10" s="138">
        <v>2</v>
      </c>
      <c r="BN10" s="137"/>
      <c r="BO10" s="137"/>
      <c r="BP10" s="137"/>
      <c r="BQ10" s="139"/>
      <c r="BR10" s="137"/>
      <c r="BS10" s="139"/>
      <c r="BT10" s="139"/>
      <c r="BU10" s="137"/>
      <c r="BV10" s="137"/>
      <c r="BW10" s="137"/>
      <c r="BX10" s="139"/>
      <c r="BY10" s="137"/>
      <c r="BZ10" s="154"/>
      <c r="CA10" s="154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9"/>
      <c r="CR10" s="139"/>
      <c r="CS10" s="137"/>
      <c r="CT10" s="137"/>
      <c r="CU10" s="137"/>
      <c r="CV10" s="137"/>
      <c r="CW10" s="139"/>
      <c r="CX10" s="139"/>
      <c r="CY10" s="137"/>
      <c r="CZ10" s="137"/>
      <c r="DA10" s="137"/>
      <c r="DB10" s="139"/>
      <c r="DC10" s="137"/>
      <c r="DD10" s="137"/>
      <c r="DE10" s="137"/>
      <c r="DF10" s="137"/>
    </row>
    <row r="11" spans="1:110" x14ac:dyDescent="0.35">
      <c r="A11" s="55" t="s">
        <v>146</v>
      </c>
      <c r="B11" s="161">
        <v>1100</v>
      </c>
      <c r="C11" s="55">
        <v>80</v>
      </c>
      <c r="D11" s="58">
        <v>6.56</v>
      </c>
      <c r="E11" s="55">
        <v>23.9</v>
      </c>
      <c r="F11" s="55">
        <v>0</v>
      </c>
      <c r="G11" s="93" t="s">
        <v>152</v>
      </c>
      <c r="H11" s="77">
        <v>118</v>
      </c>
      <c r="I11" s="55">
        <v>100</v>
      </c>
      <c r="J11" s="55">
        <v>2000</v>
      </c>
      <c r="K11" s="57">
        <v>2</v>
      </c>
      <c r="L11" s="48">
        <v>0</v>
      </c>
      <c r="M11" s="48">
        <v>0</v>
      </c>
      <c r="N11" s="192">
        <f t="shared" si="0"/>
        <v>900</v>
      </c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9"/>
      <c r="AD11" s="137"/>
      <c r="AE11" s="137"/>
      <c r="AF11" s="137"/>
      <c r="AG11" s="137"/>
      <c r="AH11" s="137"/>
      <c r="AI11" s="137"/>
      <c r="AJ11" s="137"/>
      <c r="AK11" s="137"/>
      <c r="AL11" s="139"/>
      <c r="AM11" s="137"/>
      <c r="AN11" s="137"/>
      <c r="AO11" s="137"/>
      <c r="AP11" s="137"/>
      <c r="AQ11" s="137"/>
      <c r="AR11" s="139"/>
      <c r="AS11" s="139"/>
      <c r="AT11" s="154"/>
      <c r="AU11" s="154"/>
      <c r="AV11" s="139"/>
      <c r="AW11" s="137"/>
      <c r="AX11" s="139"/>
      <c r="AY11" s="139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9"/>
      <c r="BM11" s="154"/>
      <c r="BN11" s="137"/>
      <c r="BO11" s="137"/>
      <c r="BP11" s="137"/>
      <c r="BQ11" s="139"/>
      <c r="BR11" s="137"/>
      <c r="BS11" s="139"/>
      <c r="BT11" s="139"/>
      <c r="BU11" s="137"/>
      <c r="BV11" s="137"/>
      <c r="BW11" s="137"/>
      <c r="BX11" s="139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/>
      <c r="CL11" s="137"/>
      <c r="CM11" s="137"/>
      <c r="CN11" s="137"/>
      <c r="CO11" s="137"/>
      <c r="CP11" s="137"/>
      <c r="CQ11" s="139"/>
      <c r="CR11" s="139"/>
      <c r="CS11" s="137"/>
      <c r="CT11" s="137"/>
      <c r="CU11" s="137"/>
      <c r="CV11" s="137"/>
      <c r="CW11" s="139"/>
      <c r="CX11" s="139"/>
      <c r="CY11" s="137"/>
      <c r="CZ11" s="137"/>
      <c r="DA11" s="137"/>
      <c r="DB11" s="139"/>
      <c r="DC11" s="137"/>
      <c r="DD11" s="137"/>
      <c r="DE11" s="137"/>
      <c r="DF11" s="137"/>
    </row>
    <row r="12" spans="1:110" x14ac:dyDescent="0.35">
      <c r="A12" s="55" t="s">
        <v>146</v>
      </c>
      <c r="B12" s="161">
        <v>1250</v>
      </c>
      <c r="C12" s="55">
        <v>79</v>
      </c>
      <c r="D12" s="58">
        <v>15.5</v>
      </c>
      <c r="E12" s="55">
        <v>28.3</v>
      </c>
      <c r="F12" s="55">
        <v>0</v>
      </c>
      <c r="G12" s="93" t="s">
        <v>152</v>
      </c>
      <c r="H12" s="77">
        <v>118</v>
      </c>
      <c r="I12" s="55">
        <v>100</v>
      </c>
      <c r="J12" s="55">
        <v>1360</v>
      </c>
      <c r="K12" s="57">
        <v>3</v>
      </c>
      <c r="L12" s="48">
        <v>3</v>
      </c>
      <c r="M12" s="48">
        <v>3</v>
      </c>
      <c r="N12" s="192">
        <f t="shared" si="0"/>
        <v>110</v>
      </c>
      <c r="O12" s="137"/>
      <c r="P12" s="137"/>
      <c r="Q12" s="137"/>
      <c r="R12" s="137"/>
      <c r="S12" s="137"/>
      <c r="T12" s="137"/>
      <c r="U12" s="137"/>
      <c r="V12" s="102">
        <v>1</v>
      </c>
      <c r="W12" s="137"/>
      <c r="X12" s="102">
        <v>1</v>
      </c>
      <c r="Y12" s="137"/>
      <c r="Z12" s="137"/>
      <c r="AA12" s="137"/>
      <c r="AB12" s="137"/>
      <c r="AC12" s="139"/>
      <c r="AD12" s="137"/>
      <c r="AE12" s="137"/>
      <c r="AF12" s="137"/>
      <c r="AG12" s="137"/>
      <c r="AH12" s="137"/>
      <c r="AI12" s="137"/>
      <c r="AJ12" s="137"/>
      <c r="AK12" s="137"/>
      <c r="AL12" s="139"/>
      <c r="AM12" s="137"/>
      <c r="AN12" s="137"/>
      <c r="AO12" s="137"/>
      <c r="AP12" s="137"/>
      <c r="AQ12" s="137"/>
      <c r="AR12" s="139"/>
      <c r="AS12" s="139"/>
      <c r="AT12" s="137"/>
      <c r="AU12" s="137"/>
      <c r="AV12" s="139"/>
      <c r="AW12" s="137"/>
      <c r="AX12" s="139"/>
      <c r="AY12" s="139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9"/>
      <c r="BM12" s="137"/>
      <c r="BN12" s="137"/>
      <c r="BO12" s="137"/>
      <c r="BP12" s="137"/>
      <c r="BQ12" s="139"/>
      <c r="BR12" s="137"/>
      <c r="BS12" s="139"/>
      <c r="BT12" s="139"/>
      <c r="BU12" s="137"/>
      <c r="BV12" s="137"/>
      <c r="BW12" s="137"/>
      <c r="BX12" s="139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9"/>
      <c r="CR12" s="139"/>
      <c r="CS12" s="137"/>
      <c r="CT12" s="137"/>
      <c r="CU12" s="137"/>
      <c r="CV12" s="137"/>
      <c r="CW12" s="139"/>
      <c r="CX12" s="139"/>
      <c r="CY12" s="102">
        <v>1</v>
      </c>
      <c r="CZ12" s="137"/>
      <c r="DA12" s="137"/>
      <c r="DB12" s="139"/>
      <c r="DC12" s="137"/>
      <c r="DD12" s="137"/>
      <c r="DE12" s="137"/>
      <c r="DF12" s="137"/>
    </row>
    <row r="13" spans="1:110" x14ac:dyDescent="0.35">
      <c r="A13" s="55" t="s">
        <v>146</v>
      </c>
      <c r="B13" s="161">
        <v>1250</v>
      </c>
      <c r="C13" s="55">
        <v>79</v>
      </c>
      <c r="D13" s="58">
        <v>4.87</v>
      </c>
      <c r="E13" s="55">
        <v>25.2</v>
      </c>
      <c r="F13" s="55">
        <v>0</v>
      </c>
      <c r="G13" s="93" t="s">
        <v>152</v>
      </c>
      <c r="H13" s="77">
        <v>118</v>
      </c>
      <c r="I13" s="55">
        <v>100</v>
      </c>
      <c r="J13" s="55">
        <v>2000</v>
      </c>
      <c r="K13" s="57">
        <v>3</v>
      </c>
      <c r="L13" s="48">
        <v>0</v>
      </c>
      <c r="M13" s="48">
        <v>0</v>
      </c>
      <c r="N13" s="192">
        <f t="shared" si="0"/>
        <v>750</v>
      </c>
      <c r="O13" s="137"/>
      <c r="P13" s="137"/>
      <c r="Q13" s="137"/>
      <c r="R13" s="137"/>
      <c r="S13" s="137"/>
      <c r="T13" s="137"/>
      <c r="U13" s="137"/>
      <c r="V13" s="154"/>
      <c r="W13" s="137"/>
      <c r="X13" s="154"/>
      <c r="Y13" s="137"/>
      <c r="Z13" s="137"/>
      <c r="AA13" s="137"/>
      <c r="AB13" s="137"/>
      <c r="AC13" s="139"/>
      <c r="AD13" s="137"/>
      <c r="AE13" s="137"/>
      <c r="AF13" s="137"/>
      <c r="AG13" s="137"/>
      <c r="AH13" s="137"/>
      <c r="AI13" s="137"/>
      <c r="AJ13" s="137"/>
      <c r="AK13" s="137"/>
      <c r="AL13" s="139"/>
      <c r="AM13" s="137"/>
      <c r="AN13" s="137"/>
      <c r="AO13" s="137"/>
      <c r="AP13" s="137"/>
      <c r="AQ13" s="137"/>
      <c r="AR13" s="139"/>
      <c r="AS13" s="139"/>
      <c r="AT13" s="137"/>
      <c r="AU13" s="137"/>
      <c r="AV13" s="139"/>
      <c r="AW13" s="137"/>
      <c r="AX13" s="139"/>
      <c r="AY13" s="139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9"/>
      <c r="BM13" s="137"/>
      <c r="BN13" s="137"/>
      <c r="BO13" s="137"/>
      <c r="BP13" s="137"/>
      <c r="BQ13" s="139"/>
      <c r="BR13" s="137"/>
      <c r="BS13" s="139"/>
      <c r="BT13" s="139"/>
      <c r="BU13" s="137"/>
      <c r="BV13" s="137"/>
      <c r="BW13" s="137"/>
      <c r="BX13" s="139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9"/>
      <c r="CR13" s="139"/>
      <c r="CS13" s="137"/>
      <c r="CT13" s="137"/>
      <c r="CU13" s="137"/>
      <c r="CV13" s="137"/>
      <c r="CW13" s="139"/>
      <c r="CX13" s="139"/>
      <c r="CY13" s="154"/>
      <c r="CZ13" s="137"/>
      <c r="DA13" s="137"/>
      <c r="DB13" s="139"/>
      <c r="DC13" s="137"/>
      <c r="DD13" s="137"/>
      <c r="DE13" s="137"/>
      <c r="DF13" s="137"/>
    </row>
    <row r="14" spans="1:110" s="177" customFormat="1" x14ac:dyDescent="0.35">
      <c r="A14" s="172" t="s">
        <v>146</v>
      </c>
      <c r="B14" s="173">
        <v>1360</v>
      </c>
      <c r="C14" s="172">
        <v>86</v>
      </c>
      <c r="D14" s="174">
        <v>19.5</v>
      </c>
      <c r="E14" s="172">
        <v>27.4</v>
      </c>
      <c r="F14" s="172">
        <v>2.9</v>
      </c>
      <c r="G14" s="175" t="s">
        <v>152</v>
      </c>
      <c r="H14" s="175">
        <v>118</v>
      </c>
      <c r="I14" s="172">
        <v>100</v>
      </c>
      <c r="J14" s="172">
        <v>1360</v>
      </c>
      <c r="K14" s="175">
        <v>1</v>
      </c>
      <c r="L14" s="176">
        <v>3</v>
      </c>
      <c r="M14" s="176">
        <v>5</v>
      </c>
      <c r="N14" s="192">
        <f t="shared" si="0"/>
        <v>0</v>
      </c>
      <c r="X14" s="183">
        <v>2</v>
      </c>
      <c r="AC14" s="172"/>
      <c r="AL14" s="172"/>
      <c r="AR14" s="172">
        <v>2</v>
      </c>
      <c r="AS14" s="172"/>
      <c r="AV14" s="172"/>
      <c r="AX14" s="172"/>
      <c r="AY14" s="172"/>
      <c r="BL14" s="172"/>
      <c r="BQ14" s="172"/>
      <c r="BS14" s="172"/>
      <c r="BT14" s="172"/>
      <c r="BX14" s="172"/>
      <c r="CQ14" s="172"/>
      <c r="CR14" s="172"/>
      <c r="CW14" s="172"/>
      <c r="CX14" s="172"/>
      <c r="CY14" s="183">
        <v>1</v>
      </c>
      <c r="DB14" s="172"/>
    </row>
    <row r="15" spans="1:110" x14ac:dyDescent="0.35">
      <c r="A15" s="55" t="s">
        <v>146</v>
      </c>
      <c r="B15" s="161">
        <v>1420</v>
      </c>
      <c r="C15" s="55">
        <v>79</v>
      </c>
      <c r="D15" s="58">
        <v>0.56999999999999995</v>
      </c>
      <c r="E15" s="55">
        <v>24.8</v>
      </c>
      <c r="F15" s="55">
        <v>0</v>
      </c>
      <c r="G15" s="93" t="s">
        <v>152</v>
      </c>
      <c r="H15" s="77">
        <v>118</v>
      </c>
      <c r="I15" s="55">
        <v>100</v>
      </c>
      <c r="J15" s="55">
        <v>1360</v>
      </c>
      <c r="K15" s="57">
        <v>6</v>
      </c>
      <c r="L15" s="48">
        <v>3</v>
      </c>
      <c r="M15" s="48">
        <v>4</v>
      </c>
      <c r="N15" s="192">
        <f t="shared" si="0"/>
        <v>60</v>
      </c>
      <c r="O15" s="137"/>
      <c r="P15" s="137"/>
      <c r="Q15" s="137"/>
      <c r="R15" s="137"/>
      <c r="S15" s="137"/>
      <c r="T15" s="137"/>
      <c r="U15" s="137"/>
      <c r="V15" s="102">
        <v>1</v>
      </c>
      <c r="W15" s="137"/>
      <c r="X15" s="138">
        <v>1</v>
      </c>
      <c r="Y15" s="137"/>
      <c r="Z15" s="137"/>
      <c r="AA15" s="137"/>
      <c r="AB15" s="137"/>
      <c r="AC15" s="139"/>
      <c r="AD15" s="137"/>
      <c r="AE15" s="137"/>
      <c r="AF15" s="137"/>
      <c r="AG15" s="137"/>
      <c r="AH15" s="137"/>
      <c r="AI15" s="137"/>
      <c r="AJ15" s="137"/>
      <c r="AK15" s="137"/>
      <c r="AL15" s="139"/>
      <c r="AM15" s="137"/>
      <c r="AN15" s="137"/>
      <c r="AO15" s="137"/>
      <c r="AP15" s="137"/>
      <c r="AQ15" s="137"/>
      <c r="AR15" s="139">
        <v>2</v>
      </c>
      <c r="AS15" s="139"/>
      <c r="AT15" s="137"/>
      <c r="AU15" s="137"/>
      <c r="AV15" s="139"/>
      <c r="AW15" s="137"/>
      <c r="AX15" s="139"/>
      <c r="AY15" s="139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9"/>
      <c r="BM15" s="137"/>
      <c r="BN15" s="137"/>
      <c r="BO15" s="137"/>
      <c r="BP15" s="137"/>
      <c r="BQ15" s="139"/>
      <c r="BR15" s="137"/>
      <c r="BS15" s="139"/>
      <c r="BT15" s="139"/>
      <c r="BU15" s="137"/>
      <c r="BV15" s="137"/>
      <c r="BW15" s="137"/>
      <c r="BX15" s="139"/>
      <c r="BY15" s="137"/>
      <c r="BZ15" s="137"/>
      <c r="CA15" s="137"/>
      <c r="CB15" s="137"/>
      <c r="CC15" s="137"/>
      <c r="CD15" s="137"/>
      <c r="CE15" s="137"/>
      <c r="CF15" s="137"/>
      <c r="CG15" s="137"/>
      <c r="CH15" s="137"/>
      <c r="CI15" s="137"/>
      <c r="CJ15" s="137"/>
      <c r="CK15" s="137"/>
      <c r="CL15" s="137"/>
      <c r="CM15" s="137"/>
      <c r="CN15" s="137"/>
      <c r="CO15" s="137"/>
      <c r="CP15" s="137"/>
      <c r="CQ15" s="139"/>
      <c r="CR15" s="139"/>
      <c r="CS15" s="137"/>
      <c r="CT15" s="137"/>
      <c r="CU15" s="137"/>
      <c r="CV15" s="137"/>
      <c r="CW15" s="139"/>
      <c r="CX15" s="139"/>
      <c r="CY15" s="154"/>
      <c r="CZ15" s="137"/>
      <c r="DA15" s="137"/>
      <c r="DB15" s="139"/>
      <c r="DC15" s="137"/>
      <c r="DD15" s="137"/>
      <c r="DE15" s="137"/>
      <c r="DF15" s="137"/>
    </row>
    <row r="16" spans="1:110" x14ac:dyDescent="0.35">
      <c r="A16" s="55" t="s">
        <v>146</v>
      </c>
      <c r="B16" s="156">
        <v>1420</v>
      </c>
      <c r="C16" s="55">
        <v>57</v>
      </c>
      <c r="D16" s="58">
        <v>153.19999999999999</v>
      </c>
      <c r="E16" s="55">
        <v>30.2</v>
      </c>
      <c r="F16" s="55">
        <v>0.4</v>
      </c>
      <c r="G16" s="93" t="s">
        <v>152</v>
      </c>
      <c r="H16" s="77">
        <v>118</v>
      </c>
      <c r="I16" s="55">
        <v>100</v>
      </c>
      <c r="J16" s="55">
        <v>2000</v>
      </c>
      <c r="K16" s="57">
        <v>6</v>
      </c>
      <c r="L16" s="48">
        <v>2</v>
      </c>
      <c r="M16" s="48">
        <v>3</v>
      </c>
      <c r="N16" s="192">
        <f t="shared" si="0"/>
        <v>580</v>
      </c>
      <c r="O16" s="137"/>
      <c r="P16" s="137"/>
      <c r="Q16" s="137"/>
      <c r="R16" s="137"/>
      <c r="S16" s="137"/>
      <c r="T16" s="137"/>
      <c r="U16" s="137"/>
      <c r="V16" s="154"/>
      <c r="W16" s="137"/>
      <c r="X16" s="154"/>
      <c r="Y16" s="137"/>
      <c r="Z16" s="137"/>
      <c r="AA16" s="137"/>
      <c r="AB16" s="137"/>
      <c r="AC16" s="139"/>
      <c r="AD16" s="137"/>
      <c r="AE16" s="137"/>
      <c r="AF16" s="137"/>
      <c r="AG16" s="137"/>
      <c r="AH16" s="137"/>
      <c r="AI16" s="137"/>
      <c r="AJ16" s="137"/>
      <c r="AK16" s="137"/>
      <c r="AL16" s="139"/>
      <c r="AM16" s="137"/>
      <c r="AN16" s="137"/>
      <c r="AO16" s="137"/>
      <c r="AP16" s="137"/>
      <c r="AQ16" s="137"/>
      <c r="AR16" s="139"/>
      <c r="AS16" s="139"/>
      <c r="AT16" s="137"/>
      <c r="AU16" s="137"/>
      <c r="AV16" s="139"/>
      <c r="AW16" s="137"/>
      <c r="AX16" s="139"/>
      <c r="AY16" s="139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9"/>
      <c r="BM16" s="137"/>
      <c r="BN16" s="137"/>
      <c r="BO16" s="102">
        <v>1</v>
      </c>
      <c r="BP16" s="102">
        <v>2</v>
      </c>
      <c r="BQ16" s="139"/>
      <c r="BR16" s="137"/>
      <c r="BS16" s="139"/>
      <c r="BT16" s="139"/>
      <c r="BU16" s="137"/>
      <c r="BV16" s="137"/>
      <c r="BW16" s="137"/>
      <c r="BX16" s="139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9"/>
      <c r="CR16" s="139"/>
      <c r="CS16" s="137"/>
      <c r="CT16" s="137"/>
      <c r="CU16" s="137"/>
      <c r="CV16" s="137"/>
      <c r="CW16" s="139"/>
      <c r="CX16" s="139"/>
      <c r="CY16" s="137"/>
      <c r="CZ16" s="137"/>
      <c r="DA16" s="137"/>
      <c r="DB16" s="139"/>
      <c r="DC16" s="137"/>
      <c r="DD16" s="137"/>
      <c r="DE16" s="137"/>
      <c r="DF16" s="137"/>
    </row>
    <row r="17" spans="1:110" x14ac:dyDescent="0.35">
      <c r="A17" s="55" t="s">
        <v>146</v>
      </c>
      <c r="B17" s="161">
        <v>580</v>
      </c>
      <c r="C17" s="55">
        <v>92</v>
      </c>
      <c r="D17" s="58">
        <v>0.78</v>
      </c>
      <c r="E17" s="55">
        <v>24.6</v>
      </c>
      <c r="F17" s="55">
        <v>0</v>
      </c>
      <c r="G17" s="93" t="s">
        <v>148</v>
      </c>
      <c r="H17" s="77">
        <v>119</v>
      </c>
      <c r="I17" s="55">
        <v>5</v>
      </c>
      <c r="J17" s="55">
        <v>2000</v>
      </c>
      <c r="K17" s="57">
        <v>3</v>
      </c>
      <c r="L17" s="48">
        <v>9</v>
      </c>
      <c r="M17" s="48">
        <v>14</v>
      </c>
      <c r="N17" s="192">
        <f t="shared" si="0"/>
        <v>1420</v>
      </c>
      <c r="O17" s="137"/>
      <c r="P17" s="102">
        <v>1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9">
        <v>3</v>
      </c>
      <c r="AD17" s="137"/>
      <c r="AE17" s="137"/>
      <c r="AF17" s="137"/>
      <c r="AG17" s="137"/>
      <c r="AH17" s="137"/>
      <c r="AI17" s="137"/>
      <c r="AJ17" s="137"/>
      <c r="AK17" s="137"/>
      <c r="AL17" s="139">
        <v>1</v>
      </c>
      <c r="AM17" s="137"/>
      <c r="AN17" s="137"/>
      <c r="AO17" s="137"/>
      <c r="AP17" s="137"/>
      <c r="AQ17" s="137"/>
      <c r="AR17" s="139"/>
      <c r="AS17" s="139"/>
      <c r="AT17" s="137"/>
      <c r="AU17" s="137"/>
      <c r="AV17" s="139"/>
      <c r="AW17" s="137"/>
      <c r="AX17" s="139"/>
      <c r="AY17" s="139"/>
      <c r="AZ17" s="137"/>
      <c r="BA17" s="137"/>
      <c r="BB17" s="137"/>
      <c r="BC17" s="154"/>
      <c r="BD17" s="137"/>
      <c r="BE17" s="137"/>
      <c r="BF17" s="137"/>
      <c r="BG17" s="137"/>
      <c r="BH17" s="102">
        <v>1</v>
      </c>
      <c r="BI17" s="137"/>
      <c r="BJ17" s="137"/>
      <c r="BK17" s="137"/>
      <c r="BL17" s="139"/>
      <c r="BM17" s="137"/>
      <c r="BN17" s="137"/>
      <c r="BO17" s="137"/>
      <c r="BP17" s="137"/>
      <c r="BQ17" s="139"/>
      <c r="BR17" s="137"/>
      <c r="BS17" s="139"/>
      <c r="BT17" s="139">
        <v>4</v>
      </c>
      <c r="BU17" s="137"/>
      <c r="BV17" s="137"/>
      <c r="BW17" s="137"/>
      <c r="BX17" s="139"/>
      <c r="BY17" s="102">
        <v>1</v>
      </c>
      <c r="BZ17" s="137"/>
      <c r="CA17" s="137"/>
      <c r="CB17" s="137"/>
      <c r="CC17" s="137"/>
      <c r="CD17" s="137"/>
      <c r="CE17" s="137"/>
      <c r="CF17" s="102">
        <v>1</v>
      </c>
      <c r="CG17" s="137"/>
      <c r="CH17" s="137"/>
      <c r="CI17" s="102">
        <v>1</v>
      </c>
      <c r="CJ17" s="137"/>
      <c r="CK17" s="137"/>
      <c r="CL17" s="154"/>
      <c r="CM17" s="137"/>
      <c r="CN17" s="137"/>
      <c r="CO17" s="137"/>
      <c r="CP17" s="137"/>
      <c r="CQ17" s="139"/>
      <c r="CR17" s="139"/>
      <c r="CS17" s="137"/>
      <c r="CT17" s="137"/>
      <c r="CU17" s="137"/>
      <c r="CV17" s="137"/>
      <c r="CW17" s="139"/>
      <c r="CX17" s="139"/>
      <c r="CY17" s="137"/>
      <c r="CZ17" s="137"/>
      <c r="DA17" s="137"/>
      <c r="DB17" s="139"/>
      <c r="DC17" s="137"/>
      <c r="DD17" s="137"/>
      <c r="DE17" s="137"/>
      <c r="DF17" s="137"/>
    </row>
    <row r="18" spans="1:110" x14ac:dyDescent="0.35">
      <c r="A18" s="55" t="s">
        <v>146</v>
      </c>
      <c r="B18" s="161">
        <v>700</v>
      </c>
      <c r="C18" s="55">
        <v>94</v>
      </c>
      <c r="D18" s="162">
        <v>0.50800000000000001</v>
      </c>
      <c r="E18" s="55">
        <v>24.8</v>
      </c>
      <c r="F18" s="55">
        <v>0</v>
      </c>
      <c r="G18" s="93" t="s">
        <v>148</v>
      </c>
      <c r="H18" s="77">
        <v>119</v>
      </c>
      <c r="I18" s="55">
        <v>5</v>
      </c>
      <c r="J18" s="55">
        <v>2000</v>
      </c>
      <c r="K18" s="57">
        <v>5</v>
      </c>
      <c r="L18" s="48">
        <v>8</v>
      </c>
      <c r="M18" s="48">
        <v>8</v>
      </c>
      <c r="N18" s="192">
        <f t="shared" si="0"/>
        <v>1300</v>
      </c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9"/>
      <c r="AD18" s="137"/>
      <c r="AE18" s="102">
        <v>1</v>
      </c>
      <c r="AF18" s="137"/>
      <c r="AG18" s="137"/>
      <c r="AH18" s="137"/>
      <c r="AI18" s="137"/>
      <c r="AJ18" s="137"/>
      <c r="AK18" s="137"/>
      <c r="AL18" s="139"/>
      <c r="AM18" s="137"/>
      <c r="AN18" s="137"/>
      <c r="AO18" s="137"/>
      <c r="AP18" s="137"/>
      <c r="AQ18" s="137"/>
      <c r="AR18" s="139"/>
      <c r="AS18" s="139"/>
      <c r="AT18" s="137"/>
      <c r="AU18" s="137"/>
      <c r="AV18" s="139"/>
      <c r="AW18" s="137"/>
      <c r="AX18" s="139"/>
      <c r="AY18" s="139"/>
      <c r="AZ18" s="102">
        <v>1</v>
      </c>
      <c r="BA18" s="137"/>
      <c r="BB18" s="137"/>
      <c r="BC18" s="102">
        <v>1</v>
      </c>
      <c r="BD18" s="102">
        <v>1</v>
      </c>
      <c r="BE18" s="137"/>
      <c r="BF18" s="137"/>
      <c r="BG18" s="137"/>
      <c r="BH18" s="137"/>
      <c r="BI18" s="137"/>
      <c r="BJ18" s="137"/>
      <c r="BK18" s="137"/>
      <c r="BL18" s="139">
        <v>1</v>
      </c>
      <c r="BM18" s="137"/>
      <c r="BN18" s="137"/>
      <c r="BO18" s="154"/>
      <c r="BP18" s="154"/>
      <c r="BQ18" s="139"/>
      <c r="BR18" s="137"/>
      <c r="BS18" s="139"/>
      <c r="BT18" s="139"/>
      <c r="BU18" s="137"/>
      <c r="BV18" s="137"/>
      <c r="BW18" s="137"/>
      <c r="BX18" s="139"/>
      <c r="BY18" s="137"/>
      <c r="BZ18" s="137"/>
      <c r="CA18" s="137"/>
      <c r="CB18" s="137"/>
      <c r="CC18" s="102">
        <v>1</v>
      </c>
      <c r="CD18" s="137"/>
      <c r="CE18" s="102">
        <v>1</v>
      </c>
      <c r="CF18" s="102">
        <v>1</v>
      </c>
      <c r="CG18" s="137"/>
      <c r="CH18" s="137"/>
      <c r="CI18" s="137"/>
      <c r="CJ18" s="137"/>
      <c r="CK18" s="137"/>
      <c r="CL18" s="137"/>
      <c r="CM18" s="137"/>
      <c r="CN18" s="137"/>
      <c r="CO18" s="137"/>
      <c r="CP18" s="137"/>
      <c r="CQ18" s="139"/>
      <c r="CR18" s="139"/>
      <c r="CS18" s="137"/>
      <c r="CT18" s="137"/>
      <c r="CU18" s="137"/>
      <c r="CV18" s="137"/>
      <c r="CW18" s="139"/>
      <c r="CX18" s="139"/>
      <c r="CY18" s="137"/>
      <c r="CZ18" s="137"/>
      <c r="DA18" s="137"/>
      <c r="DB18" s="139"/>
      <c r="DC18" s="137"/>
      <c r="DD18" s="137"/>
      <c r="DE18" s="137"/>
      <c r="DF18" s="137"/>
    </row>
    <row r="19" spans="1:110" x14ac:dyDescent="0.35">
      <c r="A19" s="55" t="s">
        <v>153</v>
      </c>
      <c r="B19" s="161">
        <v>580</v>
      </c>
      <c r="C19" s="55">
        <v>82</v>
      </c>
      <c r="D19" s="162">
        <v>0.19800000000000001</v>
      </c>
      <c r="E19" s="55">
        <v>24.3</v>
      </c>
      <c r="F19" s="55">
        <v>0</v>
      </c>
      <c r="G19" s="97">
        <v>44846</v>
      </c>
      <c r="H19" s="78">
        <v>132</v>
      </c>
      <c r="I19" s="55">
        <v>20</v>
      </c>
      <c r="J19" s="55">
        <v>2000</v>
      </c>
      <c r="K19" s="57">
        <v>3</v>
      </c>
      <c r="L19" s="48">
        <v>9</v>
      </c>
      <c r="M19" s="48">
        <v>12</v>
      </c>
      <c r="N19" s="192">
        <f t="shared" si="0"/>
        <v>1420</v>
      </c>
      <c r="O19" s="140"/>
      <c r="P19" s="140"/>
      <c r="Q19" s="140"/>
      <c r="R19" s="154"/>
      <c r="S19" s="140"/>
      <c r="T19" s="140"/>
      <c r="U19" s="140"/>
      <c r="V19" s="140"/>
      <c r="W19" s="154"/>
      <c r="X19" s="140"/>
      <c r="Y19" s="140"/>
      <c r="Z19" s="140"/>
      <c r="AA19" s="140"/>
      <c r="AB19" s="140"/>
      <c r="AC19" s="142">
        <v>1</v>
      </c>
      <c r="AD19" s="140"/>
      <c r="AE19" s="102">
        <v>1</v>
      </c>
      <c r="AF19" s="140"/>
      <c r="AG19" s="140"/>
      <c r="AH19" s="140"/>
      <c r="AI19" s="140"/>
      <c r="AJ19" s="140"/>
      <c r="AK19" s="140"/>
      <c r="AL19" s="142"/>
      <c r="AM19" s="140"/>
      <c r="AN19" s="140"/>
      <c r="AO19" s="140"/>
      <c r="AP19" s="140"/>
      <c r="AQ19" s="140"/>
      <c r="AR19" s="142"/>
      <c r="AS19" s="142"/>
      <c r="AT19" s="140"/>
      <c r="AU19" s="140"/>
      <c r="AV19" s="142"/>
      <c r="AW19" s="140"/>
      <c r="AX19" s="142"/>
      <c r="AY19" s="142">
        <v>1</v>
      </c>
      <c r="AZ19" s="140"/>
      <c r="BA19" s="140"/>
      <c r="BB19" s="140"/>
      <c r="BC19" s="140"/>
      <c r="BD19" s="140"/>
      <c r="BE19" s="140"/>
      <c r="BF19" s="140"/>
      <c r="BG19" s="140"/>
      <c r="BH19" s="102">
        <v>1</v>
      </c>
      <c r="BI19" s="140"/>
      <c r="BJ19" s="140"/>
      <c r="BK19" s="140"/>
      <c r="BL19" s="142">
        <v>1</v>
      </c>
      <c r="BM19" s="140"/>
      <c r="BN19" s="140"/>
      <c r="BO19" s="140"/>
      <c r="BP19" s="140"/>
      <c r="BQ19" s="142"/>
      <c r="BR19" s="140"/>
      <c r="BS19" s="142"/>
      <c r="BT19" s="142"/>
      <c r="BU19" s="140"/>
      <c r="BV19" s="140"/>
      <c r="BW19" s="140"/>
      <c r="BX19" s="142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02">
        <v>3</v>
      </c>
      <c r="CN19" s="102">
        <v>1</v>
      </c>
      <c r="CO19" s="140"/>
      <c r="CP19" s="140"/>
      <c r="CQ19" s="142"/>
      <c r="CR19" s="142">
        <v>1</v>
      </c>
      <c r="CS19" s="140"/>
      <c r="CT19" s="140"/>
      <c r="CU19" s="141">
        <v>2</v>
      </c>
      <c r="CV19" s="140"/>
      <c r="CW19" s="142"/>
      <c r="CX19" s="142"/>
      <c r="CY19" s="140"/>
      <c r="CZ19" s="140"/>
      <c r="DA19" s="140"/>
      <c r="DB19" s="142"/>
      <c r="DC19" s="140"/>
      <c r="DD19" s="140"/>
      <c r="DE19" s="140"/>
      <c r="DF19" s="140"/>
    </row>
    <row r="20" spans="1:110" x14ac:dyDescent="0.35">
      <c r="A20" s="55" t="s">
        <v>153</v>
      </c>
      <c r="B20" s="161">
        <v>700</v>
      </c>
      <c r="C20" s="55">
        <v>90</v>
      </c>
      <c r="D20" s="162">
        <v>3.5000000000000003E-2</v>
      </c>
      <c r="E20" s="55">
        <v>24.2</v>
      </c>
      <c r="F20" s="55">
        <v>0</v>
      </c>
      <c r="G20" s="163">
        <v>44846</v>
      </c>
      <c r="H20" s="78">
        <v>132</v>
      </c>
      <c r="I20" s="55">
        <v>20</v>
      </c>
      <c r="J20" s="55">
        <v>2000</v>
      </c>
      <c r="K20" s="57">
        <v>5</v>
      </c>
      <c r="L20" s="48">
        <v>1</v>
      </c>
      <c r="M20" s="48">
        <v>1</v>
      </c>
      <c r="N20" s="192">
        <f t="shared" si="0"/>
        <v>1300</v>
      </c>
      <c r="O20" s="140"/>
      <c r="P20" s="140"/>
      <c r="Q20" s="154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2"/>
      <c r="AD20" s="140"/>
      <c r="AE20" s="140"/>
      <c r="AF20" s="140"/>
      <c r="AG20" s="140"/>
      <c r="AH20" s="140"/>
      <c r="AI20" s="140"/>
      <c r="AJ20" s="140"/>
      <c r="AK20" s="140"/>
      <c r="AL20" s="142"/>
      <c r="AM20" s="102">
        <v>1</v>
      </c>
      <c r="AN20" s="140"/>
      <c r="AO20" s="140"/>
      <c r="AP20" s="140"/>
      <c r="AQ20" s="140"/>
      <c r="AR20" s="142"/>
      <c r="AS20" s="142"/>
      <c r="AT20" s="140"/>
      <c r="AU20" s="140"/>
      <c r="AV20" s="142"/>
      <c r="AW20" s="140"/>
      <c r="AX20" s="142"/>
      <c r="AY20" s="142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2"/>
      <c r="BM20" s="140"/>
      <c r="BN20" s="140"/>
      <c r="BO20" s="140"/>
      <c r="BP20" s="140"/>
      <c r="BQ20" s="142"/>
      <c r="BR20" s="140"/>
      <c r="BS20" s="142"/>
      <c r="BT20" s="142"/>
      <c r="BU20" s="140"/>
      <c r="BV20" s="140"/>
      <c r="BW20" s="140"/>
      <c r="BX20" s="142"/>
      <c r="BY20" s="140"/>
      <c r="BZ20" s="140"/>
      <c r="CA20" s="140"/>
      <c r="CB20" s="140"/>
      <c r="CC20" s="154"/>
      <c r="CD20" s="140"/>
      <c r="CE20" s="140"/>
      <c r="CF20" s="140"/>
      <c r="CG20" s="140"/>
      <c r="CH20" s="140"/>
      <c r="CI20" s="140"/>
      <c r="CJ20" s="154"/>
      <c r="CK20" s="140"/>
      <c r="CL20" s="140"/>
      <c r="CM20" s="140"/>
      <c r="CN20" s="140"/>
      <c r="CO20" s="140"/>
      <c r="CP20" s="140"/>
      <c r="CQ20" s="142"/>
      <c r="CR20" s="142"/>
      <c r="CS20" s="140"/>
      <c r="CT20" s="140"/>
      <c r="CU20" s="140"/>
      <c r="CV20" s="140"/>
      <c r="CW20" s="142"/>
      <c r="CX20" s="142"/>
      <c r="CY20" s="154"/>
      <c r="CZ20" s="140"/>
      <c r="DA20" s="140"/>
      <c r="DB20" s="142"/>
      <c r="DC20" s="140"/>
      <c r="DD20" s="140"/>
      <c r="DE20" s="140"/>
      <c r="DF20" s="140"/>
    </row>
    <row r="21" spans="1:110" x14ac:dyDescent="0.35">
      <c r="A21" s="55" t="s">
        <v>153</v>
      </c>
      <c r="B21" s="161">
        <v>480</v>
      </c>
      <c r="C21" s="55">
        <v>98</v>
      </c>
      <c r="D21" s="58">
        <v>7.54</v>
      </c>
      <c r="E21" s="55">
        <v>25.8</v>
      </c>
      <c r="F21" s="55">
        <v>0</v>
      </c>
      <c r="G21" s="163">
        <v>44877</v>
      </c>
      <c r="H21" s="78">
        <v>133</v>
      </c>
      <c r="I21" s="55">
        <v>100</v>
      </c>
      <c r="J21" s="55">
        <v>2000</v>
      </c>
      <c r="K21" s="57">
        <v>4</v>
      </c>
      <c r="L21" s="48">
        <v>5</v>
      </c>
      <c r="M21" s="48">
        <v>7</v>
      </c>
      <c r="N21" s="192">
        <f t="shared" si="0"/>
        <v>1520</v>
      </c>
      <c r="O21" s="140"/>
      <c r="P21" s="140"/>
      <c r="Q21" s="140"/>
      <c r="R21" s="102">
        <v>1</v>
      </c>
      <c r="S21" s="140"/>
      <c r="T21" s="140"/>
      <c r="U21" s="140"/>
      <c r="V21" s="140"/>
      <c r="W21" s="102">
        <v>1</v>
      </c>
      <c r="X21" s="140"/>
      <c r="Y21" s="140"/>
      <c r="Z21" s="140"/>
      <c r="AA21" s="140"/>
      <c r="AB21" s="140"/>
      <c r="AC21" s="142"/>
      <c r="AD21" s="140"/>
      <c r="AE21" s="140"/>
      <c r="AF21" s="140"/>
      <c r="AG21" s="140"/>
      <c r="AH21" s="154"/>
      <c r="AI21" s="140"/>
      <c r="AJ21" s="140"/>
      <c r="AK21" s="140"/>
      <c r="AL21" s="142"/>
      <c r="AM21" s="140"/>
      <c r="AN21" s="140"/>
      <c r="AO21" s="140"/>
      <c r="AP21" s="140"/>
      <c r="AQ21" s="140"/>
      <c r="AR21" s="142"/>
      <c r="AS21" s="142"/>
      <c r="AT21" s="140"/>
      <c r="AU21" s="140"/>
      <c r="AV21" s="142"/>
      <c r="AW21" s="140"/>
      <c r="AX21" s="142">
        <v>1</v>
      </c>
      <c r="AY21" s="142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2"/>
      <c r="BM21" s="140"/>
      <c r="BN21" s="140"/>
      <c r="BO21" s="140"/>
      <c r="BP21" s="140"/>
      <c r="BQ21" s="142"/>
      <c r="BR21" s="140"/>
      <c r="BS21" s="142"/>
      <c r="BT21" s="142">
        <v>2</v>
      </c>
      <c r="BU21" s="140"/>
      <c r="BV21" s="140"/>
      <c r="BW21" s="140"/>
      <c r="BX21" s="142"/>
      <c r="BY21" s="140"/>
      <c r="BZ21" s="140"/>
      <c r="CA21" s="140"/>
      <c r="CB21" s="140"/>
      <c r="CC21" s="140"/>
      <c r="CD21" s="140"/>
      <c r="CE21" s="140"/>
      <c r="CF21" s="154"/>
      <c r="CG21" s="140"/>
      <c r="CH21" s="140"/>
      <c r="CI21" s="140"/>
      <c r="CJ21" s="140"/>
      <c r="CK21" s="140"/>
      <c r="CL21" s="140"/>
      <c r="CM21" s="154"/>
      <c r="CN21" s="140"/>
      <c r="CO21" s="140"/>
      <c r="CP21" s="140"/>
      <c r="CQ21" s="142"/>
      <c r="CR21" s="142"/>
      <c r="CS21" s="140"/>
      <c r="CT21" s="140"/>
      <c r="CU21" s="102">
        <v>2</v>
      </c>
      <c r="CV21" s="140"/>
      <c r="CW21" s="142"/>
      <c r="CX21" s="142"/>
      <c r="CY21" s="140"/>
      <c r="CZ21" s="140"/>
      <c r="DA21" s="140"/>
      <c r="DB21" s="142"/>
      <c r="DC21" s="140"/>
      <c r="DD21" s="140"/>
      <c r="DE21" s="140"/>
      <c r="DF21" s="140"/>
    </row>
    <row r="22" spans="1:110" x14ac:dyDescent="0.35">
      <c r="A22" s="55" t="s">
        <v>153</v>
      </c>
      <c r="B22" s="161">
        <v>700</v>
      </c>
      <c r="C22" s="55">
        <v>61</v>
      </c>
      <c r="D22" s="70">
        <v>9.4E-2</v>
      </c>
      <c r="E22" s="55">
        <v>25.5</v>
      </c>
      <c r="F22" s="55">
        <v>0</v>
      </c>
      <c r="G22" s="97">
        <v>44877</v>
      </c>
      <c r="H22" s="78">
        <v>133</v>
      </c>
      <c r="I22" s="55">
        <v>15</v>
      </c>
      <c r="J22" s="55">
        <v>2000</v>
      </c>
      <c r="K22" s="57">
        <v>5</v>
      </c>
      <c r="L22" s="48">
        <v>6</v>
      </c>
      <c r="M22" s="48">
        <v>8</v>
      </c>
      <c r="N22" s="192">
        <f t="shared" si="0"/>
        <v>1300</v>
      </c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2"/>
      <c r="AD22" s="140"/>
      <c r="AE22" s="141">
        <v>1</v>
      </c>
      <c r="AF22" s="140"/>
      <c r="AG22" s="140"/>
      <c r="AH22" s="140"/>
      <c r="AI22" s="140"/>
      <c r="AJ22" s="102">
        <v>1</v>
      </c>
      <c r="AK22" s="140"/>
      <c r="AL22" s="142"/>
      <c r="AM22" s="140"/>
      <c r="AN22" s="140"/>
      <c r="AO22" s="140"/>
      <c r="AP22" s="140"/>
      <c r="AQ22" s="140"/>
      <c r="AR22" s="142"/>
      <c r="AS22" s="142"/>
      <c r="AT22" s="140"/>
      <c r="AU22" s="140"/>
      <c r="AV22" s="142"/>
      <c r="AW22" s="140"/>
      <c r="AX22" s="142"/>
      <c r="AY22" s="142">
        <v>2</v>
      </c>
      <c r="AZ22" s="140"/>
      <c r="BA22" s="140"/>
      <c r="BB22" s="140"/>
      <c r="BC22" s="102">
        <v>2</v>
      </c>
      <c r="BD22" s="140"/>
      <c r="BE22" s="140"/>
      <c r="BF22" s="140"/>
      <c r="BG22" s="140"/>
      <c r="BH22" s="154"/>
      <c r="BI22" s="140"/>
      <c r="BJ22" s="140"/>
      <c r="BK22" s="140"/>
      <c r="BL22" s="142"/>
      <c r="BM22" s="140"/>
      <c r="BN22" s="140"/>
      <c r="BO22" s="140"/>
      <c r="BP22" s="140"/>
      <c r="BQ22" s="142"/>
      <c r="BR22" s="140"/>
      <c r="BS22" s="142"/>
      <c r="BT22" s="142"/>
      <c r="BU22" s="140"/>
      <c r="BV22" s="140"/>
      <c r="BW22" s="140"/>
      <c r="BX22" s="142"/>
      <c r="BY22" s="140"/>
      <c r="BZ22" s="140"/>
      <c r="CA22" s="140"/>
      <c r="CB22" s="140"/>
      <c r="CC22" s="102">
        <v>1</v>
      </c>
      <c r="CD22" s="140"/>
      <c r="CE22" s="140"/>
      <c r="CF22" s="140"/>
      <c r="CG22" s="140"/>
      <c r="CH22" s="140"/>
      <c r="CI22" s="140"/>
      <c r="CJ22" s="102">
        <v>1</v>
      </c>
      <c r="CK22" s="140"/>
      <c r="CL22" s="140"/>
      <c r="CM22" s="154"/>
      <c r="CN22" s="154"/>
      <c r="CO22" s="140"/>
      <c r="CP22" s="140"/>
      <c r="CQ22" s="142"/>
      <c r="CR22" s="142"/>
      <c r="CS22" s="140"/>
      <c r="CT22" s="140"/>
      <c r="CU22" s="154"/>
      <c r="CV22" s="140"/>
      <c r="CW22" s="142"/>
      <c r="CX22" s="142"/>
      <c r="CY22" s="140"/>
      <c r="CZ22" s="140"/>
      <c r="DA22" s="140"/>
      <c r="DB22" s="142"/>
      <c r="DC22" s="140"/>
      <c r="DD22" s="140"/>
      <c r="DE22" s="140"/>
      <c r="DF22" s="140"/>
    </row>
    <row r="23" spans="1:110" x14ac:dyDescent="0.35">
      <c r="A23" s="55" t="s">
        <v>153</v>
      </c>
      <c r="B23" s="161">
        <v>780</v>
      </c>
      <c r="C23" s="55">
        <v>61</v>
      </c>
      <c r="D23" s="58">
        <v>4.78</v>
      </c>
      <c r="E23" s="55">
        <v>28.7</v>
      </c>
      <c r="F23" s="55">
        <v>0</v>
      </c>
      <c r="G23" s="97">
        <v>44877</v>
      </c>
      <c r="H23" s="78">
        <v>133</v>
      </c>
      <c r="I23" s="55">
        <v>100</v>
      </c>
      <c r="J23" s="55">
        <v>2000</v>
      </c>
      <c r="K23" s="57">
        <v>5</v>
      </c>
      <c r="L23" s="48">
        <v>0</v>
      </c>
      <c r="M23" s="48">
        <v>0</v>
      </c>
      <c r="N23" s="192">
        <f t="shared" si="0"/>
        <v>1220</v>
      </c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2"/>
      <c r="AD23" s="140"/>
      <c r="AE23" s="140"/>
      <c r="AF23" s="140"/>
      <c r="AG23" s="140"/>
      <c r="AH23" s="140"/>
      <c r="AI23" s="140"/>
      <c r="AJ23" s="140"/>
      <c r="AK23" s="140"/>
      <c r="AL23" s="142"/>
      <c r="AM23" s="140"/>
      <c r="AN23" s="140"/>
      <c r="AO23" s="140"/>
      <c r="AP23" s="140"/>
      <c r="AQ23" s="140"/>
      <c r="AR23" s="142"/>
      <c r="AS23" s="142"/>
      <c r="AT23" s="140"/>
      <c r="AU23" s="140"/>
      <c r="AV23" s="142"/>
      <c r="AW23" s="140"/>
      <c r="AX23" s="142"/>
      <c r="AY23" s="142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2"/>
      <c r="BM23" s="140"/>
      <c r="BN23" s="140"/>
      <c r="BO23" s="140"/>
      <c r="BP23" s="140"/>
      <c r="BQ23" s="142"/>
      <c r="BR23" s="140"/>
      <c r="BS23" s="142"/>
      <c r="BT23" s="142"/>
      <c r="BU23" s="140"/>
      <c r="BV23" s="140"/>
      <c r="BW23" s="140"/>
      <c r="BX23" s="142"/>
      <c r="BY23" s="140"/>
      <c r="BZ23" s="140"/>
      <c r="CA23" s="140"/>
      <c r="CB23" s="140"/>
      <c r="CC23" s="140"/>
      <c r="CD23" s="140"/>
      <c r="CE23" s="140"/>
      <c r="CF23" s="154"/>
      <c r="CG23" s="140"/>
      <c r="CH23" s="140"/>
      <c r="CI23" s="140"/>
      <c r="CJ23" s="140"/>
      <c r="CK23" s="154"/>
      <c r="CL23" s="140"/>
      <c r="CM23" s="140"/>
      <c r="CN23" s="140"/>
      <c r="CO23" s="140"/>
      <c r="CP23" s="140"/>
      <c r="CQ23" s="142"/>
      <c r="CR23" s="142"/>
      <c r="CS23" s="140"/>
      <c r="CT23" s="140"/>
      <c r="CU23" s="140"/>
      <c r="CV23" s="140"/>
      <c r="CW23" s="142"/>
      <c r="CX23" s="142"/>
      <c r="CY23" s="140"/>
      <c r="CZ23" s="140"/>
      <c r="DA23" s="140"/>
      <c r="DB23" s="142"/>
      <c r="DC23" s="140"/>
      <c r="DD23" s="140"/>
      <c r="DE23" s="140"/>
      <c r="DF23" s="140"/>
    </row>
    <row r="24" spans="1:110" x14ac:dyDescent="0.35">
      <c r="A24" s="55" t="s">
        <v>153</v>
      </c>
      <c r="B24" s="161">
        <v>780</v>
      </c>
      <c r="C24" s="55">
        <v>47</v>
      </c>
      <c r="D24" s="162">
        <v>0.74399999999999999</v>
      </c>
      <c r="E24" s="55">
        <v>29.9</v>
      </c>
      <c r="F24" s="55">
        <v>0</v>
      </c>
      <c r="G24" s="163">
        <v>44877</v>
      </c>
      <c r="H24" s="78">
        <v>133</v>
      </c>
      <c r="I24" s="55">
        <v>2</v>
      </c>
      <c r="J24" s="55">
        <v>2000</v>
      </c>
      <c r="K24" s="57">
        <v>5</v>
      </c>
      <c r="L24" s="48">
        <v>2</v>
      </c>
      <c r="M24" s="48">
        <v>2</v>
      </c>
      <c r="N24" s="192">
        <f t="shared" si="0"/>
        <v>1220</v>
      </c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2"/>
      <c r="AD24" s="140"/>
      <c r="AE24" s="140"/>
      <c r="AF24" s="140"/>
      <c r="AG24" s="140"/>
      <c r="AH24" s="140"/>
      <c r="AI24" s="140"/>
      <c r="AJ24" s="140"/>
      <c r="AK24" s="140"/>
      <c r="AL24" s="142"/>
      <c r="AM24" s="154"/>
      <c r="AN24" s="140"/>
      <c r="AO24" s="140"/>
      <c r="AP24" s="140"/>
      <c r="AQ24" s="140"/>
      <c r="AR24" s="142"/>
      <c r="AS24" s="142"/>
      <c r="AT24" s="140"/>
      <c r="AU24" s="140"/>
      <c r="AV24" s="142"/>
      <c r="AW24" s="140"/>
      <c r="AX24" s="142"/>
      <c r="AY24" s="142">
        <v>1</v>
      </c>
      <c r="AZ24" s="140"/>
      <c r="BA24" s="102">
        <v>1</v>
      </c>
      <c r="BB24" s="140"/>
      <c r="BC24" s="140"/>
      <c r="BD24" s="140"/>
      <c r="BE24" s="140"/>
      <c r="BF24" s="140"/>
      <c r="BG24" s="140"/>
      <c r="BH24" s="154"/>
      <c r="BI24" s="140"/>
      <c r="BJ24" s="140"/>
      <c r="BK24" s="154"/>
      <c r="BL24" s="142"/>
      <c r="BM24" s="140"/>
      <c r="BN24" s="140"/>
      <c r="BO24" s="140"/>
      <c r="BP24" s="140"/>
      <c r="BQ24" s="142"/>
      <c r="BR24" s="140"/>
      <c r="BS24" s="142"/>
      <c r="BT24" s="142"/>
      <c r="BU24" s="140"/>
      <c r="BV24" s="140"/>
      <c r="BW24" s="140"/>
      <c r="BX24" s="142"/>
      <c r="BY24" s="154"/>
      <c r="BZ24" s="140"/>
      <c r="CA24" s="140"/>
      <c r="CB24" s="140"/>
      <c r="CC24" s="154"/>
      <c r="CD24" s="140"/>
      <c r="CE24" s="140"/>
      <c r="CF24" s="154"/>
      <c r="CG24" s="140"/>
      <c r="CH24" s="154"/>
      <c r="CI24" s="154"/>
      <c r="CJ24" s="140"/>
      <c r="CK24" s="140"/>
      <c r="CL24" s="140"/>
      <c r="CM24" s="140"/>
      <c r="CN24" s="140"/>
      <c r="CO24" s="140"/>
      <c r="CP24" s="140"/>
      <c r="CQ24" s="142"/>
      <c r="CR24" s="142"/>
      <c r="CS24" s="154"/>
      <c r="CT24" s="140"/>
      <c r="CU24" s="140"/>
      <c r="CV24" s="140"/>
      <c r="CW24" s="142"/>
      <c r="CX24" s="142"/>
      <c r="CY24" s="154"/>
      <c r="CZ24" s="140"/>
      <c r="DA24" s="140"/>
      <c r="DB24" s="142"/>
      <c r="DC24" s="140"/>
      <c r="DD24" s="140"/>
      <c r="DE24" s="140"/>
      <c r="DF24" s="140"/>
    </row>
    <row r="25" spans="1:110" x14ac:dyDescent="0.35">
      <c r="A25" s="55" t="s">
        <v>153</v>
      </c>
      <c r="B25" s="161">
        <v>870</v>
      </c>
      <c r="C25" s="55">
        <v>55</v>
      </c>
      <c r="D25" s="159">
        <v>55.3</v>
      </c>
      <c r="E25" s="55">
        <v>30.2</v>
      </c>
      <c r="F25" s="55">
        <v>0</v>
      </c>
      <c r="G25" s="97">
        <v>44877</v>
      </c>
      <c r="H25" s="78">
        <v>133</v>
      </c>
      <c r="I25" s="55">
        <v>100</v>
      </c>
      <c r="J25" s="55">
        <v>2000</v>
      </c>
      <c r="K25" s="57">
        <v>3</v>
      </c>
      <c r="L25" s="48">
        <v>0</v>
      </c>
      <c r="M25" s="48">
        <v>0</v>
      </c>
      <c r="N25" s="192">
        <f t="shared" si="0"/>
        <v>1130</v>
      </c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2"/>
      <c r="AD25" s="140"/>
      <c r="AE25" s="140"/>
      <c r="AF25" s="140"/>
      <c r="AG25" s="140"/>
      <c r="AH25" s="140"/>
      <c r="AI25" s="140"/>
      <c r="AJ25" s="140"/>
      <c r="AK25" s="140"/>
      <c r="AL25" s="142"/>
      <c r="AM25" s="154"/>
      <c r="AN25" s="140"/>
      <c r="AO25" s="140"/>
      <c r="AP25" s="140"/>
      <c r="AQ25" s="140"/>
      <c r="AR25" s="142"/>
      <c r="AS25" s="142"/>
      <c r="AT25" s="140"/>
      <c r="AU25" s="140"/>
      <c r="AV25" s="142"/>
      <c r="AW25" s="140"/>
      <c r="AX25" s="142"/>
      <c r="AY25" s="142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2"/>
      <c r="BM25" s="140"/>
      <c r="BN25" s="140"/>
      <c r="BO25" s="140"/>
      <c r="BP25" s="140"/>
      <c r="BQ25" s="142"/>
      <c r="BR25" s="140"/>
      <c r="BS25" s="142"/>
      <c r="BT25" s="142"/>
      <c r="BU25" s="140"/>
      <c r="BV25" s="140"/>
      <c r="BW25" s="140"/>
      <c r="BX25" s="142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2"/>
      <c r="CR25" s="142"/>
      <c r="CS25" s="140"/>
      <c r="CT25" s="140"/>
      <c r="CU25" s="140"/>
      <c r="CV25" s="140"/>
      <c r="CW25" s="142"/>
      <c r="CX25" s="142"/>
      <c r="CY25" s="140"/>
      <c r="CZ25" s="140"/>
      <c r="DA25" s="140"/>
      <c r="DB25" s="142"/>
      <c r="DC25" s="140"/>
      <c r="DD25" s="140"/>
      <c r="DE25" s="140"/>
      <c r="DF25" s="140"/>
    </row>
    <row r="26" spans="1:110" x14ac:dyDescent="0.35">
      <c r="A26" s="55" t="s">
        <v>153</v>
      </c>
      <c r="B26" s="161">
        <v>870</v>
      </c>
      <c r="C26" s="55">
        <v>51</v>
      </c>
      <c r="D26" s="159">
        <v>26.78</v>
      </c>
      <c r="E26" s="55">
        <v>30.7</v>
      </c>
      <c r="F26" s="55">
        <v>0</v>
      </c>
      <c r="G26" s="97">
        <v>44877</v>
      </c>
      <c r="H26" s="78">
        <v>133</v>
      </c>
      <c r="I26" s="55">
        <v>23.33</v>
      </c>
      <c r="J26" s="55">
        <v>2000</v>
      </c>
      <c r="K26" s="57">
        <v>3</v>
      </c>
      <c r="L26" s="48">
        <v>2</v>
      </c>
      <c r="M26" s="48">
        <v>2</v>
      </c>
      <c r="N26" s="192">
        <f t="shared" si="0"/>
        <v>1130</v>
      </c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2"/>
      <c r="AD26" s="140"/>
      <c r="AE26" s="154"/>
      <c r="AF26" s="140"/>
      <c r="AG26" s="140"/>
      <c r="AH26" s="140"/>
      <c r="AI26" s="140"/>
      <c r="AJ26" s="154"/>
      <c r="AK26" s="102">
        <v>1</v>
      </c>
      <c r="AL26" s="142"/>
      <c r="AM26" s="140"/>
      <c r="AN26" s="140"/>
      <c r="AO26" s="140"/>
      <c r="AP26" s="140"/>
      <c r="AQ26" s="140"/>
      <c r="AR26" s="142"/>
      <c r="AS26" s="142"/>
      <c r="AT26" s="140"/>
      <c r="AU26" s="140"/>
      <c r="AV26" s="142"/>
      <c r="AW26" s="140"/>
      <c r="AX26" s="142"/>
      <c r="AY26" s="142">
        <v>1</v>
      </c>
      <c r="AZ26" s="140"/>
      <c r="BA26" s="140"/>
      <c r="BB26" s="140"/>
      <c r="BC26" s="154"/>
      <c r="BD26" s="140"/>
      <c r="BE26" s="140"/>
      <c r="BF26" s="140"/>
      <c r="BG26" s="140"/>
      <c r="BH26" s="140"/>
      <c r="BI26" s="140"/>
      <c r="BJ26" s="140"/>
      <c r="BK26" s="140"/>
      <c r="BL26" s="142"/>
      <c r="BM26" s="140"/>
      <c r="BN26" s="140"/>
      <c r="BO26" s="140"/>
      <c r="BP26" s="140"/>
      <c r="BQ26" s="142"/>
      <c r="BR26" s="140"/>
      <c r="BS26" s="142"/>
      <c r="BT26" s="142"/>
      <c r="BU26" s="140"/>
      <c r="BV26" s="140"/>
      <c r="BW26" s="140"/>
      <c r="BX26" s="142"/>
      <c r="BY26" s="140"/>
      <c r="BZ26" s="140"/>
      <c r="CA26" s="140"/>
      <c r="CB26" s="140"/>
      <c r="CC26" s="154"/>
      <c r="CD26" s="140"/>
      <c r="CE26" s="140"/>
      <c r="CF26" s="140"/>
      <c r="CG26" s="140"/>
      <c r="CH26" s="140"/>
      <c r="CI26" s="140"/>
      <c r="CJ26" s="154"/>
      <c r="CK26" s="140"/>
      <c r="CL26" s="140"/>
      <c r="CM26" s="140"/>
      <c r="CN26" s="140"/>
      <c r="CO26" s="140"/>
      <c r="CP26" s="140"/>
      <c r="CQ26" s="142"/>
      <c r="CR26" s="142"/>
      <c r="CS26" s="140"/>
      <c r="CT26" s="140"/>
      <c r="CU26" s="140"/>
      <c r="CV26" s="140"/>
      <c r="CW26" s="142"/>
      <c r="CX26" s="142"/>
      <c r="CY26" s="140"/>
      <c r="CZ26" s="140"/>
      <c r="DA26" s="140"/>
      <c r="DB26" s="142"/>
      <c r="DC26" s="140"/>
      <c r="DD26" s="140"/>
      <c r="DE26" s="140"/>
      <c r="DF26" s="140"/>
    </row>
    <row r="27" spans="1:110" x14ac:dyDescent="0.35">
      <c r="A27" s="55" t="s">
        <v>153</v>
      </c>
      <c r="B27" s="157">
        <v>1000</v>
      </c>
      <c r="C27" s="55">
        <v>58</v>
      </c>
      <c r="D27" s="159">
        <v>30.1</v>
      </c>
      <c r="E27" s="55">
        <v>29.1</v>
      </c>
      <c r="F27" s="55">
        <v>0</v>
      </c>
      <c r="G27" s="97">
        <v>44877</v>
      </c>
      <c r="H27" s="78">
        <v>133</v>
      </c>
      <c r="I27" s="55">
        <v>98.75</v>
      </c>
      <c r="J27" s="55">
        <v>2000</v>
      </c>
      <c r="K27" s="57">
        <v>3</v>
      </c>
      <c r="L27" s="48">
        <v>2</v>
      </c>
      <c r="M27" s="48">
        <v>2</v>
      </c>
      <c r="N27" s="192">
        <f t="shared" si="0"/>
        <v>1000</v>
      </c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2"/>
      <c r="AD27" s="140"/>
      <c r="AE27" s="140"/>
      <c r="AF27" s="140"/>
      <c r="AG27" s="140"/>
      <c r="AH27" s="140"/>
      <c r="AI27" s="140"/>
      <c r="AJ27" s="140"/>
      <c r="AK27" s="140"/>
      <c r="AL27" s="142"/>
      <c r="AM27" s="140"/>
      <c r="AN27" s="140"/>
      <c r="AO27" s="140"/>
      <c r="AP27" s="140"/>
      <c r="AQ27" s="140"/>
      <c r="AR27" s="142"/>
      <c r="AS27" s="142"/>
      <c r="AT27" s="140"/>
      <c r="AU27" s="102">
        <v>1</v>
      </c>
      <c r="AV27" s="142"/>
      <c r="AW27" s="140"/>
      <c r="AX27" s="142"/>
      <c r="AY27" s="142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2"/>
      <c r="BM27" s="140"/>
      <c r="BN27" s="140"/>
      <c r="BO27" s="140"/>
      <c r="BP27" s="140"/>
      <c r="BQ27" s="142"/>
      <c r="BR27" s="140"/>
      <c r="BS27" s="142">
        <v>1</v>
      </c>
      <c r="BT27" s="142"/>
      <c r="BU27" s="140"/>
      <c r="BV27" s="140"/>
      <c r="BW27" s="140"/>
      <c r="BX27" s="142"/>
      <c r="BY27" s="140"/>
      <c r="BZ27" s="140"/>
      <c r="CA27" s="140"/>
      <c r="CB27" s="140"/>
      <c r="CC27" s="140"/>
      <c r="CD27" s="140"/>
      <c r="CE27" s="140"/>
      <c r="CF27" s="154"/>
      <c r="CG27" s="140"/>
      <c r="CH27" s="140"/>
      <c r="CI27" s="154"/>
      <c r="CJ27" s="140"/>
      <c r="CK27" s="140"/>
      <c r="CL27" s="140"/>
      <c r="CM27" s="140"/>
      <c r="CN27" s="140"/>
      <c r="CO27" s="140"/>
      <c r="CP27" s="140"/>
      <c r="CQ27" s="142"/>
      <c r="CR27" s="142"/>
      <c r="CS27" s="140"/>
      <c r="CT27" s="140"/>
      <c r="CU27" s="140"/>
      <c r="CV27" s="140"/>
      <c r="CW27" s="142"/>
      <c r="CX27" s="142"/>
      <c r="CY27" s="140"/>
      <c r="CZ27" s="140"/>
      <c r="DA27" s="140"/>
      <c r="DB27" s="142"/>
      <c r="DC27" s="140"/>
      <c r="DD27" s="140"/>
      <c r="DE27" s="140"/>
      <c r="DF27" s="140"/>
    </row>
    <row r="28" spans="1:110" s="177" customFormat="1" x14ac:dyDescent="0.35">
      <c r="A28" s="172" t="s">
        <v>153</v>
      </c>
      <c r="B28" s="173">
        <v>1100</v>
      </c>
      <c r="C28" s="172">
        <v>77</v>
      </c>
      <c r="D28" s="178">
        <v>1.79</v>
      </c>
      <c r="E28" s="172">
        <v>23.98</v>
      </c>
      <c r="F28" s="172">
        <v>0.83</v>
      </c>
      <c r="G28" s="179" t="s">
        <v>157</v>
      </c>
      <c r="H28" s="175">
        <v>143</v>
      </c>
      <c r="I28" s="172">
        <v>100</v>
      </c>
      <c r="J28" s="172">
        <v>1100</v>
      </c>
      <c r="K28" s="175">
        <v>2</v>
      </c>
      <c r="L28" s="176">
        <v>3</v>
      </c>
      <c r="M28" s="176">
        <v>3</v>
      </c>
      <c r="N28" s="192">
        <f t="shared" si="0"/>
        <v>0</v>
      </c>
      <c r="W28" s="176"/>
      <c r="X28" s="183">
        <v>1</v>
      </c>
      <c r="AC28" s="172"/>
      <c r="AL28" s="172"/>
      <c r="AR28" s="172"/>
      <c r="AS28" s="172"/>
      <c r="AU28" s="183">
        <v>1</v>
      </c>
      <c r="AV28" s="172"/>
      <c r="AX28" s="172"/>
      <c r="AY28" s="172"/>
      <c r="BL28" s="172"/>
      <c r="BQ28" s="172"/>
      <c r="BS28" s="172"/>
      <c r="BT28" s="172"/>
      <c r="BX28" s="172"/>
      <c r="CA28" s="183">
        <v>1</v>
      </c>
      <c r="CF28" s="176"/>
      <c r="CQ28" s="172"/>
      <c r="CR28" s="172"/>
      <c r="CW28" s="172"/>
      <c r="CX28" s="172"/>
      <c r="CY28" s="176"/>
      <c r="DB28" s="172"/>
    </row>
    <row r="29" spans="1:110" x14ac:dyDescent="0.35">
      <c r="A29" s="55" t="s">
        <v>153</v>
      </c>
      <c r="B29" s="161">
        <v>1100</v>
      </c>
      <c r="C29" s="55">
        <v>98</v>
      </c>
      <c r="D29" s="162">
        <v>3.05</v>
      </c>
      <c r="E29" s="55">
        <v>21.7</v>
      </c>
      <c r="F29" s="55">
        <v>0.9</v>
      </c>
      <c r="G29" s="97" t="s">
        <v>157</v>
      </c>
      <c r="H29" s="78">
        <v>143</v>
      </c>
      <c r="I29" s="55">
        <v>100</v>
      </c>
      <c r="J29" s="55">
        <v>2000</v>
      </c>
      <c r="K29" s="57">
        <v>2</v>
      </c>
      <c r="L29" s="48">
        <v>1</v>
      </c>
      <c r="M29" s="48">
        <v>1</v>
      </c>
      <c r="N29" s="192">
        <f t="shared" si="0"/>
        <v>900</v>
      </c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2"/>
      <c r="AD29" s="140"/>
      <c r="AE29" s="140"/>
      <c r="AF29" s="140"/>
      <c r="AG29" s="140"/>
      <c r="AH29" s="140"/>
      <c r="AI29" s="140"/>
      <c r="AJ29" s="140"/>
      <c r="AK29" s="140"/>
      <c r="AL29" s="142"/>
      <c r="AM29" s="140"/>
      <c r="AN29" s="140"/>
      <c r="AO29" s="140"/>
      <c r="AP29" s="140"/>
      <c r="AQ29" s="140"/>
      <c r="AR29" s="142"/>
      <c r="AS29" s="142"/>
      <c r="AT29" s="140"/>
      <c r="AU29" s="140"/>
      <c r="AV29" s="142"/>
      <c r="AW29" s="140"/>
      <c r="AX29" s="142"/>
      <c r="AY29" s="142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2"/>
      <c r="BM29" s="140"/>
      <c r="BN29" s="140"/>
      <c r="BO29" s="140"/>
      <c r="BP29" s="140"/>
      <c r="BQ29" s="142"/>
      <c r="BR29" s="140"/>
      <c r="BS29" s="142"/>
      <c r="BT29" s="142"/>
      <c r="BU29" s="140"/>
      <c r="BV29" s="140"/>
      <c r="BW29" s="140"/>
      <c r="BX29" s="142"/>
      <c r="BY29" s="140"/>
      <c r="BZ29" s="140"/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40"/>
      <c r="CM29" s="140"/>
      <c r="CN29" s="140"/>
      <c r="CO29" s="140"/>
      <c r="CP29" s="140"/>
      <c r="CQ29" s="142"/>
      <c r="CR29" s="142"/>
      <c r="CS29" s="140"/>
      <c r="CT29" s="140"/>
      <c r="CU29" s="140"/>
      <c r="CV29" s="140"/>
      <c r="CW29" s="142"/>
      <c r="CX29" s="142"/>
      <c r="CY29" s="102">
        <v>1</v>
      </c>
      <c r="CZ29" s="140"/>
      <c r="DA29" s="140"/>
      <c r="DB29" s="142"/>
      <c r="DC29" s="140"/>
      <c r="DD29" s="140"/>
      <c r="DE29" s="140"/>
      <c r="DF29" s="140"/>
    </row>
    <row r="30" spans="1:110" x14ac:dyDescent="0.35">
      <c r="A30" s="55" t="s">
        <v>153</v>
      </c>
      <c r="B30" s="161">
        <v>1250</v>
      </c>
      <c r="C30" s="55">
        <v>95</v>
      </c>
      <c r="D30" s="159">
        <v>10.69</v>
      </c>
      <c r="E30" s="55">
        <v>22.8</v>
      </c>
      <c r="F30" s="55">
        <v>1.2</v>
      </c>
      <c r="G30" s="97" t="s">
        <v>157</v>
      </c>
      <c r="H30" s="78">
        <v>143</v>
      </c>
      <c r="I30" s="55">
        <v>100</v>
      </c>
      <c r="J30" s="55">
        <v>1100</v>
      </c>
      <c r="K30" s="57">
        <v>3</v>
      </c>
      <c r="L30" s="48">
        <v>4</v>
      </c>
      <c r="M30" s="48">
        <v>7</v>
      </c>
      <c r="N30" s="192">
        <f t="shared" si="0"/>
        <v>150</v>
      </c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2"/>
      <c r="AD30" s="140"/>
      <c r="AE30" s="140"/>
      <c r="AF30" s="140"/>
      <c r="AG30" s="140"/>
      <c r="AH30" s="140"/>
      <c r="AI30" s="140"/>
      <c r="AJ30" s="140"/>
      <c r="AK30" s="140"/>
      <c r="AL30" s="142"/>
      <c r="AM30" s="140"/>
      <c r="AN30" s="140"/>
      <c r="AO30" s="140"/>
      <c r="AP30" s="140"/>
      <c r="AQ30" s="140"/>
      <c r="AR30" s="142"/>
      <c r="AS30" s="142"/>
      <c r="AT30" s="102">
        <v>1</v>
      </c>
      <c r="AU30" s="102">
        <v>4</v>
      </c>
      <c r="AV30" s="142"/>
      <c r="AW30" s="140"/>
      <c r="AX30" s="142"/>
      <c r="AY30" s="142"/>
      <c r="AZ30" s="140"/>
      <c r="BA30" s="154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2"/>
      <c r="BM30" s="102">
        <v>1</v>
      </c>
      <c r="BN30" s="140"/>
      <c r="BO30" s="140"/>
      <c r="BP30" s="140"/>
      <c r="BQ30" s="142"/>
      <c r="BR30" s="140"/>
      <c r="BS30" s="142"/>
      <c r="BT30" s="142"/>
      <c r="BU30" s="140"/>
      <c r="BV30" s="140"/>
      <c r="BW30" s="140"/>
      <c r="BX30" s="142"/>
      <c r="BY30" s="140"/>
      <c r="BZ30" s="140"/>
      <c r="CA30" s="140"/>
      <c r="CB30" s="140"/>
      <c r="CC30" s="140"/>
      <c r="CD30" s="140"/>
      <c r="CE30" s="140"/>
      <c r="CF30" s="140"/>
      <c r="CG30" s="140"/>
      <c r="CH30" s="140"/>
      <c r="CI30" s="140"/>
      <c r="CJ30" s="140"/>
      <c r="CK30" s="140"/>
      <c r="CL30" s="140"/>
      <c r="CM30" s="140"/>
      <c r="CN30" s="140"/>
      <c r="CO30" s="140"/>
      <c r="CP30" s="140"/>
      <c r="CQ30" s="142"/>
      <c r="CR30" s="142"/>
      <c r="CS30" s="140"/>
      <c r="CT30" s="140"/>
      <c r="CU30" s="140"/>
      <c r="CV30" s="140"/>
      <c r="CW30" s="142"/>
      <c r="CX30" s="142"/>
      <c r="CY30" s="102">
        <v>1</v>
      </c>
      <c r="CZ30" s="140"/>
      <c r="DA30" s="140"/>
      <c r="DB30" s="142"/>
      <c r="DC30" s="140"/>
      <c r="DD30" s="140"/>
      <c r="DE30" s="140"/>
      <c r="DF30" s="140"/>
    </row>
    <row r="31" spans="1:110" x14ac:dyDescent="0.35">
      <c r="A31" s="55" t="s">
        <v>153</v>
      </c>
      <c r="B31" s="157">
        <v>1250</v>
      </c>
      <c r="C31" s="55">
        <v>98</v>
      </c>
      <c r="D31" s="159">
        <v>3.61</v>
      </c>
      <c r="E31" s="55">
        <v>23</v>
      </c>
      <c r="F31" s="55">
        <v>0</v>
      </c>
      <c r="G31" s="97" t="s">
        <v>157</v>
      </c>
      <c r="H31" s="78">
        <v>143</v>
      </c>
      <c r="I31" s="55">
        <v>100</v>
      </c>
      <c r="J31" s="55">
        <v>2000</v>
      </c>
      <c r="K31" s="57">
        <v>3</v>
      </c>
      <c r="L31" s="48">
        <v>0</v>
      </c>
      <c r="M31" s="48">
        <v>0</v>
      </c>
      <c r="N31" s="192">
        <f t="shared" si="0"/>
        <v>750</v>
      </c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2"/>
      <c r="AD31" s="140"/>
      <c r="AE31" s="154"/>
      <c r="AF31" s="140"/>
      <c r="AG31" s="140"/>
      <c r="AH31" s="140"/>
      <c r="AI31" s="140"/>
      <c r="AJ31" s="140"/>
      <c r="AK31" s="140"/>
      <c r="AL31" s="142"/>
      <c r="AM31" s="140"/>
      <c r="AN31" s="140"/>
      <c r="AO31" s="140"/>
      <c r="AP31" s="140"/>
      <c r="AQ31" s="140"/>
      <c r="AR31" s="142"/>
      <c r="AS31" s="142"/>
      <c r="AT31" s="140"/>
      <c r="AU31" s="140"/>
      <c r="AV31" s="142"/>
      <c r="AW31" s="140"/>
      <c r="AX31" s="142"/>
      <c r="AY31" s="142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2"/>
      <c r="BM31" s="140"/>
      <c r="BN31" s="140"/>
      <c r="BO31" s="140"/>
      <c r="BP31" s="140"/>
      <c r="BQ31" s="142"/>
      <c r="BR31" s="140"/>
      <c r="BS31" s="142"/>
      <c r="BT31" s="142"/>
      <c r="BU31" s="140"/>
      <c r="BV31" s="140"/>
      <c r="BW31" s="140"/>
      <c r="BX31" s="142"/>
      <c r="BY31" s="140"/>
      <c r="BZ31" s="140"/>
      <c r="CA31" s="140"/>
      <c r="CB31" s="140"/>
      <c r="CC31" s="140"/>
      <c r="CD31" s="140"/>
      <c r="CE31" s="140"/>
      <c r="CF31" s="140"/>
      <c r="CG31" s="140"/>
      <c r="CH31" s="140"/>
      <c r="CI31" s="140"/>
      <c r="CJ31" s="140"/>
      <c r="CK31" s="140"/>
      <c r="CL31" s="140"/>
      <c r="CM31" s="140"/>
      <c r="CN31" s="140"/>
      <c r="CO31" s="140"/>
      <c r="CP31" s="140"/>
      <c r="CQ31" s="142"/>
      <c r="CR31" s="142"/>
      <c r="CS31" s="140"/>
      <c r="CT31" s="140"/>
      <c r="CU31" s="140"/>
      <c r="CV31" s="140"/>
      <c r="CW31" s="142"/>
      <c r="CX31" s="142"/>
      <c r="CY31" s="140"/>
      <c r="CZ31" s="140"/>
      <c r="DA31" s="140"/>
      <c r="DB31" s="142"/>
      <c r="DC31" s="140"/>
      <c r="DD31" s="140"/>
      <c r="DE31" s="140"/>
      <c r="DF31" s="140"/>
    </row>
    <row r="32" spans="1:110" x14ac:dyDescent="0.35">
      <c r="A32" s="55" t="s">
        <v>153</v>
      </c>
      <c r="B32" s="161">
        <v>1360</v>
      </c>
      <c r="C32" s="55">
        <v>80</v>
      </c>
      <c r="D32" s="162">
        <v>14.7</v>
      </c>
      <c r="E32" s="55">
        <v>24.13</v>
      </c>
      <c r="F32" s="55">
        <v>2.1</v>
      </c>
      <c r="G32" s="163" t="s">
        <v>157</v>
      </c>
      <c r="H32" s="78">
        <v>143</v>
      </c>
      <c r="I32" s="55">
        <v>100</v>
      </c>
      <c r="J32" s="55">
        <v>1420</v>
      </c>
      <c r="K32" s="57">
        <v>1</v>
      </c>
      <c r="L32" s="48">
        <v>3</v>
      </c>
      <c r="M32" s="48">
        <v>11</v>
      </c>
      <c r="N32" s="192">
        <f t="shared" si="0"/>
        <v>60</v>
      </c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2"/>
      <c r="AD32" s="140"/>
      <c r="AE32" s="140"/>
      <c r="AF32" s="140"/>
      <c r="AG32" s="140"/>
      <c r="AH32" s="140"/>
      <c r="AI32" s="140"/>
      <c r="AJ32" s="140"/>
      <c r="AK32" s="140"/>
      <c r="AL32" s="142"/>
      <c r="AM32" s="140"/>
      <c r="AN32" s="140"/>
      <c r="AO32" s="140"/>
      <c r="AP32" s="140"/>
      <c r="AQ32" s="140"/>
      <c r="AR32" s="142"/>
      <c r="AS32" s="142"/>
      <c r="AT32" s="141">
        <v>1</v>
      </c>
      <c r="AU32" s="102">
        <v>5</v>
      </c>
      <c r="AV32" s="142"/>
      <c r="AW32" s="140"/>
      <c r="AX32" s="142"/>
      <c r="AY32" s="142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2"/>
      <c r="BM32" s="140"/>
      <c r="BN32" s="140"/>
      <c r="BO32" s="140"/>
      <c r="BP32" s="140"/>
      <c r="BQ32" s="142"/>
      <c r="BR32" s="140"/>
      <c r="BS32" s="142"/>
      <c r="BT32" s="142"/>
      <c r="BU32" s="140"/>
      <c r="BV32" s="140"/>
      <c r="BW32" s="140"/>
      <c r="BX32" s="142"/>
      <c r="BY32" s="140"/>
      <c r="BZ32" s="140"/>
      <c r="CA32" s="140"/>
      <c r="CB32" s="140"/>
      <c r="CC32" s="140"/>
      <c r="CD32" s="102">
        <v>5</v>
      </c>
      <c r="CE32" s="140"/>
      <c r="CF32" s="154"/>
      <c r="CG32" s="140"/>
      <c r="CH32" s="154"/>
      <c r="CI32" s="140"/>
      <c r="CJ32" s="140"/>
      <c r="CK32" s="140"/>
      <c r="CL32" s="140"/>
      <c r="CM32" s="140"/>
      <c r="CN32" s="140"/>
      <c r="CO32" s="140"/>
      <c r="CP32" s="140"/>
      <c r="CQ32" s="142"/>
      <c r="CR32" s="142"/>
      <c r="CS32" s="140"/>
      <c r="CT32" s="140"/>
      <c r="CU32" s="140"/>
      <c r="CV32" s="140"/>
      <c r="CW32" s="142"/>
      <c r="CX32" s="142"/>
      <c r="CY32" s="154"/>
      <c r="CZ32" s="140"/>
      <c r="DA32" s="140"/>
      <c r="DB32" s="142"/>
      <c r="DC32" s="140"/>
      <c r="DD32" s="140"/>
      <c r="DE32" s="140"/>
      <c r="DF32" s="140"/>
    </row>
    <row r="33" spans="1:110" x14ac:dyDescent="0.35">
      <c r="A33" s="55" t="s">
        <v>153</v>
      </c>
      <c r="B33" s="157">
        <v>1360</v>
      </c>
      <c r="C33" s="55">
        <v>99</v>
      </c>
      <c r="D33" s="58">
        <v>8.2799999999999994</v>
      </c>
      <c r="E33" s="55">
        <v>24.2</v>
      </c>
      <c r="F33" s="55">
        <v>0</v>
      </c>
      <c r="G33" s="97" t="s">
        <v>157</v>
      </c>
      <c r="H33" s="78">
        <v>143</v>
      </c>
      <c r="I33" s="55">
        <v>100</v>
      </c>
      <c r="J33" s="55">
        <v>2000</v>
      </c>
      <c r="K33" s="57">
        <v>1</v>
      </c>
      <c r="L33" s="48">
        <v>0</v>
      </c>
      <c r="M33" s="48">
        <v>0</v>
      </c>
      <c r="N33" s="192">
        <f t="shared" si="0"/>
        <v>640</v>
      </c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2"/>
      <c r="AD33" s="140"/>
      <c r="AE33" s="140"/>
      <c r="AF33" s="140"/>
      <c r="AG33" s="140"/>
      <c r="AH33" s="140"/>
      <c r="AI33" s="140"/>
      <c r="AJ33" s="140"/>
      <c r="AK33" s="140"/>
      <c r="AL33" s="142"/>
      <c r="AM33" s="140"/>
      <c r="AN33" s="140"/>
      <c r="AO33" s="140"/>
      <c r="AP33" s="140"/>
      <c r="AQ33" s="140"/>
      <c r="AR33" s="142"/>
      <c r="AS33" s="142"/>
      <c r="AT33" s="140"/>
      <c r="AU33" s="140"/>
      <c r="AV33" s="142"/>
      <c r="AW33" s="140"/>
      <c r="AX33" s="142"/>
      <c r="AY33" s="142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2"/>
      <c r="BM33" s="140"/>
      <c r="BN33" s="140"/>
      <c r="BO33" s="140"/>
      <c r="BP33" s="140"/>
      <c r="BQ33" s="142"/>
      <c r="BR33" s="140"/>
      <c r="BS33" s="142"/>
      <c r="BT33" s="142"/>
      <c r="BU33" s="140"/>
      <c r="BV33" s="140"/>
      <c r="BW33" s="140"/>
      <c r="BX33" s="142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2"/>
      <c r="CR33" s="142"/>
      <c r="CS33" s="140"/>
      <c r="CT33" s="140"/>
      <c r="CU33" s="140"/>
      <c r="CV33" s="140"/>
      <c r="CW33" s="142"/>
      <c r="CX33" s="142"/>
      <c r="CY33" s="140"/>
      <c r="CZ33" s="140"/>
      <c r="DA33" s="140"/>
      <c r="DB33" s="142"/>
      <c r="DC33" s="140"/>
      <c r="DD33" s="140"/>
      <c r="DE33" s="140"/>
      <c r="DF33" s="140"/>
    </row>
    <row r="34" spans="1:110" s="177" customFormat="1" x14ac:dyDescent="0.35">
      <c r="A34" s="172" t="s">
        <v>153</v>
      </c>
      <c r="B34" s="173">
        <v>1420</v>
      </c>
      <c r="C34" s="172">
        <v>95</v>
      </c>
      <c r="D34" s="174">
        <v>1.44</v>
      </c>
      <c r="E34" s="172">
        <v>25.1</v>
      </c>
      <c r="F34" s="172">
        <v>0</v>
      </c>
      <c r="G34" s="179" t="s">
        <v>157</v>
      </c>
      <c r="H34" s="175">
        <v>143</v>
      </c>
      <c r="I34" s="172">
        <v>100</v>
      </c>
      <c r="J34" s="172">
        <v>1420</v>
      </c>
      <c r="K34" s="175">
        <v>6</v>
      </c>
      <c r="L34" s="176">
        <v>2</v>
      </c>
      <c r="M34" s="176">
        <v>7</v>
      </c>
      <c r="N34" s="192">
        <f t="shared" si="0"/>
        <v>0</v>
      </c>
      <c r="AC34" s="172"/>
      <c r="AK34" s="176"/>
      <c r="AL34" s="172"/>
      <c r="AR34" s="172">
        <v>4</v>
      </c>
      <c r="AS34" s="172"/>
      <c r="AT34" s="183">
        <v>3</v>
      </c>
      <c r="AV34" s="172"/>
      <c r="AX34" s="172"/>
      <c r="AY34" s="172"/>
      <c r="BL34" s="172"/>
      <c r="BQ34" s="172"/>
      <c r="BS34" s="172"/>
      <c r="BT34" s="172"/>
      <c r="BX34" s="172"/>
      <c r="CQ34" s="172"/>
      <c r="CR34" s="172"/>
      <c r="CW34" s="172"/>
      <c r="CX34" s="172"/>
      <c r="DB34" s="172"/>
    </row>
    <row r="35" spans="1:110" x14ac:dyDescent="0.35">
      <c r="A35" s="55" t="s">
        <v>153</v>
      </c>
      <c r="B35" s="161">
        <v>1420</v>
      </c>
      <c r="C35" s="55">
        <v>99</v>
      </c>
      <c r="D35" s="58">
        <v>0.63</v>
      </c>
      <c r="E35" s="55">
        <v>25.1</v>
      </c>
      <c r="F35" s="55">
        <v>0</v>
      </c>
      <c r="G35" s="163" t="s">
        <v>157</v>
      </c>
      <c r="H35" s="78">
        <v>143</v>
      </c>
      <c r="I35" s="55">
        <v>100</v>
      </c>
      <c r="J35" s="55">
        <v>2000</v>
      </c>
      <c r="K35" s="57">
        <v>6</v>
      </c>
      <c r="L35" s="48">
        <v>3</v>
      </c>
      <c r="M35" s="48">
        <v>8</v>
      </c>
      <c r="N35" s="192">
        <f t="shared" si="0"/>
        <v>580</v>
      </c>
      <c r="O35" s="140"/>
      <c r="P35" s="140"/>
      <c r="Q35" s="140"/>
      <c r="R35" s="140"/>
      <c r="S35" s="140"/>
      <c r="T35" s="140"/>
      <c r="U35" s="140"/>
      <c r="V35" s="154"/>
      <c r="W35" s="140"/>
      <c r="X35" s="141">
        <v>1</v>
      </c>
      <c r="Y35" s="140"/>
      <c r="Z35" s="140"/>
      <c r="AA35" s="140"/>
      <c r="AB35" s="140"/>
      <c r="AC35" s="142"/>
      <c r="AD35" s="140"/>
      <c r="AE35" s="140"/>
      <c r="AF35" s="140"/>
      <c r="AG35" s="140"/>
      <c r="AH35" s="140"/>
      <c r="AI35" s="140"/>
      <c r="AJ35" s="140"/>
      <c r="AK35" s="140"/>
      <c r="AL35" s="142"/>
      <c r="AM35" s="140"/>
      <c r="AN35" s="140"/>
      <c r="AO35" s="140"/>
      <c r="AP35" s="140"/>
      <c r="AQ35" s="140"/>
      <c r="AR35" s="142">
        <v>4</v>
      </c>
      <c r="AS35" s="142"/>
      <c r="AT35" s="141">
        <v>3</v>
      </c>
      <c r="AU35" s="154"/>
      <c r="AV35" s="142"/>
      <c r="AW35" s="140"/>
      <c r="AX35" s="142"/>
      <c r="AY35" s="142"/>
      <c r="AZ35" s="154"/>
      <c r="BA35" s="140"/>
      <c r="BB35" s="140"/>
      <c r="BC35" s="140"/>
      <c r="BD35" s="140"/>
      <c r="BE35" s="140"/>
      <c r="BF35" s="140"/>
      <c r="BG35" s="140"/>
      <c r="BH35" s="140"/>
      <c r="BI35" s="154"/>
      <c r="BJ35" s="140"/>
      <c r="BK35" s="140"/>
      <c r="BL35" s="142"/>
      <c r="BM35" s="154"/>
      <c r="BN35" s="140"/>
      <c r="BO35" s="140"/>
      <c r="BP35" s="140"/>
      <c r="BQ35" s="142"/>
      <c r="BR35" s="140"/>
      <c r="BS35" s="142"/>
      <c r="BT35" s="142"/>
      <c r="BU35" s="140"/>
      <c r="BV35" s="140"/>
      <c r="BW35" s="140"/>
      <c r="BX35" s="142"/>
      <c r="BY35" s="140"/>
      <c r="BZ35" s="140"/>
      <c r="CA35" s="140"/>
      <c r="CB35" s="140"/>
      <c r="CC35" s="140"/>
      <c r="CD35" s="140"/>
      <c r="CE35" s="140"/>
      <c r="CF35" s="140"/>
      <c r="CG35" s="140"/>
      <c r="CH35" s="154"/>
      <c r="CI35" s="140"/>
      <c r="CJ35" s="140"/>
      <c r="CK35" s="140"/>
      <c r="CL35" s="140"/>
      <c r="CM35" s="140"/>
      <c r="CN35" s="140"/>
      <c r="CO35" s="140"/>
      <c r="CP35" s="140"/>
      <c r="CQ35" s="142"/>
      <c r="CR35" s="142"/>
      <c r="CS35" s="140"/>
      <c r="CT35" s="140"/>
      <c r="CU35" s="140"/>
      <c r="CV35" s="140"/>
      <c r="CW35" s="142"/>
      <c r="CX35" s="142"/>
      <c r="CY35" s="154"/>
      <c r="CZ35" s="140"/>
      <c r="DA35" s="140"/>
      <c r="DB35" s="142"/>
      <c r="DC35" s="140"/>
      <c r="DD35" s="140"/>
      <c r="DE35" s="140"/>
      <c r="DF35" s="140"/>
    </row>
    <row r="36" spans="1:110" x14ac:dyDescent="0.35">
      <c r="A36" s="55" t="s">
        <v>153</v>
      </c>
      <c r="B36" s="161">
        <v>700</v>
      </c>
      <c r="C36" s="55">
        <v>98</v>
      </c>
      <c r="D36" s="58">
        <v>3.69</v>
      </c>
      <c r="E36" s="55">
        <v>22.35</v>
      </c>
      <c r="F36" s="55">
        <v>0</v>
      </c>
      <c r="G36" s="97" t="s">
        <v>155</v>
      </c>
      <c r="H36" s="78">
        <v>144</v>
      </c>
      <c r="I36" s="55">
        <v>0</v>
      </c>
      <c r="J36" s="55">
        <v>870</v>
      </c>
      <c r="K36" s="57">
        <v>5</v>
      </c>
      <c r="L36" s="48">
        <v>3</v>
      </c>
      <c r="M36" s="48">
        <v>7</v>
      </c>
      <c r="N36" s="192">
        <f t="shared" si="0"/>
        <v>170</v>
      </c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2"/>
      <c r="AD36" s="140"/>
      <c r="AE36" s="140"/>
      <c r="AF36" s="140"/>
      <c r="AG36" s="140"/>
      <c r="AH36" s="140"/>
      <c r="AI36" s="140"/>
      <c r="AJ36" s="140"/>
      <c r="AK36" s="140"/>
      <c r="AL36" s="142"/>
      <c r="AM36" s="140"/>
      <c r="AN36" s="140"/>
      <c r="AO36" s="140"/>
      <c r="AP36" s="140"/>
      <c r="AQ36" s="140"/>
      <c r="AR36" s="142"/>
      <c r="AS36" s="142"/>
      <c r="AT36" s="140"/>
      <c r="AU36" s="154"/>
      <c r="AV36" s="142"/>
      <c r="AW36" s="140"/>
      <c r="AX36" s="142"/>
      <c r="AY36" s="142">
        <v>1</v>
      </c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2"/>
      <c r="BM36" s="140"/>
      <c r="BN36" s="140"/>
      <c r="BO36" s="140"/>
      <c r="BP36" s="140"/>
      <c r="BQ36" s="142"/>
      <c r="BR36" s="140"/>
      <c r="BS36" s="142"/>
      <c r="BT36" s="142"/>
      <c r="BU36" s="140"/>
      <c r="BV36" s="140"/>
      <c r="BW36" s="140"/>
      <c r="BX36" s="142"/>
      <c r="BY36" s="140"/>
      <c r="BZ36" s="140"/>
      <c r="CA36" s="140"/>
      <c r="CB36" s="140"/>
      <c r="CC36" s="140"/>
      <c r="CD36" s="140"/>
      <c r="CE36" s="140"/>
      <c r="CF36" s="102">
        <v>1</v>
      </c>
      <c r="CG36" s="140"/>
      <c r="CH36" s="140"/>
      <c r="CI36" s="140"/>
      <c r="CJ36" s="140"/>
      <c r="CK36" s="102">
        <v>5</v>
      </c>
      <c r="CL36" s="140"/>
      <c r="CM36" s="140"/>
      <c r="CN36" s="140"/>
      <c r="CO36" s="140"/>
      <c r="CP36" s="140"/>
      <c r="CQ36" s="142"/>
      <c r="CR36" s="142"/>
      <c r="CS36" s="140"/>
      <c r="CT36" s="140"/>
      <c r="CU36" s="140"/>
      <c r="CV36" s="140"/>
      <c r="CW36" s="142"/>
      <c r="CX36" s="142"/>
      <c r="CY36" s="140"/>
      <c r="CZ36" s="140"/>
      <c r="DA36" s="140"/>
      <c r="DB36" s="142"/>
      <c r="DC36" s="140"/>
      <c r="DD36" s="140"/>
      <c r="DE36" s="140"/>
      <c r="DF36" s="140"/>
    </row>
    <row r="37" spans="1:110" x14ac:dyDescent="0.35">
      <c r="A37" s="55" t="s">
        <v>153</v>
      </c>
      <c r="B37" s="161">
        <v>700</v>
      </c>
      <c r="C37" s="55">
        <v>98</v>
      </c>
      <c r="D37" s="159">
        <v>3.69</v>
      </c>
      <c r="E37" s="55">
        <v>22.35</v>
      </c>
      <c r="F37" s="55">
        <v>0</v>
      </c>
      <c r="G37" s="158" t="s">
        <v>155</v>
      </c>
      <c r="H37" s="78">
        <v>144</v>
      </c>
      <c r="I37" s="55">
        <v>0</v>
      </c>
      <c r="J37" s="55">
        <v>870</v>
      </c>
      <c r="K37" s="57">
        <v>5</v>
      </c>
      <c r="L37" s="48">
        <v>13</v>
      </c>
      <c r="M37" s="48">
        <v>14</v>
      </c>
      <c r="N37" s="192">
        <f t="shared" si="0"/>
        <v>170</v>
      </c>
      <c r="O37" s="140"/>
      <c r="P37" s="140"/>
      <c r="Q37" s="140"/>
      <c r="R37" s="140"/>
      <c r="S37" s="140"/>
      <c r="T37" s="140"/>
      <c r="U37" s="140"/>
      <c r="V37" s="140"/>
      <c r="W37" s="140"/>
      <c r="X37" s="154"/>
      <c r="Y37" s="140"/>
      <c r="Z37" s="140"/>
      <c r="AA37" s="140"/>
      <c r="AB37" s="140"/>
      <c r="AC37" s="142"/>
      <c r="AD37" s="140"/>
      <c r="AE37" s="140"/>
      <c r="AF37" s="140"/>
      <c r="AG37" s="140"/>
      <c r="AH37" s="140"/>
      <c r="AI37" s="140"/>
      <c r="AJ37" s="140"/>
      <c r="AK37" s="140"/>
      <c r="AL37" s="142">
        <v>1</v>
      </c>
      <c r="AM37" s="102">
        <v>1</v>
      </c>
      <c r="AN37" s="140"/>
      <c r="AO37" s="140"/>
      <c r="AP37" s="140"/>
      <c r="AQ37" s="140"/>
      <c r="AR37" s="142"/>
      <c r="AS37" s="142"/>
      <c r="AT37" s="140"/>
      <c r="AU37" s="154"/>
      <c r="AV37" s="142"/>
      <c r="AW37" s="140"/>
      <c r="AX37" s="142"/>
      <c r="AY37" s="142"/>
      <c r="AZ37" s="140"/>
      <c r="BA37" s="140"/>
      <c r="BB37" s="140"/>
      <c r="BC37" s="140"/>
      <c r="BD37" s="140"/>
      <c r="BE37" s="140"/>
      <c r="BF37" s="140"/>
      <c r="BG37" s="140"/>
      <c r="BH37" s="102">
        <v>1</v>
      </c>
      <c r="BI37" s="140"/>
      <c r="BJ37" s="140"/>
      <c r="BK37" s="102">
        <v>1</v>
      </c>
      <c r="BL37" s="142"/>
      <c r="BM37" s="140"/>
      <c r="BN37" s="140"/>
      <c r="BO37" s="140"/>
      <c r="BP37" s="140"/>
      <c r="BQ37" s="142"/>
      <c r="BR37" s="140"/>
      <c r="BS37" s="142">
        <v>1</v>
      </c>
      <c r="BT37" s="142"/>
      <c r="BU37" s="140"/>
      <c r="BV37" s="140"/>
      <c r="BW37" s="140"/>
      <c r="BX37" s="142"/>
      <c r="BY37" s="102">
        <v>1</v>
      </c>
      <c r="BZ37" s="140"/>
      <c r="CA37" s="154"/>
      <c r="CB37" s="140"/>
      <c r="CC37" s="102">
        <v>1</v>
      </c>
      <c r="CD37" s="140"/>
      <c r="CE37" s="140"/>
      <c r="CF37" s="102">
        <v>1</v>
      </c>
      <c r="CG37" s="140"/>
      <c r="CH37" s="102">
        <v>2</v>
      </c>
      <c r="CI37" s="102">
        <v>1</v>
      </c>
      <c r="CJ37" s="140"/>
      <c r="CK37" s="140"/>
      <c r="CL37" s="140"/>
      <c r="CM37" s="140"/>
      <c r="CN37" s="140"/>
      <c r="CO37" s="140"/>
      <c r="CP37" s="140"/>
      <c r="CQ37" s="142"/>
      <c r="CR37" s="142"/>
      <c r="CS37" s="102">
        <v>1</v>
      </c>
      <c r="CT37" s="140"/>
      <c r="CU37" s="140"/>
      <c r="CV37" s="140"/>
      <c r="CW37" s="142">
        <v>1</v>
      </c>
      <c r="CX37" s="142"/>
      <c r="CY37" s="102">
        <v>1</v>
      </c>
      <c r="CZ37" s="140"/>
      <c r="DA37" s="140"/>
      <c r="DB37" s="142"/>
      <c r="DC37" s="140"/>
      <c r="DD37" s="140"/>
      <c r="DE37" s="140"/>
      <c r="DF37" s="140"/>
    </row>
    <row r="38" spans="1:110" x14ac:dyDescent="0.35">
      <c r="A38" s="55" t="s">
        <v>153</v>
      </c>
      <c r="B38" s="161">
        <v>780</v>
      </c>
      <c r="C38" s="55">
        <v>85</v>
      </c>
      <c r="D38" s="159">
        <v>3.81</v>
      </c>
      <c r="E38" s="55">
        <v>25</v>
      </c>
      <c r="F38" s="55">
        <v>0</v>
      </c>
      <c r="G38" s="158" t="s">
        <v>155</v>
      </c>
      <c r="H38" s="78">
        <v>144</v>
      </c>
      <c r="I38" s="55">
        <v>78.33</v>
      </c>
      <c r="J38" s="156">
        <v>870</v>
      </c>
      <c r="K38" s="57">
        <v>5</v>
      </c>
      <c r="L38" s="48">
        <v>3</v>
      </c>
      <c r="M38" s="48">
        <v>3</v>
      </c>
      <c r="N38" s="192">
        <f t="shared" si="0"/>
        <v>90</v>
      </c>
      <c r="O38" s="140"/>
      <c r="P38" s="140"/>
      <c r="Q38" s="140"/>
      <c r="R38" s="140"/>
      <c r="S38" s="140"/>
      <c r="T38" s="140"/>
      <c r="U38" s="140"/>
      <c r="V38" s="140"/>
      <c r="W38" s="102">
        <v>1</v>
      </c>
      <c r="X38" s="154"/>
      <c r="Y38" s="140"/>
      <c r="Z38" s="140"/>
      <c r="AA38" s="140"/>
      <c r="AB38" s="140"/>
      <c r="AC38" s="142"/>
      <c r="AD38" s="140"/>
      <c r="AE38" s="140"/>
      <c r="AF38" s="140"/>
      <c r="AG38" s="140"/>
      <c r="AH38" s="140"/>
      <c r="AI38" s="140"/>
      <c r="AJ38" s="140"/>
      <c r="AK38" s="140"/>
      <c r="AL38" s="142"/>
      <c r="AM38" s="140"/>
      <c r="AN38" s="140"/>
      <c r="AO38" s="140"/>
      <c r="AP38" s="140"/>
      <c r="AQ38" s="140"/>
      <c r="AR38" s="142"/>
      <c r="AS38" s="142"/>
      <c r="AT38" s="154"/>
      <c r="AU38" s="154"/>
      <c r="AV38" s="142"/>
      <c r="AW38" s="140"/>
      <c r="AX38" s="142"/>
      <c r="AY38" s="142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2"/>
      <c r="BM38" s="154"/>
      <c r="BN38" s="140"/>
      <c r="BO38" s="140"/>
      <c r="BP38" s="140"/>
      <c r="BQ38" s="142"/>
      <c r="BR38" s="140"/>
      <c r="BS38" s="142"/>
      <c r="BT38" s="142"/>
      <c r="BU38" s="140"/>
      <c r="BV38" s="140"/>
      <c r="BW38" s="140"/>
      <c r="BX38" s="142"/>
      <c r="BY38" s="140"/>
      <c r="BZ38" s="140"/>
      <c r="CA38" s="140"/>
      <c r="CB38" s="140"/>
      <c r="CC38" s="140"/>
      <c r="CD38" s="140"/>
      <c r="CE38" s="140"/>
      <c r="CF38" s="102">
        <v>1</v>
      </c>
      <c r="CG38" s="140"/>
      <c r="CH38" s="140"/>
      <c r="CI38" s="140"/>
      <c r="CJ38" s="140"/>
      <c r="CK38" s="140"/>
      <c r="CL38" s="140"/>
      <c r="CM38" s="140"/>
      <c r="CN38" s="140"/>
      <c r="CO38" s="140"/>
      <c r="CP38" s="140"/>
      <c r="CQ38" s="142"/>
      <c r="CR38" s="142"/>
      <c r="CS38" s="140"/>
      <c r="CT38" s="140"/>
      <c r="CU38" s="140"/>
      <c r="CV38" s="140"/>
      <c r="CW38" s="142"/>
      <c r="CX38" s="142"/>
      <c r="CY38" s="141">
        <v>1</v>
      </c>
      <c r="CZ38" s="140"/>
      <c r="DA38" s="140"/>
      <c r="DB38" s="142"/>
      <c r="DC38" s="140"/>
      <c r="DD38" s="140"/>
      <c r="DE38" s="140"/>
      <c r="DF38" s="140"/>
    </row>
    <row r="39" spans="1:110" s="177" customFormat="1" x14ac:dyDescent="0.35">
      <c r="A39" s="172" t="s">
        <v>153</v>
      </c>
      <c r="B39" s="173">
        <v>870</v>
      </c>
      <c r="C39" s="172">
        <v>85</v>
      </c>
      <c r="D39" s="174">
        <v>13.84</v>
      </c>
      <c r="E39" s="172">
        <v>26.7</v>
      </c>
      <c r="F39" s="172">
        <v>0</v>
      </c>
      <c r="G39" s="175" t="s">
        <v>155</v>
      </c>
      <c r="H39" s="175">
        <v>144</v>
      </c>
      <c r="I39" s="172">
        <v>100</v>
      </c>
      <c r="J39" s="172">
        <v>870</v>
      </c>
      <c r="K39" s="175">
        <v>3</v>
      </c>
      <c r="L39" s="176">
        <v>4</v>
      </c>
      <c r="M39" s="176">
        <v>6</v>
      </c>
      <c r="N39" s="192">
        <f t="shared" si="0"/>
        <v>0</v>
      </c>
      <c r="AC39" s="172"/>
      <c r="AL39" s="172"/>
      <c r="AR39" s="172"/>
      <c r="AS39" s="172"/>
      <c r="AT39" s="183">
        <v>2</v>
      </c>
      <c r="AV39" s="172"/>
      <c r="AX39" s="172"/>
      <c r="AY39" s="172"/>
      <c r="BL39" s="172"/>
      <c r="BQ39" s="172"/>
      <c r="BS39" s="172"/>
      <c r="BT39" s="172"/>
      <c r="BX39" s="172"/>
      <c r="CF39" s="183">
        <v>1</v>
      </c>
      <c r="CH39" s="183">
        <v>2</v>
      </c>
      <c r="CQ39" s="172"/>
      <c r="CR39" s="172"/>
      <c r="CW39" s="172"/>
      <c r="CX39" s="172"/>
      <c r="CY39" s="176">
        <v>1</v>
      </c>
      <c r="DB39" s="172"/>
    </row>
    <row r="40" spans="1:110" x14ac:dyDescent="0.35">
      <c r="A40" s="55" t="s">
        <v>153</v>
      </c>
      <c r="B40" s="161">
        <v>1000</v>
      </c>
      <c r="C40" s="55">
        <v>90</v>
      </c>
      <c r="D40" s="159">
        <v>8.44</v>
      </c>
      <c r="E40" s="55">
        <v>27.4</v>
      </c>
      <c r="F40" s="55">
        <v>0.8</v>
      </c>
      <c r="G40" s="158" t="s">
        <v>155</v>
      </c>
      <c r="H40" s="78">
        <v>144</v>
      </c>
      <c r="I40" s="55">
        <v>100</v>
      </c>
      <c r="J40" s="55">
        <v>870</v>
      </c>
      <c r="K40" s="57">
        <v>3</v>
      </c>
      <c r="L40" s="48">
        <v>12</v>
      </c>
      <c r="M40" s="48">
        <v>17</v>
      </c>
      <c r="N40" s="192">
        <f t="shared" si="0"/>
        <v>130</v>
      </c>
      <c r="O40" s="140"/>
      <c r="P40" s="140"/>
      <c r="Q40" s="140"/>
      <c r="R40" s="140"/>
      <c r="S40" s="140"/>
      <c r="T40" s="140"/>
      <c r="U40" s="140"/>
      <c r="V40" s="102">
        <v>1</v>
      </c>
      <c r="W40" s="140"/>
      <c r="X40" s="141">
        <v>1</v>
      </c>
      <c r="Y40" s="140"/>
      <c r="Z40" s="140"/>
      <c r="AA40" s="140"/>
      <c r="AB40" s="140"/>
      <c r="AC40" s="142"/>
      <c r="AD40" s="140"/>
      <c r="AE40" s="140"/>
      <c r="AF40" s="140"/>
      <c r="AG40" s="140"/>
      <c r="AH40" s="140"/>
      <c r="AI40" s="140"/>
      <c r="AJ40" s="140"/>
      <c r="AK40" s="140"/>
      <c r="AL40" s="142"/>
      <c r="AM40" s="140"/>
      <c r="AN40" s="140"/>
      <c r="AO40" s="140"/>
      <c r="AP40" s="140"/>
      <c r="AQ40" s="140"/>
      <c r="AR40" s="142"/>
      <c r="AS40" s="142">
        <v>3</v>
      </c>
      <c r="AT40" s="102">
        <v>2</v>
      </c>
      <c r="AU40" s="102">
        <v>2</v>
      </c>
      <c r="AV40" s="142"/>
      <c r="AW40" s="140"/>
      <c r="AX40" s="142"/>
      <c r="AY40" s="142"/>
      <c r="AZ40" s="102">
        <v>1</v>
      </c>
      <c r="BA40" s="140"/>
      <c r="BB40" s="140"/>
      <c r="BC40" s="140"/>
      <c r="BD40" s="140"/>
      <c r="BE40" s="140"/>
      <c r="BF40" s="140"/>
      <c r="BG40" s="140"/>
      <c r="BH40" s="140"/>
      <c r="BI40" s="102">
        <v>1</v>
      </c>
      <c r="BJ40" s="140"/>
      <c r="BK40" s="140"/>
      <c r="BL40" s="142"/>
      <c r="BM40" s="102">
        <v>2</v>
      </c>
      <c r="BN40" s="140"/>
      <c r="BO40" s="140"/>
      <c r="BP40" s="140"/>
      <c r="BQ40" s="142"/>
      <c r="BR40" s="140"/>
      <c r="BS40" s="142">
        <v>1</v>
      </c>
      <c r="BT40" s="142"/>
      <c r="BU40" s="140"/>
      <c r="BV40" s="140"/>
      <c r="BW40" s="140"/>
      <c r="BX40" s="142">
        <v>1</v>
      </c>
      <c r="BY40" s="140"/>
      <c r="BZ40" s="140"/>
      <c r="CA40" s="140"/>
      <c r="CB40" s="140"/>
      <c r="CC40" s="140"/>
      <c r="CD40" s="140"/>
      <c r="CE40" s="140"/>
      <c r="CF40" s="140"/>
      <c r="CG40" s="140"/>
      <c r="CH40" s="102">
        <v>1</v>
      </c>
      <c r="CI40" s="140"/>
      <c r="CJ40" s="140"/>
      <c r="CK40" s="140"/>
      <c r="CL40" s="140"/>
      <c r="CM40" s="140"/>
      <c r="CN40" s="140"/>
      <c r="CO40" s="140"/>
      <c r="CP40" s="140"/>
      <c r="CQ40" s="142"/>
      <c r="CR40" s="142"/>
      <c r="CS40" s="140"/>
      <c r="CT40" s="140"/>
      <c r="CU40" s="140"/>
      <c r="CV40" s="140"/>
      <c r="CW40" s="142"/>
      <c r="CX40" s="142"/>
      <c r="CY40" s="102">
        <v>1</v>
      </c>
      <c r="CZ40" s="140"/>
      <c r="DA40" s="140"/>
      <c r="DB40" s="142"/>
      <c r="DC40" s="140"/>
      <c r="DD40" s="140"/>
      <c r="DE40" s="140"/>
      <c r="DF40" s="140"/>
    </row>
    <row r="41" spans="1:110" x14ac:dyDescent="0.35">
      <c r="A41" s="55" t="s">
        <v>153</v>
      </c>
      <c r="B41" s="161">
        <v>700</v>
      </c>
      <c r="C41" s="55">
        <v>65</v>
      </c>
      <c r="D41" s="162">
        <v>3.5000000000000003E-2</v>
      </c>
      <c r="E41" s="55">
        <v>25.7</v>
      </c>
      <c r="F41" s="55">
        <v>0</v>
      </c>
      <c r="G41" s="97" t="s">
        <v>156</v>
      </c>
      <c r="H41" s="78">
        <v>145</v>
      </c>
      <c r="I41" s="55">
        <v>100</v>
      </c>
      <c r="J41" s="55">
        <v>2000</v>
      </c>
      <c r="K41" s="57">
        <v>5</v>
      </c>
      <c r="L41" s="48">
        <v>3</v>
      </c>
      <c r="M41" s="48">
        <v>3</v>
      </c>
      <c r="N41" s="192">
        <f t="shared" si="0"/>
        <v>1300</v>
      </c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2"/>
      <c r="AD41" s="140"/>
      <c r="AE41" s="140"/>
      <c r="AF41" s="140"/>
      <c r="AG41" s="140"/>
      <c r="AH41" s="140"/>
      <c r="AI41" s="140"/>
      <c r="AJ41" s="140"/>
      <c r="AK41" s="140"/>
      <c r="AL41" s="142"/>
      <c r="AM41" s="140"/>
      <c r="AN41" s="140"/>
      <c r="AO41" s="140"/>
      <c r="AP41" s="140"/>
      <c r="AQ41" s="140"/>
      <c r="AR41" s="142"/>
      <c r="AS41" s="142"/>
      <c r="AT41" s="154"/>
      <c r="AU41" s="154"/>
      <c r="AV41" s="142"/>
      <c r="AW41" s="140"/>
      <c r="AX41" s="142"/>
      <c r="AY41" s="142">
        <v>1</v>
      </c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2"/>
      <c r="BM41" s="154"/>
      <c r="BN41" s="140"/>
      <c r="BO41" s="140"/>
      <c r="BP41" s="140"/>
      <c r="BQ41" s="142"/>
      <c r="BR41" s="140"/>
      <c r="BS41" s="142"/>
      <c r="BT41" s="142"/>
      <c r="BU41" s="140"/>
      <c r="BV41" s="140"/>
      <c r="BW41" s="140"/>
      <c r="BX41" s="142"/>
      <c r="BY41" s="140"/>
      <c r="BZ41" s="140"/>
      <c r="CA41" s="140"/>
      <c r="CB41" s="140"/>
      <c r="CC41" s="140"/>
      <c r="CD41" s="140"/>
      <c r="CE41" s="140"/>
      <c r="CF41" s="102">
        <v>1</v>
      </c>
      <c r="CG41" s="140"/>
      <c r="CH41" s="140"/>
      <c r="CI41" s="102">
        <v>1</v>
      </c>
      <c r="CJ41" s="140"/>
      <c r="CK41" s="140"/>
      <c r="CL41" s="140"/>
      <c r="CM41" s="140"/>
      <c r="CN41" s="140"/>
      <c r="CO41" s="140"/>
      <c r="CP41" s="140"/>
      <c r="CQ41" s="142"/>
      <c r="CR41" s="142"/>
      <c r="CS41" s="140"/>
      <c r="CT41" s="140"/>
      <c r="CU41" s="140"/>
      <c r="CV41" s="140"/>
      <c r="CW41" s="142"/>
      <c r="CX41" s="142"/>
      <c r="CY41" s="154"/>
      <c r="CZ41" s="140"/>
      <c r="DA41" s="140"/>
      <c r="DB41" s="142"/>
      <c r="DC41" s="140"/>
      <c r="DD41" s="140"/>
      <c r="DE41" s="140"/>
      <c r="DF41" s="140"/>
    </row>
    <row r="42" spans="1:110" x14ac:dyDescent="0.35">
      <c r="A42" s="55" t="s">
        <v>153</v>
      </c>
      <c r="B42" s="161">
        <v>780</v>
      </c>
      <c r="C42" s="55">
        <v>50</v>
      </c>
      <c r="D42" s="162">
        <v>0.7</v>
      </c>
      <c r="E42" s="55">
        <v>26.3</v>
      </c>
      <c r="F42" s="55">
        <v>0</v>
      </c>
      <c r="G42" s="97" t="s">
        <v>156</v>
      </c>
      <c r="H42" s="78">
        <v>145</v>
      </c>
      <c r="I42" s="55">
        <v>100</v>
      </c>
      <c r="J42" s="55">
        <v>2000</v>
      </c>
      <c r="K42" s="57">
        <v>5</v>
      </c>
      <c r="L42" s="48">
        <v>2</v>
      </c>
      <c r="M42" s="48">
        <v>5</v>
      </c>
      <c r="N42" s="192">
        <f t="shared" si="0"/>
        <v>1220</v>
      </c>
      <c r="O42" s="140"/>
      <c r="P42" s="140"/>
      <c r="Q42" s="140"/>
      <c r="R42" s="140"/>
      <c r="S42" s="140"/>
      <c r="T42" s="140"/>
      <c r="U42" s="140"/>
      <c r="V42" s="140"/>
      <c r="W42" s="154"/>
      <c r="X42" s="140"/>
      <c r="Y42" s="140"/>
      <c r="Z42" s="140"/>
      <c r="AA42" s="140"/>
      <c r="AB42" s="140"/>
      <c r="AC42" s="142"/>
      <c r="AD42" s="140"/>
      <c r="AE42" s="102">
        <v>4</v>
      </c>
      <c r="AF42" s="140"/>
      <c r="AG42" s="140"/>
      <c r="AH42" s="140"/>
      <c r="AI42" s="140"/>
      <c r="AJ42" s="140"/>
      <c r="AK42" s="140"/>
      <c r="AL42" s="142"/>
      <c r="AM42" s="140"/>
      <c r="AN42" s="140"/>
      <c r="AO42" s="140"/>
      <c r="AP42" s="140"/>
      <c r="AQ42" s="140"/>
      <c r="AR42" s="142"/>
      <c r="AS42" s="142"/>
      <c r="AT42" s="140"/>
      <c r="AU42" s="140"/>
      <c r="AV42" s="142"/>
      <c r="AW42" s="140"/>
      <c r="AX42" s="142"/>
      <c r="AY42" s="142">
        <v>1</v>
      </c>
      <c r="AZ42" s="140"/>
      <c r="BA42" s="140"/>
      <c r="BB42" s="140"/>
      <c r="BC42" s="140"/>
      <c r="BD42" s="140"/>
      <c r="BE42" s="140"/>
      <c r="BF42" s="140"/>
      <c r="BG42" s="140"/>
      <c r="BH42" s="140"/>
      <c r="BI42" s="154"/>
      <c r="BJ42" s="140"/>
      <c r="BK42" s="140"/>
      <c r="BL42" s="142"/>
      <c r="BM42" s="140"/>
      <c r="BN42" s="140"/>
      <c r="BO42" s="140"/>
      <c r="BP42" s="140"/>
      <c r="BQ42" s="142"/>
      <c r="BR42" s="140"/>
      <c r="BS42" s="142"/>
      <c r="BT42" s="142"/>
      <c r="BU42" s="140"/>
      <c r="BV42" s="140"/>
      <c r="BW42" s="140"/>
      <c r="BX42" s="142"/>
      <c r="BY42" s="140"/>
      <c r="BZ42" s="140"/>
      <c r="CA42" s="140"/>
      <c r="CB42" s="140"/>
      <c r="CC42" s="140"/>
      <c r="CD42" s="140"/>
      <c r="CE42" s="140"/>
      <c r="CF42" s="154"/>
      <c r="CG42" s="140"/>
      <c r="CH42" s="140"/>
      <c r="CI42" s="140"/>
      <c r="CJ42" s="154"/>
      <c r="CK42" s="140"/>
      <c r="CL42" s="140"/>
      <c r="CM42" s="140"/>
      <c r="CN42" s="140"/>
      <c r="CO42" s="140"/>
      <c r="CP42" s="140"/>
      <c r="CQ42" s="142"/>
      <c r="CR42" s="142"/>
      <c r="CS42" s="140"/>
      <c r="CT42" s="140"/>
      <c r="CU42" s="140"/>
      <c r="CV42" s="140"/>
      <c r="CW42" s="142"/>
      <c r="CX42" s="142"/>
      <c r="CY42" s="140"/>
      <c r="CZ42" s="140"/>
      <c r="DA42" s="140"/>
      <c r="DB42" s="142"/>
      <c r="DC42" s="140"/>
      <c r="DD42" s="140"/>
      <c r="DE42" s="140"/>
      <c r="DF42" s="140"/>
    </row>
    <row r="43" spans="1:110" x14ac:dyDescent="0.35">
      <c r="A43" s="55" t="s">
        <v>153</v>
      </c>
      <c r="B43" s="161">
        <v>1100</v>
      </c>
      <c r="C43" s="55">
        <v>78</v>
      </c>
      <c r="D43" s="162">
        <v>20.350000000000001</v>
      </c>
      <c r="E43" s="55">
        <v>22.55</v>
      </c>
      <c r="F43" s="55">
        <v>0</v>
      </c>
      <c r="G43" s="97" t="s">
        <v>156</v>
      </c>
      <c r="H43" s="78">
        <v>145</v>
      </c>
      <c r="I43" s="55">
        <v>38.33</v>
      </c>
      <c r="J43" s="154">
        <v>1420</v>
      </c>
      <c r="K43" s="57">
        <v>2</v>
      </c>
      <c r="L43" s="48">
        <v>6</v>
      </c>
      <c r="M43" s="48">
        <v>14</v>
      </c>
      <c r="N43" s="192">
        <f t="shared" si="0"/>
        <v>320</v>
      </c>
      <c r="O43" s="140"/>
      <c r="P43" s="140"/>
      <c r="Q43" s="140"/>
      <c r="R43" s="140"/>
      <c r="S43" s="140"/>
      <c r="T43" s="140"/>
      <c r="U43" s="140"/>
      <c r="V43" s="140"/>
      <c r="W43" s="140"/>
      <c r="X43" s="102">
        <v>1</v>
      </c>
      <c r="Y43" s="140"/>
      <c r="Z43" s="140"/>
      <c r="AA43" s="140"/>
      <c r="AB43" s="140"/>
      <c r="AC43" s="142"/>
      <c r="AD43" s="140"/>
      <c r="AE43" s="140"/>
      <c r="AF43" s="140"/>
      <c r="AG43" s="140"/>
      <c r="AH43" s="140"/>
      <c r="AI43" s="140"/>
      <c r="AJ43" s="140"/>
      <c r="AK43" s="140"/>
      <c r="AL43" s="142"/>
      <c r="AM43" s="140"/>
      <c r="AN43" s="140"/>
      <c r="AO43" s="140"/>
      <c r="AP43" s="140"/>
      <c r="AQ43" s="140"/>
      <c r="AR43" s="142">
        <v>5</v>
      </c>
      <c r="AS43" s="142"/>
      <c r="AT43" s="102">
        <v>3</v>
      </c>
      <c r="AU43" s="102">
        <v>1</v>
      </c>
      <c r="AV43" s="142"/>
      <c r="AW43" s="140"/>
      <c r="AX43" s="142"/>
      <c r="AY43" s="142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2"/>
      <c r="BM43" s="102">
        <v>3</v>
      </c>
      <c r="BN43" s="140"/>
      <c r="BO43" s="140"/>
      <c r="BP43" s="140"/>
      <c r="BQ43" s="142"/>
      <c r="BR43" s="140"/>
      <c r="BS43" s="142"/>
      <c r="BT43" s="142"/>
      <c r="BU43" s="140"/>
      <c r="BV43" s="140"/>
      <c r="BW43" s="140"/>
      <c r="BX43" s="142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2"/>
      <c r="CR43" s="142"/>
      <c r="CS43" s="140"/>
      <c r="CT43" s="140"/>
      <c r="CU43" s="140"/>
      <c r="CV43" s="140"/>
      <c r="CW43" s="142"/>
      <c r="CX43" s="142"/>
      <c r="CY43" s="102">
        <v>1</v>
      </c>
      <c r="CZ43" s="140"/>
      <c r="DA43" s="140"/>
      <c r="DB43" s="142"/>
      <c r="DC43" s="140"/>
      <c r="DD43" s="140"/>
      <c r="DE43" s="140"/>
      <c r="DF43" s="140"/>
    </row>
    <row r="44" spans="1:110" x14ac:dyDescent="0.35">
      <c r="A44" s="55" t="s">
        <v>153</v>
      </c>
      <c r="B44" s="161">
        <v>1100</v>
      </c>
      <c r="C44" s="55">
        <v>77</v>
      </c>
      <c r="D44" s="162">
        <v>12.54</v>
      </c>
      <c r="E44" s="55">
        <v>25.3</v>
      </c>
      <c r="F44" s="55">
        <v>1</v>
      </c>
      <c r="G44" s="97" t="s">
        <v>156</v>
      </c>
      <c r="H44" s="78">
        <v>145</v>
      </c>
      <c r="I44" s="55">
        <v>100</v>
      </c>
      <c r="J44" s="55">
        <v>2000</v>
      </c>
      <c r="K44" s="57">
        <v>2</v>
      </c>
      <c r="L44" s="48">
        <v>1</v>
      </c>
      <c r="M44" s="48">
        <v>5</v>
      </c>
      <c r="N44" s="192">
        <f t="shared" si="0"/>
        <v>900</v>
      </c>
      <c r="O44" s="140"/>
      <c r="P44" s="140"/>
      <c r="Q44" s="140"/>
      <c r="R44" s="140"/>
      <c r="S44" s="140"/>
      <c r="T44" s="140"/>
      <c r="U44" s="140"/>
      <c r="V44" s="140"/>
      <c r="W44" s="154"/>
      <c r="X44" s="102">
        <v>5</v>
      </c>
      <c r="Y44" s="140"/>
      <c r="Z44" s="140"/>
      <c r="AA44" s="140"/>
      <c r="AB44" s="140"/>
      <c r="AC44" s="142"/>
      <c r="AD44" s="140"/>
      <c r="AE44" s="140"/>
      <c r="AF44" s="140"/>
      <c r="AG44" s="140"/>
      <c r="AH44" s="140"/>
      <c r="AI44" s="140"/>
      <c r="AJ44" s="140"/>
      <c r="AK44" s="140"/>
      <c r="AL44" s="142"/>
      <c r="AM44" s="140"/>
      <c r="AN44" s="140"/>
      <c r="AO44" s="140"/>
      <c r="AP44" s="140"/>
      <c r="AQ44" s="140"/>
      <c r="AR44" s="142"/>
      <c r="AS44" s="142"/>
      <c r="AT44" s="140"/>
      <c r="AU44" s="140"/>
      <c r="AV44" s="142"/>
      <c r="AW44" s="140"/>
      <c r="AX44" s="142"/>
      <c r="AY44" s="142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2"/>
      <c r="BM44" s="140"/>
      <c r="BN44" s="140"/>
      <c r="BO44" s="140"/>
      <c r="BP44" s="140"/>
      <c r="BQ44" s="142"/>
      <c r="BR44" s="140"/>
      <c r="BS44" s="142"/>
      <c r="BT44" s="142"/>
      <c r="BU44" s="140"/>
      <c r="BV44" s="140"/>
      <c r="BW44" s="140"/>
      <c r="BX44" s="142"/>
      <c r="BY44" s="140"/>
      <c r="BZ44" s="140"/>
      <c r="CA44" s="140"/>
      <c r="CB44" s="140"/>
      <c r="CC44" s="140"/>
      <c r="CD44" s="140"/>
      <c r="CE44" s="140"/>
      <c r="CF44" s="154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2"/>
      <c r="CR44" s="142"/>
      <c r="CS44" s="140"/>
      <c r="CT44" s="140"/>
      <c r="CU44" s="140"/>
      <c r="CV44" s="140"/>
      <c r="CW44" s="142"/>
      <c r="CX44" s="142"/>
      <c r="CY44" s="140"/>
      <c r="CZ44" s="140"/>
      <c r="DA44" s="140"/>
      <c r="DB44" s="142"/>
      <c r="DC44" s="140"/>
      <c r="DD44" s="140"/>
      <c r="DE44" s="140"/>
      <c r="DF44" s="140"/>
    </row>
    <row r="45" spans="1:110" x14ac:dyDescent="0.35">
      <c r="A45" s="55" t="s">
        <v>153</v>
      </c>
      <c r="B45" s="161">
        <v>1250</v>
      </c>
      <c r="C45" s="55">
        <v>95</v>
      </c>
      <c r="D45" s="159">
        <v>5.99</v>
      </c>
      <c r="E45" s="55">
        <v>25.7</v>
      </c>
      <c r="F45" s="55">
        <v>0</v>
      </c>
      <c r="G45" s="97" t="s">
        <v>156</v>
      </c>
      <c r="H45" s="78">
        <v>145</v>
      </c>
      <c r="I45" s="55">
        <v>100</v>
      </c>
      <c r="J45" s="55">
        <v>1420</v>
      </c>
      <c r="K45" s="57">
        <v>3</v>
      </c>
      <c r="L45" s="48">
        <v>5</v>
      </c>
      <c r="M45" s="48">
        <v>7</v>
      </c>
      <c r="N45" s="192">
        <f t="shared" si="0"/>
        <v>170</v>
      </c>
      <c r="O45" s="140"/>
      <c r="P45" s="140"/>
      <c r="Q45" s="140"/>
      <c r="R45" s="140"/>
      <c r="S45" s="140"/>
      <c r="T45" s="140"/>
      <c r="U45" s="140"/>
      <c r="V45" s="140"/>
      <c r="W45" s="102">
        <v>3</v>
      </c>
      <c r="X45" s="140"/>
      <c r="Y45" s="140"/>
      <c r="Z45" s="140"/>
      <c r="AA45" s="140"/>
      <c r="AB45" s="140"/>
      <c r="AC45" s="142"/>
      <c r="AD45" s="140"/>
      <c r="AE45" s="140"/>
      <c r="AF45" s="140"/>
      <c r="AG45" s="140"/>
      <c r="AH45" s="140"/>
      <c r="AI45" s="140"/>
      <c r="AJ45" s="140"/>
      <c r="AK45" s="140"/>
      <c r="AL45" s="142"/>
      <c r="AM45" s="140"/>
      <c r="AN45" s="140"/>
      <c r="AO45" s="140"/>
      <c r="AP45" s="140"/>
      <c r="AQ45" s="140"/>
      <c r="AR45" s="142"/>
      <c r="AS45" s="142"/>
      <c r="AT45" s="154"/>
      <c r="AU45" s="154"/>
      <c r="AV45" s="142"/>
      <c r="AW45" s="140"/>
      <c r="AX45" s="142"/>
      <c r="AY45" s="142"/>
      <c r="AZ45" s="140"/>
      <c r="BA45" s="140"/>
      <c r="BB45" s="140"/>
      <c r="BC45" s="140"/>
      <c r="BD45" s="140"/>
      <c r="BE45" s="140"/>
      <c r="BF45" s="140"/>
      <c r="BG45" s="140"/>
      <c r="BH45" s="140"/>
      <c r="BI45" s="102">
        <v>1</v>
      </c>
      <c r="BJ45" s="140"/>
      <c r="BK45" s="140"/>
      <c r="BL45" s="142"/>
      <c r="BM45" s="140"/>
      <c r="BN45" s="140"/>
      <c r="BO45" s="140"/>
      <c r="BP45" s="140"/>
      <c r="BQ45" s="142"/>
      <c r="BR45" s="140"/>
      <c r="BS45" s="142">
        <v>1</v>
      </c>
      <c r="BT45" s="142"/>
      <c r="BU45" s="140"/>
      <c r="BV45" s="140"/>
      <c r="BW45" s="140"/>
      <c r="BX45" s="142"/>
      <c r="BY45" s="140"/>
      <c r="BZ45" s="140"/>
      <c r="CA45" s="140"/>
      <c r="CB45" s="140"/>
      <c r="CC45" s="140"/>
      <c r="CD45" s="154"/>
      <c r="CE45" s="140"/>
      <c r="CF45" s="102">
        <v>1</v>
      </c>
      <c r="CG45" s="140"/>
      <c r="CH45" s="140"/>
      <c r="CI45" s="140"/>
      <c r="CJ45" s="102">
        <v>1</v>
      </c>
      <c r="CK45" s="140"/>
      <c r="CL45" s="140"/>
      <c r="CM45" s="140"/>
      <c r="CN45" s="140"/>
      <c r="CO45" s="140"/>
      <c r="CP45" s="140"/>
      <c r="CQ45" s="142"/>
      <c r="CR45" s="142"/>
      <c r="CS45" s="140"/>
      <c r="CT45" s="140"/>
      <c r="CU45" s="140"/>
      <c r="CV45" s="140"/>
      <c r="CW45" s="142"/>
      <c r="CX45" s="142"/>
      <c r="CY45" s="140"/>
      <c r="CZ45" s="140"/>
      <c r="DA45" s="140"/>
      <c r="DB45" s="142"/>
      <c r="DC45" s="140"/>
      <c r="DD45" s="140"/>
      <c r="DE45" s="140"/>
      <c r="DF45" s="140"/>
    </row>
    <row r="46" spans="1:110" x14ac:dyDescent="0.35">
      <c r="A46" s="55" t="s">
        <v>153</v>
      </c>
      <c r="B46" s="161">
        <v>1250</v>
      </c>
      <c r="C46" s="55">
        <v>80</v>
      </c>
      <c r="D46" s="159">
        <v>6.89</v>
      </c>
      <c r="E46" s="55">
        <v>24.3</v>
      </c>
      <c r="F46" s="55">
        <v>0.87</v>
      </c>
      <c r="G46" s="97" t="s">
        <v>156</v>
      </c>
      <c r="H46" s="78">
        <v>145</v>
      </c>
      <c r="I46" s="55">
        <v>100</v>
      </c>
      <c r="J46" s="55">
        <v>2000</v>
      </c>
      <c r="K46" s="57">
        <v>3</v>
      </c>
      <c r="L46" s="48">
        <v>2</v>
      </c>
      <c r="M46" s="48">
        <v>2</v>
      </c>
      <c r="N46" s="192">
        <f t="shared" si="0"/>
        <v>750</v>
      </c>
      <c r="O46" s="140"/>
      <c r="P46" s="140"/>
      <c r="Q46" s="140"/>
      <c r="R46" s="140"/>
      <c r="S46" s="140"/>
      <c r="T46" s="140"/>
      <c r="U46" s="140"/>
      <c r="V46" s="140"/>
      <c r="W46" s="102">
        <v>1</v>
      </c>
      <c r="X46" s="140"/>
      <c r="Y46" s="140"/>
      <c r="Z46" s="140"/>
      <c r="AA46" s="140"/>
      <c r="AB46" s="140"/>
      <c r="AC46" s="142"/>
      <c r="AD46" s="140"/>
      <c r="AE46" s="140"/>
      <c r="AF46" s="140"/>
      <c r="AG46" s="140"/>
      <c r="AH46" s="140"/>
      <c r="AI46" s="140"/>
      <c r="AJ46" s="140"/>
      <c r="AK46" s="140"/>
      <c r="AL46" s="142"/>
      <c r="AM46" s="140"/>
      <c r="AN46" s="140"/>
      <c r="AO46" s="140"/>
      <c r="AP46" s="140"/>
      <c r="AQ46" s="140"/>
      <c r="AR46" s="142"/>
      <c r="AS46" s="142"/>
      <c r="AT46" s="154"/>
      <c r="AU46" s="140"/>
      <c r="AV46" s="142"/>
      <c r="AW46" s="140"/>
      <c r="AX46" s="142"/>
      <c r="AY46" s="142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2"/>
      <c r="BM46" s="154"/>
      <c r="BN46" s="154"/>
      <c r="BO46" s="154"/>
      <c r="BP46" s="140"/>
      <c r="BQ46" s="142"/>
      <c r="BR46" s="140"/>
      <c r="BS46" s="142"/>
      <c r="BT46" s="142"/>
      <c r="BU46" s="140"/>
      <c r="BV46" s="140"/>
      <c r="BW46" s="140"/>
      <c r="BX46" s="142"/>
      <c r="BY46" s="140"/>
      <c r="BZ46" s="140"/>
      <c r="CA46" s="140"/>
      <c r="CB46" s="140"/>
      <c r="CC46" s="140"/>
      <c r="CD46" s="140"/>
      <c r="CE46" s="140"/>
      <c r="CF46" s="102">
        <v>1</v>
      </c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2"/>
      <c r="CR46" s="142"/>
      <c r="CS46" s="140"/>
      <c r="CT46" s="140"/>
      <c r="CU46" s="140"/>
      <c r="CV46" s="140"/>
      <c r="CW46" s="142"/>
      <c r="CX46" s="142"/>
      <c r="CY46" s="140"/>
      <c r="CZ46" s="140"/>
      <c r="DA46" s="140"/>
      <c r="DB46" s="142"/>
      <c r="DC46" s="140"/>
      <c r="DD46" s="140"/>
      <c r="DE46" s="140"/>
      <c r="DF46" s="140"/>
    </row>
    <row r="47" spans="1:110" x14ac:dyDescent="0.35">
      <c r="A47" s="55" t="s">
        <v>153</v>
      </c>
      <c r="B47" s="161">
        <v>1360</v>
      </c>
      <c r="C47" s="55">
        <v>99</v>
      </c>
      <c r="D47" s="162">
        <v>12.46</v>
      </c>
      <c r="E47" s="55">
        <v>22.9</v>
      </c>
      <c r="F47" s="55">
        <v>0</v>
      </c>
      <c r="G47" s="97" t="s">
        <v>156</v>
      </c>
      <c r="H47" s="78">
        <v>145</v>
      </c>
      <c r="I47" s="55">
        <v>100</v>
      </c>
      <c r="J47" s="55">
        <v>1420</v>
      </c>
      <c r="K47" s="57">
        <v>1</v>
      </c>
      <c r="L47" s="48">
        <v>4</v>
      </c>
      <c r="M47" s="48">
        <v>5</v>
      </c>
      <c r="N47" s="192">
        <f t="shared" si="0"/>
        <v>60</v>
      </c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2"/>
      <c r="AD47" s="140"/>
      <c r="AE47" s="140"/>
      <c r="AF47" s="140"/>
      <c r="AG47" s="140"/>
      <c r="AH47" s="140"/>
      <c r="AI47" s="140"/>
      <c r="AJ47" s="140"/>
      <c r="AK47" s="140"/>
      <c r="AL47" s="142"/>
      <c r="AM47" s="140"/>
      <c r="AN47" s="140"/>
      <c r="AO47" s="140"/>
      <c r="AP47" s="140"/>
      <c r="AQ47" s="140"/>
      <c r="AR47" s="142"/>
      <c r="AS47" s="142"/>
      <c r="AT47" s="102">
        <v>1</v>
      </c>
      <c r="AU47" s="140"/>
      <c r="AV47" s="142"/>
      <c r="AW47" s="140"/>
      <c r="AX47" s="142"/>
      <c r="AY47" s="142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2"/>
      <c r="BM47" s="102">
        <v>1</v>
      </c>
      <c r="BN47" s="102">
        <v>1</v>
      </c>
      <c r="BO47" s="102">
        <v>2</v>
      </c>
      <c r="BP47" s="140"/>
      <c r="BQ47" s="142"/>
      <c r="BR47" s="140"/>
      <c r="BS47" s="142"/>
      <c r="BT47" s="142"/>
      <c r="BU47" s="140"/>
      <c r="BV47" s="140"/>
      <c r="BW47" s="140"/>
      <c r="BX47" s="142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2"/>
      <c r="CR47" s="142"/>
      <c r="CS47" s="140"/>
      <c r="CT47" s="140"/>
      <c r="CU47" s="140"/>
      <c r="CV47" s="140"/>
      <c r="CW47" s="142"/>
      <c r="CX47" s="142"/>
      <c r="CY47" s="140"/>
      <c r="CZ47" s="140"/>
      <c r="DA47" s="140"/>
      <c r="DB47" s="142"/>
      <c r="DC47" s="140"/>
      <c r="DD47" s="140"/>
      <c r="DE47" s="140"/>
      <c r="DF47" s="140"/>
    </row>
    <row r="48" spans="1:110" x14ac:dyDescent="0.35">
      <c r="A48" s="55" t="s">
        <v>153</v>
      </c>
      <c r="B48" s="157">
        <v>1360</v>
      </c>
      <c r="C48" s="55">
        <v>99</v>
      </c>
      <c r="D48" s="58">
        <v>7.19</v>
      </c>
      <c r="E48" s="55">
        <v>23.4</v>
      </c>
      <c r="F48" s="55">
        <v>1.5</v>
      </c>
      <c r="G48" s="97" t="s">
        <v>156</v>
      </c>
      <c r="H48" s="78">
        <v>145</v>
      </c>
      <c r="I48" s="55">
        <v>100</v>
      </c>
      <c r="J48" s="55">
        <v>2000</v>
      </c>
      <c r="K48" s="57">
        <v>1</v>
      </c>
      <c r="L48" s="48">
        <v>0</v>
      </c>
      <c r="M48" s="48">
        <v>0</v>
      </c>
      <c r="N48" s="192">
        <f t="shared" si="0"/>
        <v>640</v>
      </c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2"/>
      <c r="AD48" s="140"/>
      <c r="AE48" s="140"/>
      <c r="AF48" s="140"/>
      <c r="AG48" s="140"/>
      <c r="AH48" s="140"/>
      <c r="AI48" s="140"/>
      <c r="AJ48" s="140"/>
      <c r="AK48" s="140"/>
      <c r="AL48" s="142"/>
      <c r="AM48" s="140"/>
      <c r="AN48" s="140"/>
      <c r="AO48" s="140"/>
      <c r="AP48" s="140"/>
      <c r="AQ48" s="140"/>
      <c r="AR48" s="142"/>
      <c r="AS48" s="142"/>
      <c r="AT48" s="140"/>
      <c r="AU48" s="140"/>
      <c r="AV48" s="142"/>
      <c r="AW48" s="140"/>
      <c r="AX48" s="142"/>
      <c r="AY48" s="142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2"/>
      <c r="BM48" s="140"/>
      <c r="BN48" s="140"/>
      <c r="BO48" s="140"/>
      <c r="BP48" s="140"/>
      <c r="BQ48" s="142"/>
      <c r="BR48" s="140"/>
      <c r="BS48" s="142"/>
      <c r="BT48" s="142"/>
      <c r="BU48" s="140"/>
      <c r="BV48" s="140"/>
      <c r="BW48" s="140"/>
      <c r="BX48" s="142"/>
      <c r="BY48" s="140"/>
      <c r="BZ48" s="140"/>
      <c r="CA48" s="140"/>
      <c r="CB48" s="140"/>
      <c r="CC48" s="140"/>
      <c r="CD48" s="140"/>
      <c r="CE48" s="140"/>
      <c r="CF48" s="140"/>
      <c r="CG48" s="140"/>
      <c r="CH48" s="140"/>
      <c r="CI48" s="140"/>
      <c r="CJ48" s="140"/>
      <c r="CK48" s="140"/>
      <c r="CL48" s="140"/>
      <c r="CM48" s="140"/>
      <c r="CN48" s="140"/>
      <c r="CO48" s="140"/>
      <c r="CP48" s="140"/>
      <c r="CQ48" s="142"/>
      <c r="CR48" s="142"/>
      <c r="CS48" s="140"/>
      <c r="CT48" s="140"/>
      <c r="CU48" s="140"/>
      <c r="CV48" s="140"/>
      <c r="CW48" s="142"/>
      <c r="CX48" s="142"/>
      <c r="CY48" s="140"/>
      <c r="CZ48" s="140"/>
      <c r="DA48" s="140"/>
      <c r="DB48" s="142"/>
      <c r="DC48" s="140"/>
      <c r="DD48" s="140"/>
      <c r="DE48" s="140"/>
      <c r="DF48" s="140"/>
    </row>
    <row r="49" spans="1:110" s="177" customFormat="1" x14ac:dyDescent="0.35">
      <c r="A49" s="172" t="s">
        <v>153</v>
      </c>
      <c r="B49" s="173">
        <v>1420</v>
      </c>
      <c r="C49" s="172">
        <v>99</v>
      </c>
      <c r="D49" s="174">
        <v>0.54</v>
      </c>
      <c r="E49" s="172">
        <v>21.9</v>
      </c>
      <c r="F49" s="172">
        <v>0</v>
      </c>
      <c r="G49" s="179" t="s">
        <v>156</v>
      </c>
      <c r="H49" s="175">
        <v>145</v>
      </c>
      <c r="I49" s="172">
        <v>100</v>
      </c>
      <c r="J49" s="172">
        <v>1420</v>
      </c>
      <c r="K49" s="175">
        <v>6</v>
      </c>
      <c r="L49" s="176">
        <v>3</v>
      </c>
      <c r="M49" s="176">
        <v>3</v>
      </c>
      <c r="N49" s="192">
        <f t="shared" si="0"/>
        <v>0</v>
      </c>
      <c r="AC49" s="172"/>
      <c r="AL49" s="172"/>
      <c r="AO49" s="183">
        <v>1</v>
      </c>
      <c r="AR49" s="172"/>
      <c r="AS49" s="172"/>
      <c r="AT49" s="176"/>
      <c r="AV49" s="172"/>
      <c r="AX49" s="172"/>
      <c r="AY49" s="172"/>
      <c r="BL49" s="172"/>
      <c r="BQ49" s="172"/>
      <c r="BS49" s="172"/>
      <c r="BT49" s="172"/>
      <c r="BW49" s="183">
        <v>1</v>
      </c>
      <c r="BX49" s="172"/>
      <c r="CQ49" s="172"/>
      <c r="CR49" s="172"/>
      <c r="CW49" s="172"/>
      <c r="CX49" s="172"/>
      <c r="CY49" s="183">
        <v>1</v>
      </c>
      <c r="DB49" s="172"/>
    </row>
    <row r="50" spans="1:110" x14ac:dyDescent="0.35">
      <c r="A50" s="55" t="s">
        <v>153</v>
      </c>
      <c r="B50" s="161">
        <v>1420</v>
      </c>
      <c r="C50" s="55">
        <v>99</v>
      </c>
      <c r="D50" s="58">
        <v>1.67</v>
      </c>
      <c r="E50" s="55">
        <v>25.2</v>
      </c>
      <c r="F50" s="55">
        <v>0</v>
      </c>
      <c r="G50" s="97" t="s">
        <v>156</v>
      </c>
      <c r="H50" s="78">
        <v>145</v>
      </c>
      <c r="I50" s="55">
        <v>100</v>
      </c>
      <c r="J50" s="55">
        <v>2000</v>
      </c>
      <c r="K50" s="57">
        <v>6</v>
      </c>
      <c r="L50" s="48">
        <v>3</v>
      </c>
      <c r="M50" s="48">
        <v>4</v>
      </c>
      <c r="N50" s="192">
        <f t="shared" si="0"/>
        <v>580</v>
      </c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2"/>
      <c r="AD50" s="140"/>
      <c r="AE50" s="140"/>
      <c r="AF50" s="140"/>
      <c r="AG50" s="140"/>
      <c r="AH50" s="140"/>
      <c r="AI50" s="140"/>
      <c r="AJ50" s="140"/>
      <c r="AK50" s="140"/>
      <c r="AL50" s="142"/>
      <c r="AM50" s="140"/>
      <c r="AN50" s="140"/>
      <c r="AO50" s="154"/>
      <c r="AP50" s="140"/>
      <c r="AQ50" s="140"/>
      <c r="AR50" s="142"/>
      <c r="AS50" s="142"/>
      <c r="AT50" s="140"/>
      <c r="AU50" s="140"/>
      <c r="AV50" s="142"/>
      <c r="AW50" s="140"/>
      <c r="AX50" s="142"/>
      <c r="AY50" s="142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2"/>
      <c r="BM50" s="140"/>
      <c r="BN50" s="140"/>
      <c r="BO50" s="140"/>
      <c r="BP50" s="140"/>
      <c r="BQ50" s="142"/>
      <c r="BR50" s="140"/>
      <c r="BS50" s="142"/>
      <c r="BT50" s="142"/>
      <c r="BU50" s="140"/>
      <c r="BV50" s="140"/>
      <c r="BW50" s="154"/>
      <c r="BX50" s="142"/>
      <c r="BY50" s="140"/>
      <c r="BZ50" s="140"/>
      <c r="CA50" s="140"/>
      <c r="CB50" s="140"/>
      <c r="CC50" s="140"/>
      <c r="CD50" s="140"/>
      <c r="CE50" s="102">
        <v>1</v>
      </c>
      <c r="CF50" s="140"/>
      <c r="CG50" s="140"/>
      <c r="CH50" s="140"/>
      <c r="CI50" s="140"/>
      <c r="CJ50" s="102">
        <v>1</v>
      </c>
      <c r="CK50" s="140"/>
      <c r="CL50" s="140"/>
      <c r="CM50" s="140"/>
      <c r="CN50" s="140"/>
      <c r="CO50" s="140"/>
      <c r="CP50" s="140"/>
      <c r="CQ50" s="142"/>
      <c r="CR50" s="142"/>
      <c r="CS50" s="140"/>
      <c r="CT50" s="140"/>
      <c r="CU50" s="140"/>
      <c r="CV50" s="140"/>
      <c r="CW50" s="142"/>
      <c r="CX50" s="142"/>
      <c r="CY50" s="154"/>
      <c r="CZ50" s="140"/>
      <c r="DA50" s="140"/>
      <c r="DB50" s="142"/>
      <c r="DC50" s="140"/>
      <c r="DD50" s="140"/>
      <c r="DE50" s="140"/>
      <c r="DF50" s="102">
        <v>2</v>
      </c>
    </row>
    <row r="51" spans="1:110" x14ac:dyDescent="0.35">
      <c r="A51" s="55" t="s">
        <v>153</v>
      </c>
      <c r="B51" s="161">
        <v>480</v>
      </c>
      <c r="C51" s="55">
        <v>99</v>
      </c>
      <c r="D51" s="58">
        <v>6.06</v>
      </c>
      <c r="E51" s="55">
        <v>25.35</v>
      </c>
      <c r="F51" s="55">
        <v>0</v>
      </c>
      <c r="G51" s="158" t="s">
        <v>154</v>
      </c>
      <c r="H51" s="78">
        <v>146</v>
      </c>
      <c r="I51" s="55">
        <v>100</v>
      </c>
      <c r="J51" s="55">
        <v>580</v>
      </c>
      <c r="K51" s="57">
        <v>4</v>
      </c>
      <c r="L51" s="48">
        <v>9</v>
      </c>
      <c r="M51" s="48">
        <v>9</v>
      </c>
      <c r="N51" s="192">
        <f t="shared" si="0"/>
        <v>100</v>
      </c>
      <c r="O51" s="140"/>
      <c r="P51" s="140"/>
      <c r="Q51" s="102">
        <v>1</v>
      </c>
      <c r="R51" s="140"/>
      <c r="S51" s="140"/>
      <c r="T51" s="140"/>
      <c r="U51" s="140"/>
      <c r="V51" s="140"/>
      <c r="W51" s="140"/>
      <c r="X51" s="154"/>
      <c r="Y51" s="140"/>
      <c r="Z51" s="140"/>
      <c r="AA51" s="140"/>
      <c r="AB51" s="140"/>
      <c r="AC51" s="142"/>
      <c r="AD51" s="140"/>
      <c r="AE51" s="140"/>
      <c r="AF51" s="140"/>
      <c r="AG51" s="140"/>
      <c r="AH51" s="140"/>
      <c r="AI51" s="140"/>
      <c r="AJ51" s="140"/>
      <c r="AK51" s="140"/>
      <c r="AL51" s="142"/>
      <c r="AM51" s="140"/>
      <c r="AN51" s="140"/>
      <c r="AO51" s="140"/>
      <c r="AP51" s="140"/>
      <c r="AQ51" s="140"/>
      <c r="AR51" s="142"/>
      <c r="AS51" s="142"/>
      <c r="AT51" s="154"/>
      <c r="AU51" s="140"/>
      <c r="AV51" s="142"/>
      <c r="AW51" s="140"/>
      <c r="AX51" s="142"/>
      <c r="AY51" s="142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2">
        <v>1</v>
      </c>
      <c r="BM51" s="140"/>
      <c r="BN51" s="140"/>
      <c r="BO51" s="140"/>
      <c r="BP51" s="140"/>
      <c r="BQ51" s="142"/>
      <c r="BR51" s="140"/>
      <c r="BS51" s="142"/>
      <c r="BT51" s="142"/>
      <c r="BU51" s="140"/>
      <c r="BV51" s="140"/>
      <c r="BW51" s="140"/>
      <c r="BX51" s="142">
        <v>1</v>
      </c>
      <c r="BY51" s="140"/>
      <c r="BZ51" s="140"/>
      <c r="CA51" s="140"/>
      <c r="CB51" s="140"/>
      <c r="CC51" s="102">
        <v>1</v>
      </c>
      <c r="CD51" s="140"/>
      <c r="CE51" s="140"/>
      <c r="CF51" s="140"/>
      <c r="CG51" s="140"/>
      <c r="CH51" s="140"/>
      <c r="CI51" s="140"/>
      <c r="CJ51" s="102">
        <v>1</v>
      </c>
      <c r="CK51" s="140"/>
      <c r="CL51" s="140"/>
      <c r="CM51" s="140"/>
      <c r="CN51" s="140"/>
      <c r="CO51" s="140"/>
      <c r="CP51" s="140"/>
      <c r="CQ51" s="142">
        <v>1</v>
      </c>
      <c r="CR51" s="142"/>
      <c r="CS51" s="140"/>
      <c r="CT51" s="140"/>
      <c r="CU51" s="140"/>
      <c r="CV51" s="140"/>
      <c r="CW51" s="142">
        <v>1</v>
      </c>
      <c r="CX51" s="142"/>
      <c r="CY51" s="102">
        <v>1</v>
      </c>
      <c r="CZ51" s="140"/>
      <c r="DA51" s="140"/>
      <c r="DB51" s="142">
        <v>1</v>
      </c>
      <c r="DC51" s="140"/>
      <c r="DD51" s="140"/>
      <c r="DE51" s="140"/>
      <c r="DF51" s="140"/>
    </row>
    <row r="52" spans="1:110" s="177" customFormat="1" x14ac:dyDescent="0.35">
      <c r="A52" s="172" t="s">
        <v>153</v>
      </c>
      <c r="B52" s="173">
        <v>580</v>
      </c>
      <c r="C52" s="172">
        <v>98</v>
      </c>
      <c r="D52" s="174">
        <v>0.77</v>
      </c>
      <c r="E52" s="172">
        <v>22.6</v>
      </c>
      <c r="F52" s="172">
        <v>0</v>
      </c>
      <c r="G52" s="175" t="s">
        <v>154</v>
      </c>
      <c r="H52" s="175">
        <v>146</v>
      </c>
      <c r="I52" s="172">
        <v>100</v>
      </c>
      <c r="J52" s="172">
        <v>580</v>
      </c>
      <c r="K52" s="175">
        <v>3</v>
      </c>
      <c r="L52" s="176">
        <v>8</v>
      </c>
      <c r="M52" s="176">
        <v>14</v>
      </c>
      <c r="N52" s="192">
        <f t="shared" si="0"/>
        <v>0</v>
      </c>
      <c r="AC52" s="172">
        <v>3</v>
      </c>
      <c r="AH52" s="183">
        <v>1</v>
      </c>
      <c r="AL52" s="172"/>
      <c r="AR52" s="172"/>
      <c r="AS52" s="172"/>
      <c r="AV52" s="172"/>
      <c r="AX52" s="172"/>
      <c r="AY52" s="172">
        <v>1</v>
      </c>
      <c r="BL52" s="172"/>
      <c r="BQ52" s="172"/>
      <c r="BS52" s="172"/>
      <c r="BT52" s="172">
        <v>1</v>
      </c>
      <c r="BX52" s="172">
        <v>1</v>
      </c>
      <c r="CE52" s="176"/>
      <c r="CF52" s="183">
        <v>1</v>
      </c>
      <c r="CJ52" s="176"/>
      <c r="CM52" s="183">
        <v>5</v>
      </c>
      <c r="CQ52" s="172"/>
      <c r="CR52" s="172"/>
      <c r="CW52" s="172">
        <v>1</v>
      </c>
      <c r="CX52" s="172"/>
      <c r="DB52" s="172"/>
      <c r="DF52" s="176"/>
    </row>
    <row r="53" spans="1:110" x14ac:dyDescent="0.35">
      <c r="A53" s="55" t="s">
        <v>158</v>
      </c>
      <c r="B53" s="161">
        <v>1250</v>
      </c>
      <c r="C53" s="55">
        <v>77</v>
      </c>
      <c r="D53" s="58">
        <v>19</v>
      </c>
      <c r="E53" s="55">
        <v>23.9</v>
      </c>
      <c r="F53" s="55">
        <v>0</v>
      </c>
      <c r="G53" s="97">
        <v>45078</v>
      </c>
      <c r="H53" s="79">
        <v>159</v>
      </c>
      <c r="I53" s="55">
        <v>100</v>
      </c>
      <c r="J53" s="55">
        <v>2000</v>
      </c>
      <c r="K53" s="57">
        <v>3</v>
      </c>
      <c r="L53" s="48">
        <v>4</v>
      </c>
      <c r="M53" s="48">
        <v>13</v>
      </c>
      <c r="N53" s="192">
        <f t="shared" si="0"/>
        <v>750</v>
      </c>
      <c r="O53" s="143"/>
      <c r="P53" s="143"/>
      <c r="Q53" s="143"/>
      <c r="R53" s="154"/>
      <c r="S53" s="143"/>
      <c r="T53" s="102">
        <v>1</v>
      </c>
      <c r="U53" s="143"/>
      <c r="V53" s="143"/>
      <c r="W53" s="143"/>
      <c r="X53" s="102">
        <v>1</v>
      </c>
      <c r="Y53" s="143"/>
      <c r="Z53" s="143"/>
      <c r="AA53" s="143"/>
      <c r="AB53" s="143"/>
      <c r="AC53" s="145"/>
      <c r="AD53" s="143"/>
      <c r="AE53" s="143"/>
      <c r="AF53" s="143"/>
      <c r="AG53" s="143"/>
      <c r="AH53" s="143"/>
      <c r="AI53" s="143"/>
      <c r="AJ53" s="143"/>
      <c r="AK53" s="143"/>
      <c r="AL53" s="145"/>
      <c r="AM53" s="143"/>
      <c r="AN53" s="143"/>
      <c r="AO53" s="143"/>
      <c r="AP53" s="143"/>
      <c r="AQ53" s="143"/>
      <c r="AR53" s="145">
        <v>6</v>
      </c>
      <c r="AS53" s="145"/>
      <c r="AT53" s="143"/>
      <c r="AU53" s="102">
        <v>5</v>
      </c>
      <c r="AV53" s="145"/>
      <c r="AW53" s="143"/>
      <c r="AX53" s="145"/>
      <c r="AY53" s="145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5"/>
      <c r="BM53" s="143"/>
      <c r="BN53" s="143"/>
      <c r="BO53" s="143"/>
      <c r="BP53" s="143"/>
      <c r="BQ53" s="145"/>
      <c r="BR53" s="143"/>
      <c r="BS53" s="145"/>
      <c r="BT53" s="145"/>
      <c r="BU53" s="143"/>
      <c r="BV53" s="143"/>
      <c r="BW53" s="143"/>
      <c r="BX53" s="145"/>
      <c r="BY53" s="143"/>
      <c r="BZ53" s="143"/>
      <c r="CA53" s="143"/>
      <c r="CB53" s="143"/>
      <c r="CC53" s="154"/>
      <c r="CD53" s="143"/>
      <c r="CE53" s="143"/>
      <c r="CF53" s="143"/>
      <c r="CG53" s="143"/>
      <c r="CH53" s="143"/>
      <c r="CI53" s="154"/>
      <c r="CJ53" s="143"/>
      <c r="CK53" s="143"/>
      <c r="CL53" s="143"/>
      <c r="CM53" s="143"/>
      <c r="CN53" s="143"/>
      <c r="CO53" s="143"/>
      <c r="CP53" s="143"/>
      <c r="CQ53" s="145"/>
      <c r="CR53" s="145"/>
      <c r="CS53" s="143"/>
      <c r="CT53" s="143"/>
      <c r="CU53" s="143"/>
      <c r="CV53" s="143"/>
      <c r="CW53" s="145"/>
      <c r="CX53" s="145"/>
      <c r="CY53" s="143"/>
      <c r="CZ53" s="143"/>
      <c r="DA53" s="143"/>
      <c r="DB53" s="145"/>
      <c r="DC53" s="143"/>
      <c r="DD53" s="143"/>
      <c r="DE53" s="143"/>
      <c r="DF53" s="143"/>
    </row>
    <row r="54" spans="1:110" x14ac:dyDescent="0.35">
      <c r="A54" s="55" t="s">
        <v>158</v>
      </c>
      <c r="B54" s="161">
        <v>480</v>
      </c>
      <c r="C54" s="55">
        <v>96</v>
      </c>
      <c r="D54" s="58">
        <v>1.1399999999999999</v>
      </c>
      <c r="E54" s="55">
        <v>26.4</v>
      </c>
      <c r="F54" s="55">
        <v>0</v>
      </c>
      <c r="G54" s="97">
        <v>45108</v>
      </c>
      <c r="H54" s="79">
        <v>160</v>
      </c>
      <c r="I54" s="55">
        <v>22</v>
      </c>
      <c r="J54" s="55">
        <v>550</v>
      </c>
      <c r="K54" s="57">
        <v>4</v>
      </c>
      <c r="L54" s="48">
        <v>4</v>
      </c>
      <c r="M54" s="48">
        <v>7</v>
      </c>
      <c r="N54" s="192">
        <f t="shared" si="0"/>
        <v>70</v>
      </c>
      <c r="O54" s="143"/>
      <c r="P54" s="143"/>
      <c r="Q54" s="143"/>
      <c r="R54" s="102">
        <v>1</v>
      </c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5"/>
      <c r="AD54" s="143"/>
      <c r="AE54" s="143"/>
      <c r="AF54" s="143"/>
      <c r="AG54" s="143"/>
      <c r="AH54" s="143"/>
      <c r="AI54" s="143"/>
      <c r="AJ54" s="143"/>
      <c r="AK54" s="143"/>
      <c r="AL54" s="145"/>
      <c r="AM54" s="143"/>
      <c r="AN54" s="143"/>
      <c r="AO54" s="143"/>
      <c r="AP54" s="143"/>
      <c r="AQ54" s="143"/>
      <c r="AR54" s="145">
        <v>4</v>
      </c>
      <c r="AS54" s="145"/>
      <c r="AT54" s="143"/>
      <c r="AU54" s="143"/>
      <c r="AV54" s="145"/>
      <c r="AW54" s="143"/>
      <c r="AX54" s="145"/>
      <c r="AY54" s="145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5"/>
      <c r="BM54" s="143"/>
      <c r="BN54" s="143"/>
      <c r="BO54" s="143"/>
      <c r="BP54" s="143"/>
      <c r="BQ54" s="145"/>
      <c r="BR54" s="143"/>
      <c r="BS54" s="145"/>
      <c r="BT54" s="145"/>
      <c r="BU54" s="143"/>
      <c r="BV54" s="143"/>
      <c r="BW54" s="143"/>
      <c r="BX54" s="145"/>
      <c r="BY54" s="143"/>
      <c r="BZ54" s="143"/>
      <c r="CA54" s="143"/>
      <c r="CB54" s="143"/>
      <c r="CC54" s="144">
        <v>1</v>
      </c>
      <c r="CD54" s="143"/>
      <c r="CE54" s="143"/>
      <c r="CF54" s="143"/>
      <c r="CG54" s="143"/>
      <c r="CH54" s="143"/>
      <c r="CI54" s="144">
        <v>1</v>
      </c>
      <c r="CJ54" s="143"/>
      <c r="CK54" s="154"/>
      <c r="CL54" s="143"/>
      <c r="CM54" s="143"/>
      <c r="CN54" s="143"/>
      <c r="CO54" s="143"/>
      <c r="CP54" s="143"/>
      <c r="CQ54" s="145"/>
      <c r="CR54" s="145"/>
      <c r="CS54" s="143"/>
      <c r="CT54" s="154"/>
      <c r="CU54" s="143"/>
      <c r="CV54" s="143"/>
      <c r="CW54" s="145"/>
      <c r="CX54" s="145"/>
      <c r="CY54" s="154"/>
      <c r="CZ54" s="154"/>
      <c r="DA54" s="143"/>
      <c r="DB54" s="145"/>
      <c r="DC54" s="143"/>
      <c r="DD54" s="143"/>
      <c r="DE54" s="154"/>
      <c r="DF54" s="143"/>
    </row>
    <row r="55" spans="1:110" x14ac:dyDescent="0.35">
      <c r="A55" s="55" t="s">
        <v>158</v>
      </c>
      <c r="B55" s="161">
        <v>700</v>
      </c>
      <c r="C55" s="55">
        <v>87</v>
      </c>
      <c r="D55" s="58">
        <v>0.03</v>
      </c>
      <c r="E55" s="55">
        <v>23.2</v>
      </c>
      <c r="F55" s="55">
        <v>0</v>
      </c>
      <c r="G55" s="97">
        <v>45108</v>
      </c>
      <c r="H55" s="79">
        <v>160</v>
      </c>
      <c r="I55" s="55">
        <v>100</v>
      </c>
      <c r="J55" s="55">
        <v>2000</v>
      </c>
      <c r="K55" s="57">
        <v>5</v>
      </c>
      <c r="L55" s="48">
        <v>3</v>
      </c>
      <c r="M55" s="48">
        <v>3</v>
      </c>
      <c r="N55" s="192">
        <f t="shared" si="0"/>
        <v>1300</v>
      </c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5"/>
      <c r="AD55" s="143"/>
      <c r="AE55" s="143"/>
      <c r="AF55" s="143"/>
      <c r="AG55" s="143"/>
      <c r="AH55" s="143"/>
      <c r="AI55" s="143"/>
      <c r="AJ55" s="143"/>
      <c r="AK55" s="143"/>
      <c r="AL55" s="145">
        <v>1</v>
      </c>
      <c r="AM55" s="143"/>
      <c r="AN55" s="143"/>
      <c r="AO55" s="143"/>
      <c r="AP55" s="143"/>
      <c r="AQ55" s="143"/>
      <c r="AR55" s="145"/>
      <c r="AS55" s="145"/>
      <c r="AT55" s="143"/>
      <c r="AU55" s="143"/>
      <c r="AV55" s="145"/>
      <c r="AW55" s="143"/>
      <c r="AX55" s="145"/>
      <c r="AY55" s="145">
        <v>1</v>
      </c>
      <c r="AZ55" s="143"/>
      <c r="BA55" s="143"/>
      <c r="BB55" s="143"/>
      <c r="BC55" s="154"/>
      <c r="BD55" s="143"/>
      <c r="BE55" s="143"/>
      <c r="BF55" s="143"/>
      <c r="BG55" s="143"/>
      <c r="BH55" s="143"/>
      <c r="BI55" s="154"/>
      <c r="BJ55" s="143"/>
      <c r="BK55" s="143"/>
      <c r="BL55" s="145"/>
      <c r="BM55" s="143"/>
      <c r="BN55" s="143"/>
      <c r="BO55" s="143"/>
      <c r="BP55" s="143"/>
      <c r="BQ55" s="145"/>
      <c r="BR55" s="143"/>
      <c r="BS55" s="145">
        <v>1</v>
      </c>
      <c r="BT55" s="145"/>
      <c r="BU55" s="143"/>
      <c r="BV55" s="154"/>
      <c r="BW55" s="143"/>
      <c r="BX55" s="145"/>
      <c r="BY55" s="143"/>
      <c r="BZ55" s="143"/>
      <c r="CA55" s="143"/>
      <c r="CB55" s="143"/>
      <c r="CC55" s="143"/>
      <c r="CD55" s="143"/>
      <c r="CE55" s="143"/>
      <c r="CF55" s="143"/>
      <c r="CG55" s="143"/>
      <c r="CH55" s="143"/>
      <c r="CI55" s="154"/>
      <c r="CJ55" s="154"/>
      <c r="CK55" s="143"/>
      <c r="CL55" s="143"/>
      <c r="CM55" s="143"/>
      <c r="CN55" s="143"/>
      <c r="CO55" s="143"/>
      <c r="CP55" s="143"/>
      <c r="CQ55" s="145"/>
      <c r="CR55" s="145"/>
      <c r="CS55" s="143"/>
      <c r="CT55" s="143"/>
      <c r="CU55" s="143"/>
      <c r="CV55" s="143"/>
      <c r="CW55" s="145"/>
      <c r="CX55" s="145"/>
      <c r="CY55" s="143"/>
      <c r="CZ55" s="143"/>
      <c r="DA55" s="143"/>
      <c r="DB55" s="145"/>
      <c r="DC55" s="143"/>
      <c r="DD55" s="143"/>
      <c r="DE55" s="143"/>
      <c r="DF55" s="143"/>
    </row>
    <row r="56" spans="1:110" s="177" customFormat="1" x14ac:dyDescent="0.35">
      <c r="A56" s="172" t="s">
        <v>158</v>
      </c>
      <c r="B56" s="173">
        <v>700</v>
      </c>
      <c r="C56" s="172">
        <v>89</v>
      </c>
      <c r="D56" s="174">
        <v>2.74</v>
      </c>
      <c r="E56" s="172">
        <v>23.5</v>
      </c>
      <c r="F56" s="172">
        <v>0</v>
      </c>
      <c r="G56" s="179" t="s">
        <v>162</v>
      </c>
      <c r="H56" s="180">
        <v>167</v>
      </c>
      <c r="I56" s="172">
        <v>0</v>
      </c>
      <c r="J56" s="172">
        <v>700</v>
      </c>
      <c r="K56" s="175">
        <v>5</v>
      </c>
      <c r="L56" s="176">
        <v>13</v>
      </c>
      <c r="M56" s="176">
        <v>16</v>
      </c>
      <c r="N56" s="192">
        <f t="shared" si="0"/>
        <v>0</v>
      </c>
      <c r="W56" s="176"/>
      <c r="AC56" s="172"/>
      <c r="AE56" s="176">
        <v>1</v>
      </c>
      <c r="AL56" s="172"/>
      <c r="AM56" s="183">
        <v>1</v>
      </c>
      <c r="AR56" s="172"/>
      <c r="AS56" s="172"/>
      <c r="AV56" s="172"/>
      <c r="AW56" s="183">
        <v>2</v>
      </c>
      <c r="AX56" s="172">
        <v>1</v>
      </c>
      <c r="AY56" s="172">
        <v>2</v>
      </c>
      <c r="BB56" s="176"/>
      <c r="BI56" s="176"/>
      <c r="BL56" s="172"/>
      <c r="BQ56" s="172">
        <v>1</v>
      </c>
      <c r="BS56" s="172">
        <v>1</v>
      </c>
      <c r="BT56" s="172"/>
      <c r="BX56" s="172">
        <v>1</v>
      </c>
      <c r="CH56" s="183">
        <v>1</v>
      </c>
      <c r="CI56" s="176"/>
      <c r="CQ56" s="172"/>
      <c r="CR56" s="172"/>
      <c r="CU56" s="183">
        <v>1</v>
      </c>
      <c r="CW56" s="172"/>
      <c r="CX56" s="172"/>
      <c r="CY56" s="183">
        <v>1</v>
      </c>
      <c r="CZ56" s="183">
        <v>1</v>
      </c>
      <c r="DB56" s="172"/>
      <c r="DE56" s="183">
        <v>2</v>
      </c>
    </row>
    <row r="57" spans="1:110" x14ac:dyDescent="0.35">
      <c r="A57" s="55" t="s">
        <v>158</v>
      </c>
      <c r="B57" s="161">
        <v>780</v>
      </c>
      <c r="C57" s="55">
        <v>88</v>
      </c>
      <c r="D57" s="58">
        <v>0.69</v>
      </c>
      <c r="E57" s="55">
        <v>23.4</v>
      </c>
      <c r="F57" s="55">
        <v>6</v>
      </c>
      <c r="G57" s="97" t="s">
        <v>162</v>
      </c>
      <c r="H57" s="79">
        <v>167</v>
      </c>
      <c r="I57" s="55">
        <v>100</v>
      </c>
      <c r="J57" s="55">
        <v>700</v>
      </c>
      <c r="K57" s="57">
        <v>5</v>
      </c>
      <c r="L57" s="48">
        <v>8</v>
      </c>
      <c r="M57" s="48">
        <v>9</v>
      </c>
      <c r="N57" s="192">
        <f t="shared" si="0"/>
        <v>80</v>
      </c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02">
        <v>2</v>
      </c>
      <c r="AC57" s="145"/>
      <c r="AD57" s="143"/>
      <c r="AE57" s="143"/>
      <c r="AF57" s="143"/>
      <c r="AG57" s="143"/>
      <c r="AH57" s="143"/>
      <c r="AI57" s="143"/>
      <c r="AJ57" s="143"/>
      <c r="AK57" s="143"/>
      <c r="AL57" s="145"/>
      <c r="AM57" s="143"/>
      <c r="AN57" s="143"/>
      <c r="AO57" s="143"/>
      <c r="AP57" s="143"/>
      <c r="AQ57" s="143"/>
      <c r="AR57" s="145"/>
      <c r="AS57" s="145"/>
      <c r="AT57" s="143"/>
      <c r="AU57" s="143"/>
      <c r="AV57" s="145"/>
      <c r="AW57" s="102">
        <v>1</v>
      </c>
      <c r="AX57" s="145"/>
      <c r="AY57" s="145">
        <v>1</v>
      </c>
      <c r="AZ57" s="143"/>
      <c r="BA57" s="143"/>
      <c r="BB57" s="102">
        <v>1</v>
      </c>
      <c r="BC57" s="143"/>
      <c r="BD57" s="143"/>
      <c r="BE57" s="143"/>
      <c r="BF57" s="143"/>
      <c r="BG57" s="143"/>
      <c r="BH57" s="143"/>
      <c r="BI57" s="143"/>
      <c r="BJ57" s="143"/>
      <c r="BK57" s="143"/>
      <c r="BL57" s="145"/>
      <c r="BM57" s="143"/>
      <c r="BN57" s="143"/>
      <c r="BO57" s="143"/>
      <c r="BP57" s="143"/>
      <c r="BQ57" s="145"/>
      <c r="BR57" s="143"/>
      <c r="BS57" s="145"/>
      <c r="BT57" s="145"/>
      <c r="BU57" s="143"/>
      <c r="BV57" s="143"/>
      <c r="BW57" s="143"/>
      <c r="BX57" s="145"/>
      <c r="BY57" s="143"/>
      <c r="BZ57" s="102">
        <v>1</v>
      </c>
      <c r="CA57" s="143"/>
      <c r="CB57" s="143"/>
      <c r="CC57" s="143"/>
      <c r="CD57" s="143"/>
      <c r="CE57" s="143"/>
      <c r="CF57" s="102">
        <v>1</v>
      </c>
      <c r="CG57" s="143"/>
      <c r="CH57" s="143"/>
      <c r="CI57" s="143"/>
      <c r="CJ57" s="102">
        <v>1</v>
      </c>
      <c r="CK57" s="102">
        <v>1</v>
      </c>
      <c r="CL57" s="143"/>
      <c r="CM57" s="143"/>
      <c r="CN57" s="143"/>
      <c r="CO57" s="143"/>
      <c r="CP57" s="143"/>
      <c r="CQ57" s="145"/>
      <c r="CR57" s="145"/>
      <c r="CS57" s="143"/>
      <c r="CT57" s="143"/>
      <c r="CU57" s="143"/>
      <c r="CV57" s="143"/>
      <c r="CW57" s="145"/>
      <c r="CX57" s="145"/>
      <c r="CY57" s="143"/>
      <c r="CZ57" s="143"/>
      <c r="DA57" s="143"/>
      <c r="DB57" s="145"/>
      <c r="DC57" s="143"/>
      <c r="DD57" s="143"/>
      <c r="DE57" s="143"/>
      <c r="DF57" s="143"/>
    </row>
    <row r="58" spans="1:110" x14ac:dyDescent="0.35">
      <c r="A58" s="55" t="s">
        <v>158</v>
      </c>
      <c r="B58" s="161">
        <v>870</v>
      </c>
      <c r="C58" s="55">
        <v>80</v>
      </c>
      <c r="D58" s="58">
        <v>51.6</v>
      </c>
      <c r="E58" s="55">
        <v>28.7</v>
      </c>
      <c r="F58" s="55">
        <v>2.5</v>
      </c>
      <c r="G58" s="97" t="s">
        <v>162</v>
      </c>
      <c r="H58" s="79">
        <v>167</v>
      </c>
      <c r="I58" s="55">
        <v>0</v>
      </c>
      <c r="J58" s="55">
        <v>700</v>
      </c>
      <c r="K58" s="57">
        <v>3</v>
      </c>
      <c r="L58" s="48">
        <v>5</v>
      </c>
      <c r="M58" s="48">
        <v>5</v>
      </c>
      <c r="N58" s="192">
        <f t="shared" si="0"/>
        <v>170</v>
      </c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02">
        <v>1</v>
      </c>
      <c r="AB58" s="143"/>
      <c r="AC58" s="145"/>
      <c r="AD58" s="143"/>
      <c r="AE58" s="154"/>
      <c r="AF58" s="143"/>
      <c r="AG58" s="143"/>
      <c r="AH58" s="143"/>
      <c r="AI58" s="143"/>
      <c r="AJ58" s="143"/>
      <c r="AK58" s="143"/>
      <c r="AL58" s="145"/>
      <c r="AM58" s="154"/>
      <c r="AN58" s="143"/>
      <c r="AO58" s="143"/>
      <c r="AP58" s="143"/>
      <c r="AQ58" s="143"/>
      <c r="AR58" s="145"/>
      <c r="AS58" s="145"/>
      <c r="AT58" s="143"/>
      <c r="AU58" s="143"/>
      <c r="AV58" s="145"/>
      <c r="AW58" s="154"/>
      <c r="AX58" s="145"/>
      <c r="AY58" s="145">
        <v>1</v>
      </c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5"/>
      <c r="BM58" s="143"/>
      <c r="BN58" s="143"/>
      <c r="BO58" s="143"/>
      <c r="BP58" s="143"/>
      <c r="BQ58" s="145"/>
      <c r="BR58" s="143"/>
      <c r="BS58" s="145"/>
      <c r="BT58" s="145"/>
      <c r="BU58" s="143"/>
      <c r="BV58" s="143"/>
      <c r="BW58" s="143"/>
      <c r="BX58" s="145">
        <v>1</v>
      </c>
      <c r="BY58" s="143"/>
      <c r="BZ58" s="143"/>
      <c r="CA58" s="143"/>
      <c r="CB58" s="143"/>
      <c r="CC58" s="143"/>
      <c r="CD58" s="143"/>
      <c r="CE58" s="143"/>
      <c r="CF58" s="102">
        <v>1</v>
      </c>
      <c r="CG58" s="143"/>
      <c r="CH58" s="154"/>
      <c r="CI58" s="143"/>
      <c r="CJ58" s="143"/>
      <c r="CK58" s="143"/>
      <c r="CL58" s="143"/>
      <c r="CM58" s="143"/>
      <c r="CN58" s="143"/>
      <c r="CO58" s="143"/>
      <c r="CP58" s="143"/>
      <c r="CQ58" s="145"/>
      <c r="CR58" s="145"/>
      <c r="CS58" s="143"/>
      <c r="CT58" s="143"/>
      <c r="CU58" s="154"/>
      <c r="CV58" s="143"/>
      <c r="CW58" s="145"/>
      <c r="CX58" s="145"/>
      <c r="CY58" s="144">
        <v>1</v>
      </c>
      <c r="CZ58" s="154"/>
      <c r="DA58" s="143"/>
      <c r="DB58" s="145"/>
      <c r="DC58" s="143"/>
      <c r="DD58" s="143"/>
      <c r="DE58" s="154"/>
      <c r="DF58" s="143"/>
    </row>
    <row r="59" spans="1:110" x14ac:dyDescent="0.35">
      <c r="A59" s="55" t="s">
        <v>158</v>
      </c>
      <c r="B59" s="161">
        <v>1000</v>
      </c>
      <c r="C59" s="55">
        <v>71</v>
      </c>
      <c r="D59" s="58">
        <v>7.17</v>
      </c>
      <c r="E59" s="55">
        <v>26.1</v>
      </c>
      <c r="F59" s="55">
        <v>1.9</v>
      </c>
      <c r="G59" s="97" t="s">
        <v>162</v>
      </c>
      <c r="H59" s="79">
        <v>167</v>
      </c>
      <c r="I59" s="55">
        <v>0</v>
      </c>
      <c r="J59" s="55">
        <v>700</v>
      </c>
      <c r="K59" s="57">
        <v>3</v>
      </c>
      <c r="L59" s="48">
        <v>9</v>
      </c>
      <c r="M59" s="48">
        <v>11</v>
      </c>
      <c r="N59" s="192">
        <f t="shared" si="0"/>
        <v>300</v>
      </c>
      <c r="O59" s="143"/>
      <c r="P59" s="143"/>
      <c r="Q59" s="143"/>
      <c r="R59" s="143"/>
      <c r="S59" s="143"/>
      <c r="T59" s="143"/>
      <c r="U59" s="143"/>
      <c r="V59" s="143"/>
      <c r="W59" s="102">
        <v>1</v>
      </c>
      <c r="X59" s="143"/>
      <c r="Y59" s="143"/>
      <c r="Z59" s="143"/>
      <c r="AA59" s="143"/>
      <c r="AB59" s="143"/>
      <c r="AC59" s="145"/>
      <c r="AD59" s="143"/>
      <c r="AE59" s="143"/>
      <c r="AF59" s="143"/>
      <c r="AG59" s="143"/>
      <c r="AH59" s="143"/>
      <c r="AI59" s="143"/>
      <c r="AJ59" s="143"/>
      <c r="AK59" s="143"/>
      <c r="AL59" s="145"/>
      <c r="AM59" s="143"/>
      <c r="AN59" s="143"/>
      <c r="AO59" s="143"/>
      <c r="AP59" s="143"/>
      <c r="AQ59" s="143"/>
      <c r="AR59" s="145">
        <v>3</v>
      </c>
      <c r="AS59" s="145"/>
      <c r="AT59" s="143"/>
      <c r="AU59" s="102">
        <v>1</v>
      </c>
      <c r="AV59" s="145"/>
      <c r="AW59" s="143"/>
      <c r="AX59" s="145"/>
      <c r="AY59" s="145">
        <v>1</v>
      </c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5"/>
      <c r="BM59" s="102">
        <v>1</v>
      </c>
      <c r="BN59" s="143"/>
      <c r="BO59" s="143"/>
      <c r="BP59" s="143"/>
      <c r="BQ59" s="145"/>
      <c r="BR59" s="143"/>
      <c r="BS59" s="145"/>
      <c r="BT59" s="145"/>
      <c r="BU59" s="143"/>
      <c r="BV59" s="143"/>
      <c r="BW59" s="143"/>
      <c r="BX59" s="145"/>
      <c r="BY59" s="143"/>
      <c r="BZ59" s="143"/>
      <c r="CA59" s="102">
        <v>1</v>
      </c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5"/>
      <c r="CR59" s="145"/>
      <c r="CS59" s="143"/>
      <c r="CT59" s="154"/>
      <c r="CU59" s="143"/>
      <c r="CV59" s="102">
        <v>1</v>
      </c>
      <c r="CW59" s="145"/>
      <c r="CX59" s="145"/>
      <c r="CY59" s="102">
        <v>1</v>
      </c>
      <c r="CZ59" s="143"/>
      <c r="DA59" s="143"/>
      <c r="DB59" s="145">
        <v>1</v>
      </c>
      <c r="DC59" s="143"/>
      <c r="DD59" s="143"/>
      <c r="DE59" s="143"/>
      <c r="DF59" s="143"/>
    </row>
    <row r="60" spans="1:110" x14ac:dyDescent="0.35">
      <c r="A60" s="55" t="s">
        <v>158</v>
      </c>
      <c r="B60" s="161">
        <v>1100</v>
      </c>
      <c r="C60" s="55">
        <v>66</v>
      </c>
      <c r="D60" s="58">
        <v>6.27</v>
      </c>
      <c r="E60" s="55">
        <v>26.2</v>
      </c>
      <c r="F60" s="55">
        <v>0.8</v>
      </c>
      <c r="G60" s="97" t="s">
        <v>162</v>
      </c>
      <c r="H60" s="79">
        <v>167</v>
      </c>
      <c r="I60" s="55">
        <v>100</v>
      </c>
      <c r="J60" s="55">
        <v>2000</v>
      </c>
      <c r="K60" s="57">
        <v>2</v>
      </c>
      <c r="L60" s="48">
        <v>1</v>
      </c>
      <c r="M60" s="48">
        <v>1</v>
      </c>
      <c r="N60" s="192">
        <f t="shared" si="0"/>
        <v>900</v>
      </c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5"/>
      <c r="AD60" s="143"/>
      <c r="AE60" s="102">
        <v>1</v>
      </c>
      <c r="AF60" s="143"/>
      <c r="AG60" s="143"/>
      <c r="AH60" s="143"/>
      <c r="AI60" s="143"/>
      <c r="AJ60" s="143"/>
      <c r="AK60" s="143"/>
      <c r="AL60" s="145"/>
      <c r="AM60" s="143"/>
      <c r="AN60" s="143"/>
      <c r="AO60" s="143"/>
      <c r="AP60" s="143"/>
      <c r="AQ60" s="143"/>
      <c r="AR60" s="145"/>
      <c r="AS60" s="145"/>
      <c r="AT60" s="143"/>
      <c r="AU60" s="143"/>
      <c r="AV60" s="145"/>
      <c r="AW60" s="143"/>
      <c r="AX60" s="145"/>
      <c r="AY60" s="145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5"/>
      <c r="BM60" s="143"/>
      <c r="BN60" s="143"/>
      <c r="BO60" s="143"/>
      <c r="BP60" s="143"/>
      <c r="BQ60" s="145"/>
      <c r="BR60" s="143"/>
      <c r="BS60" s="145"/>
      <c r="BT60" s="145"/>
      <c r="BU60" s="143"/>
      <c r="BV60" s="143"/>
      <c r="BW60" s="143"/>
      <c r="BX60" s="145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5"/>
      <c r="CR60" s="145"/>
      <c r="CS60" s="143"/>
      <c r="CT60" s="143"/>
      <c r="CU60" s="143"/>
      <c r="CV60" s="143"/>
      <c r="CW60" s="145"/>
      <c r="CX60" s="145"/>
      <c r="CY60" s="143"/>
      <c r="CZ60" s="143"/>
      <c r="DA60" s="143"/>
      <c r="DB60" s="145"/>
      <c r="DC60" s="143"/>
      <c r="DD60" s="143"/>
      <c r="DE60" s="143"/>
      <c r="DF60" s="143"/>
    </row>
    <row r="61" spans="1:110" x14ac:dyDescent="0.35">
      <c r="A61" s="55" t="s">
        <v>158</v>
      </c>
      <c r="B61" s="161">
        <v>1250</v>
      </c>
      <c r="C61" s="55">
        <v>74</v>
      </c>
      <c r="D61" s="58">
        <v>1.52</v>
      </c>
      <c r="E61" s="55">
        <v>19.829999999999998</v>
      </c>
      <c r="F61" s="55">
        <v>0.85</v>
      </c>
      <c r="G61" s="97" t="s">
        <v>162</v>
      </c>
      <c r="H61" s="79">
        <v>167</v>
      </c>
      <c r="I61" s="55">
        <v>100</v>
      </c>
      <c r="J61" s="55">
        <v>2000</v>
      </c>
      <c r="K61" s="57">
        <v>3</v>
      </c>
      <c r="L61" s="48">
        <v>2</v>
      </c>
      <c r="M61" s="48">
        <v>2</v>
      </c>
      <c r="N61" s="192">
        <f t="shared" si="0"/>
        <v>750</v>
      </c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5"/>
      <c r="AD61" s="143"/>
      <c r="AE61" s="143"/>
      <c r="AF61" s="143"/>
      <c r="AG61" s="143"/>
      <c r="AH61" s="143"/>
      <c r="AI61" s="143"/>
      <c r="AJ61" s="143"/>
      <c r="AK61" s="143"/>
      <c r="AL61" s="145"/>
      <c r="AM61" s="143"/>
      <c r="AN61" s="143"/>
      <c r="AO61" s="143"/>
      <c r="AP61" s="143"/>
      <c r="AQ61" s="143"/>
      <c r="AR61" s="145"/>
      <c r="AS61" s="145"/>
      <c r="AT61" s="143"/>
      <c r="AU61" s="143"/>
      <c r="AV61" s="145"/>
      <c r="AW61" s="143"/>
      <c r="AX61" s="145"/>
      <c r="AY61" s="145"/>
      <c r="AZ61" s="143"/>
      <c r="BA61" s="143"/>
      <c r="BB61" s="143"/>
      <c r="BC61" s="143"/>
      <c r="BD61" s="143"/>
      <c r="BE61" s="143"/>
      <c r="BF61" s="143"/>
      <c r="BG61" s="143"/>
      <c r="BH61" s="102">
        <v>1</v>
      </c>
      <c r="BI61" s="143"/>
      <c r="BJ61" s="143"/>
      <c r="BK61" s="143"/>
      <c r="BL61" s="145"/>
      <c r="BM61" s="143"/>
      <c r="BN61" s="143"/>
      <c r="BO61" s="102">
        <v>1</v>
      </c>
      <c r="BP61" s="143"/>
      <c r="BQ61" s="145"/>
      <c r="BR61" s="143"/>
      <c r="BS61" s="145"/>
      <c r="BT61" s="145"/>
      <c r="BU61" s="143"/>
      <c r="BV61" s="143"/>
      <c r="BW61" s="143"/>
      <c r="BX61" s="145"/>
      <c r="BY61" s="143"/>
      <c r="BZ61" s="143"/>
      <c r="CA61" s="143"/>
      <c r="CB61" s="143"/>
      <c r="CC61" s="143"/>
      <c r="CD61" s="143"/>
      <c r="CE61" s="143"/>
      <c r="CF61" s="143"/>
      <c r="CG61" s="143"/>
      <c r="CH61" s="154"/>
      <c r="CI61" s="143"/>
      <c r="CJ61" s="143"/>
      <c r="CK61" s="143"/>
      <c r="CL61" s="143"/>
      <c r="CM61" s="143"/>
      <c r="CN61" s="143"/>
      <c r="CO61" s="143"/>
      <c r="CP61" s="143"/>
      <c r="CQ61" s="145"/>
      <c r="CR61" s="145"/>
      <c r="CS61" s="143"/>
      <c r="CT61" s="143"/>
      <c r="CU61" s="143"/>
      <c r="CV61" s="143"/>
      <c r="CW61" s="145"/>
      <c r="CX61" s="145"/>
      <c r="CY61" s="143"/>
      <c r="CZ61" s="143"/>
      <c r="DA61" s="143"/>
      <c r="DB61" s="145"/>
      <c r="DC61" s="143"/>
      <c r="DD61" s="143"/>
      <c r="DE61" s="143"/>
      <c r="DF61" s="143"/>
    </row>
    <row r="62" spans="1:110" x14ac:dyDescent="0.35">
      <c r="A62" s="55" t="s">
        <v>158</v>
      </c>
      <c r="B62" s="161">
        <v>1360</v>
      </c>
      <c r="C62" s="55">
        <v>80</v>
      </c>
      <c r="D62" s="58">
        <v>6.81</v>
      </c>
      <c r="E62" s="55">
        <v>19.03</v>
      </c>
      <c r="F62" s="55">
        <v>1.8</v>
      </c>
      <c r="G62" s="97" t="s">
        <v>162</v>
      </c>
      <c r="H62" s="79">
        <v>167</v>
      </c>
      <c r="I62" s="55">
        <v>100</v>
      </c>
      <c r="J62" s="55">
        <v>2000</v>
      </c>
      <c r="K62" s="57">
        <v>1</v>
      </c>
      <c r="L62" s="48">
        <v>2</v>
      </c>
      <c r="M62" s="48">
        <v>4</v>
      </c>
      <c r="N62" s="192">
        <f t="shared" si="0"/>
        <v>640</v>
      </c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54"/>
      <c r="AC62" s="145"/>
      <c r="AD62" s="143"/>
      <c r="AE62" s="143"/>
      <c r="AF62" s="143"/>
      <c r="AG62" s="143"/>
      <c r="AH62" s="143"/>
      <c r="AI62" s="143"/>
      <c r="AJ62" s="143"/>
      <c r="AK62" s="143"/>
      <c r="AL62" s="145"/>
      <c r="AM62" s="143"/>
      <c r="AN62" s="143"/>
      <c r="AO62" s="143"/>
      <c r="AP62" s="143"/>
      <c r="AQ62" s="143"/>
      <c r="AR62" s="145"/>
      <c r="AS62" s="145"/>
      <c r="AT62" s="143"/>
      <c r="AU62" s="143"/>
      <c r="AV62" s="145"/>
      <c r="AW62" s="154"/>
      <c r="AX62" s="145"/>
      <c r="AY62" s="145"/>
      <c r="AZ62" s="143"/>
      <c r="BA62" s="143"/>
      <c r="BB62" s="154"/>
      <c r="BC62" s="143"/>
      <c r="BD62" s="143"/>
      <c r="BE62" s="143"/>
      <c r="BF62" s="143"/>
      <c r="BG62" s="143"/>
      <c r="BH62" s="143"/>
      <c r="BI62" s="143"/>
      <c r="BJ62" s="143"/>
      <c r="BK62" s="143"/>
      <c r="BL62" s="145"/>
      <c r="BM62" s="143"/>
      <c r="BN62" s="102">
        <v>2</v>
      </c>
      <c r="BO62" s="102">
        <v>2</v>
      </c>
      <c r="BP62" s="143"/>
      <c r="BQ62" s="145"/>
      <c r="BR62" s="143"/>
      <c r="BS62" s="145"/>
      <c r="BT62" s="145"/>
      <c r="BU62" s="143"/>
      <c r="BV62" s="143"/>
      <c r="BW62" s="143"/>
      <c r="BX62" s="145"/>
      <c r="BY62" s="143"/>
      <c r="BZ62" s="154"/>
      <c r="CA62" s="143"/>
      <c r="CB62" s="143"/>
      <c r="CC62" s="143"/>
      <c r="CD62" s="143"/>
      <c r="CE62" s="143"/>
      <c r="CF62" s="154"/>
      <c r="CG62" s="143"/>
      <c r="CH62" s="143"/>
      <c r="CI62" s="143"/>
      <c r="CJ62" s="154"/>
      <c r="CK62" s="154"/>
      <c r="CL62" s="143"/>
      <c r="CM62" s="143"/>
      <c r="CN62" s="143"/>
      <c r="CO62" s="143"/>
      <c r="CP62" s="143"/>
      <c r="CQ62" s="145"/>
      <c r="CR62" s="145"/>
      <c r="CS62" s="143"/>
      <c r="CT62" s="143"/>
      <c r="CU62" s="143"/>
      <c r="CV62" s="143"/>
      <c r="CW62" s="145"/>
      <c r="CX62" s="145"/>
      <c r="CY62" s="143"/>
      <c r="CZ62" s="143"/>
      <c r="DA62" s="143"/>
      <c r="DB62" s="145"/>
      <c r="DC62" s="143"/>
      <c r="DD62" s="143"/>
      <c r="DE62" s="143"/>
      <c r="DF62" s="143"/>
    </row>
    <row r="63" spans="1:110" x14ac:dyDescent="0.35">
      <c r="A63" s="55" t="s">
        <v>158</v>
      </c>
      <c r="B63" s="161">
        <v>1420</v>
      </c>
      <c r="C63" s="55">
        <v>87</v>
      </c>
      <c r="D63" s="58">
        <v>0.16</v>
      </c>
      <c r="E63" s="55">
        <v>20.2</v>
      </c>
      <c r="F63" s="55">
        <v>0</v>
      </c>
      <c r="G63" s="163" t="s">
        <v>162</v>
      </c>
      <c r="H63" s="79">
        <v>167</v>
      </c>
      <c r="I63" s="55">
        <v>100</v>
      </c>
      <c r="J63" s="55">
        <v>2000</v>
      </c>
      <c r="K63" s="57">
        <v>6</v>
      </c>
      <c r="L63" s="48">
        <v>6</v>
      </c>
      <c r="M63" s="48">
        <v>6</v>
      </c>
      <c r="N63" s="192">
        <f t="shared" si="0"/>
        <v>580</v>
      </c>
      <c r="O63" s="143"/>
      <c r="P63" s="102">
        <v>1</v>
      </c>
      <c r="Q63" s="102">
        <v>1</v>
      </c>
      <c r="R63" s="143"/>
      <c r="S63" s="143"/>
      <c r="T63" s="143"/>
      <c r="U63" s="102">
        <v>1</v>
      </c>
      <c r="V63" s="143"/>
      <c r="W63" s="143"/>
      <c r="X63" s="143"/>
      <c r="Y63" s="143"/>
      <c r="Z63" s="143"/>
      <c r="AA63" s="143"/>
      <c r="AB63" s="143"/>
      <c r="AC63" s="145"/>
      <c r="AD63" s="143"/>
      <c r="AE63" s="143"/>
      <c r="AF63" s="143"/>
      <c r="AG63" s="102">
        <v>1</v>
      </c>
      <c r="AH63" s="143"/>
      <c r="AI63" s="143"/>
      <c r="AJ63" s="143"/>
      <c r="AK63" s="143"/>
      <c r="AL63" s="145"/>
      <c r="AM63" s="143"/>
      <c r="AN63" s="143"/>
      <c r="AO63" s="143"/>
      <c r="AP63" s="143"/>
      <c r="AQ63" s="143"/>
      <c r="AR63" s="145"/>
      <c r="AS63" s="145"/>
      <c r="AT63" s="143"/>
      <c r="AU63" s="143"/>
      <c r="AV63" s="145"/>
      <c r="AW63" s="143"/>
      <c r="AX63" s="145"/>
      <c r="AY63" s="145"/>
      <c r="AZ63" s="143"/>
      <c r="BA63" s="143"/>
      <c r="BB63" s="143"/>
      <c r="BC63" s="143"/>
      <c r="BD63" s="143"/>
      <c r="BE63" s="143"/>
      <c r="BF63" s="102">
        <v>1</v>
      </c>
      <c r="BG63" s="143"/>
      <c r="BH63" s="154"/>
      <c r="BI63" s="143"/>
      <c r="BJ63" s="143"/>
      <c r="BK63" s="143"/>
      <c r="BL63" s="145"/>
      <c r="BM63" s="143"/>
      <c r="BN63" s="143"/>
      <c r="BO63" s="143"/>
      <c r="BP63" s="143"/>
      <c r="BQ63" s="145"/>
      <c r="BR63" s="143"/>
      <c r="BS63" s="145"/>
      <c r="BT63" s="145"/>
      <c r="BU63" s="143"/>
      <c r="BV63" s="143"/>
      <c r="BW63" s="143"/>
      <c r="BX63" s="145"/>
      <c r="BY63" s="143"/>
      <c r="BZ63" s="143"/>
      <c r="CA63" s="143"/>
      <c r="CB63" s="143"/>
      <c r="CC63" s="143"/>
      <c r="CD63" s="143"/>
      <c r="CE63" s="143"/>
      <c r="CF63" s="102">
        <v>1</v>
      </c>
      <c r="CG63" s="143"/>
      <c r="CH63" s="154"/>
      <c r="CI63" s="143"/>
      <c r="CJ63" s="143"/>
      <c r="CK63" s="143"/>
      <c r="CL63" s="143"/>
      <c r="CM63" s="143"/>
      <c r="CN63" s="143"/>
      <c r="CO63" s="143"/>
      <c r="CP63" s="143"/>
      <c r="CQ63" s="145"/>
      <c r="CR63" s="145"/>
      <c r="CS63" s="143"/>
      <c r="CT63" s="143"/>
      <c r="CU63" s="154"/>
      <c r="CV63" s="143"/>
      <c r="CW63" s="145"/>
      <c r="CX63" s="145"/>
      <c r="CY63" s="143"/>
      <c r="CZ63" s="143"/>
      <c r="DA63" s="143"/>
      <c r="DB63" s="145"/>
      <c r="DC63" s="143"/>
      <c r="DD63" s="143"/>
      <c r="DE63" s="143"/>
      <c r="DF63" s="143"/>
    </row>
    <row r="64" spans="1:110" x14ac:dyDescent="0.35">
      <c r="A64" s="55" t="s">
        <v>158</v>
      </c>
      <c r="B64" s="161">
        <v>700</v>
      </c>
      <c r="C64" s="55">
        <v>85</v>
      </c>
      <c r="D64" s="58">
        <v>0.04</v>
      </c>
      <c r="E64" s="55">
        <v>23.2</v>
      </c>
      <c r="F64" s="55">
        <v>0</v>
      </c>
      <c r="G64" s="97" t="s">
        <v>163</v>
      </c>
      <c r="H64" s="79">
        <v>168</v>
      </c>
      <c r="I64" s="55">
        <v>50</v>
      </c>
      <c r="J64" s="55">
        <v>2000</v>
      </c>
      <c r="K64" s="57">
        <v>5</v>
      </c>
      <c r="L64" s="48">
        <v>1</v>
      </c>
      <c r="M64" s="48">
        <v>1</v>
      </c>
      <c r="N64" s="192">
        <f t="shared" si="0"/>
        <v>1300</v>
      </c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54"/>
      <c r="AB64" s="143"/>
      <c r="AC64" s="145"/>
      <c r="AD64" s="143"/>
      <c r="AE64" s="143"/>
      <c r="AF64" s="143"/>
      <c r="AG64" s="143"/>
      <c r="AH64" s="143"/>
      <c r="AI64" s="143"/>
      <c r="AJ64" s="143"/>
      <c r="AK64" s="143"/>
      <c r="AL64" s="145"/>
      <c r="AM64" s="143"/>
      <c r="AN64" s="143"/>
      <c r="AO64" s="143"/>
      <c r="AP64" s="143"/>
      <c r="AQ64" s="143"/>
      <c r="AR64" s="145"/>
      <c r="AS64" s="145"/>
      <c r="AT64" s="143"/>
      <c r="AU64" s="143"/>
      <c r="AV64" s="145"/>
      <c r="AW64" s="143"/>
      <c r="AX64" s="145"/>
      <c r="AY64" s="145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5"/>
      <c r="BM64" s="143"/>
      <c r="BN64" s="143"/>
      <c r="BO64" s="143"/>
      <c r="BP64" s="143"/>
      <c r="BQ64" s="145"/>
      <c r="BR64" s="143"/>
      <c r="BS64" s="145"/>
      <c r="BT64" s="145"/>
      <c r="BU64" s="143"/>
      <c r="BV64" s="143"/>
      <c r="BW64" s="143"/>
      <c r="BX64" s="145"/>
      <c r="BY64" s="143"/>
      <c r="BZ64" s="143"/>
      <c r="CA64" s="143"/>
      <c r="CB64" s="143"/>
      <c r="CC64" s="143"/>
      <c r="CD64" s="143"/>
      <c r="CE64" s="143"/>
      <c r="CF64" s="154"/>
      <c r="CG64" s="143"/>
      <c r="CH64" s="102">
        <v>1</v>
      </c>
      <c r="CI64" s="143"/>
      <c r="CJ64" s="143"/>
      <c r="CK64" s="143"/>
      <c r="CL64" s="143"/>
      <c r="CM64" s="143"/>
      <c r="CN64" s="143"/>
      <c r="CO64" s="143"/>
      <c r="CP64" s="143"/>
      <c r="CQ64" s="145"/>
      <c r="CR64" s="145"/>
      <c r="CS64" s="143"/>
      <c r="CT64" s="143"/>
      <c r="CU64" s="143"/>
      <c r="CV64" s="143"/>
      <c r="CW64" s="145"/>
      <c r="CX64" s="145"/>
      <c r="CY64" s="154"/>
      <c r="CZ64" s="143"/>
      <c r="DA64" s="143"/>
      <c r="DB64" s="145"/>
      <c r="DC64" s="143"/>
      <c r="DD64" s="143"/>
      <c r="DE64" s="143"/>
      <c r="DF64" s="143"/>
    </row>
    <row r="65" spans="1:110" x14ac:dyDescent="0.35">
      <c r="A65" s="55" t="s">
        <v>158</v>
      </c>
      <c r="B65" s="161">
        <v>780</v>
      </c>
      <c r="C65" s="55">
        <v>88</v>
      </c>
      <c r="D65" s="58">
        <v>1.86</v>
      </c>
      <c r="E65" s="55">
        <v>27.2</v>
      </c>
      <c r="F65" s="55">
        <v>0.6</v>
      </c>
      <c r="G65" s="158" t="s">
        <v>163</v>
      </c>
      <c r="H65" s="79">
        <v>168</v>
      </c>
      <c r="I65" s="55">
        <v>100</v>
      </c>
      <c r="J65" s="55">
        <v>2000</v>
      </c>
      <c r="K65" s="57">
        <v>5</v>
      </c>
      <c r="L65" s="48">
        <v>4</v>
      </c>
      <c r="M65" s="48">
        <v>4</v>
      </c>
      <c r="N65" s="192">
        <f t="shared" si="0"/>
        <v>1220</v>
      </c>
      <c r="O65" s="143"/>
      <c r="P65" s="143"/>
      <c r="Q65" s="143"/>
      <c r="R65" s="143"/>
      <c r="S65" s="143"/>
      <c r="T65" s="143"/>
      <c r="U65" s="143"/>
      <c r="V65" s="143"/>
      <c r="W65" s="154"/>
      <c r="X65" s="143"/>
      <c r="Y65" s="143"/>
      <c r="Z65" s="143"/>
      <c r="AA65" s="143"/>
      <c r="AB65" s="143"/>
      <c r="AC65" s="145"/>
      <c r="AD65" s="143"/>
      <c r="AE65" s="143"/>
      <c r="AF65" s="143"/>
      <c r="AG65" s="143"/>
      <c r="AH65" s="143"/>
      <c r="AI65" s="143"/>
      <c r="AJ65" s="143"/>
      <c r="AK65" s="143"/>
      <c r="AL65" s="145"/>
      <c r="AM65" s="143"/>
      <c r="AN65" s="143"/>
      <c r="AO65" s="143"/>
      <c r="AP65" s="143"/>
      <c r="AQ65" s="143"/>
      <c r="AR65" s="145"/>
      <c r="AS65" s="145"/>
      <c r="AT65" s="143"/>
      <c r="AU65" s="154"/>
      <c r="AV65" s="145"/>
      <c r="AW65" s="143"/>
      <c r="AX65" s="145"/>
      <c r="AY65" s="145"/>
      <c r="AZ65" s="143"/>
      <c r="BA65" s="143"/>
      <c r="BB65" s="143"/>
      <c r="BC65" s="143"/>
      <c r="BD65" s="143"/>
      <c r="BE65" s="143"/>
      <c r="BF65" s="143"/>
      <c r="BG65" s="143"/>
      <c r="BH65" s="102">
        <v>1</v>
      </c>
      <c r="BI65" s="143"/>
      <c r="BJ65" s="143"/>
      <c r="BK65" s="143"/>
      <c r="BL65" s="145"/>
      <c r="BM65" s="154"/>
      <c r="BN65" s="143"/>
      <c r="BO65" s="143"/>
      <c r="BP65" s="143"/>
      <c r="BQ65" s="145"/>
      <c r="BR65" s="143"/>
      <c r="BS65" s="145">
        <v>1</v>
      </c>
      <c r="BT65" s="145"/>
      <c r="BU65" s="143"/>
      <c r="BV65" s="143"/>
      <c r="BW65" s="143"/>
      <c r="BX65" s="145"/>
      <c r="BY65" s="143"/>
      <c r="BZ65" s="143"/>
      <c r="CA65" s="154"/>
      <c r="CB65" s="143"/>
      <c r="CC65" s="143"/>
      <c r="CD65" s="143"/>
      <c r="CE65" s="143"/>
      <c r="CF65" s="143"/>
      <c r="CG65" s="143"/>
      <c r="CH65" s="102">
        <v>1</v>
      </c>
      <c r="CI65" s="143"/>
      <c r="CJ65" s="143"/>
      <c r="CK65" s="143"/>
      <c r="CL65" s="143"/>
      <c r="CM65" s="143"/>
      <c r="CN65" s="143"/>
      <c r="CO65" s="143"/>
      <c r="CP65" s="143"/>
      <c r="CQ65" s="145"/>
      <c r="CR65" s="145"/>
      <c r="CS65" s="143"/>
      <c r="CT65" s="143"/>
      <c r="CU65" s="102">
        <v>1</v>
      </c>
      <c r="CV65" s="154"/>
      <c r="CW65" s="145"/>
      <c r="CX65" s="145"/>
      <c r="CY65" s="154"/>
      <c r="CZ65" s="143"/>
      <c r="DA65" s="143"/>
      <c r="DB65" s="145"/>
      <c r="DC65" s="143"/>
      <c r="DD65" s="143"/>
      <c r="DE65" s="143"/>
      <c r="DF65" s="143"/>
    </row>
    <row r="66" spans="1:110" x14ac:dyDescent="0.35">
      <c r="A66" s="55" t="s">
        <v>158</v>
      </c>
      <c r="B66" s="161">
        <v>1000</v>
      </c>
      <c r="C66" s="55">
        <v>54</v>
      </c>
      <c r="D66" s="58">
        <v>10.85</v>
      </c>
      <c r="E66" s="55">
        <v>28.3</v>
      </c>
      <c r="F66" s="55">
        <v>1.45</v>
      </c>
      <c r="G66" s="158" t="s">
        <v>163</v>
      </c>
      <c r="H66" s="79">
        <v>168</v>
      </c>
      <c r="I66" s="55">
        <v>35</v>
      </c>
      <c r="J66" s="55">
        <v>2000</v>
      </c>
      <c r="K66" s="57">
        <v>3</v>
      </c>
      <c r="L66" s="48">
        <v>4</v>
      </c>
      <c r="M66" s="48">
        <v>4</v>
      </c>
      <c r="N66" s="192">
        <f t="shared" si="0"/>
        <v>1000</v>
      </c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5"/>
      <c r="AD66" s="143"/>
      <c r="AE66" s="143"/>
      <c r="AF66" s="143"/>
      <c r="AG66" s="143"/>
      <c r="AH66" s="143"/>
      <c r="AI66" s="143"/>
      <c r="AJ66" s="143"/>
      <c r="AK66" s="143"/>
      <c r="AL66" s="145"/>
      <c r="AM66" s="143"/>
      <c r="AN66" s="143"/>
      <c r="AO66" s="143"/>
      <c r="AP66" s="143"/>
      <c r="AQ66" s="143"/>
      <c r="AR66" s="145"/>
      <c r="AS66" s="145"/>
      <c r="AT66" s="143"/>
      <c r="AU66" s="143"/>
      <c r="AV66" s="145"/>
      <c r="AW66" s="143"/>
      <c r="AX66" s="145"/>
      <c r="AY66" s="145">
        <v>1</v>
      </c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143"/>
      <c r="BK66" s="143"/>
      <c r="BL66" s="145"/>
      <c r="BM66" s="143"/>
      <c r="BN66" s="143"/>
      <c r="BO66" s="143"/>
      <c r="BP66" s="154"/>
      <c r="BQ66" s="145"/>
      <c r="BR66" s="143"/>
      <c r="BS66" s="145">
        <v>1</v>
      </c>
      <c r="BT66" s="145"/>
      <c r="BU66" s="143"/>
      <c r="BV66" s="143"/>
      <c r="BW66" s="102">
        <v>1</v>
      </c>
      <c r="BX66" s="145">
        <v>1</v>
      </c>
      <c r="BY66" s="143"/>
      <c r="BZ66" s="143"/>
      <c r="CA66" s="143"/>
      <c r="CB66" s="143"/>
      <c r="CC66" s="143"/>
      <c r="CD66" s="143"/>
      <c r="CE66" s="143"/>
      <c r="CF66" s="143"/>
      <c r="CG66" s="143"/>
      <c r="CH66" s="143"/>
      <c r="CI66" s="143"/>
      <c r="CJ66" s="143"/>
      <c r="CK66" s="143"/>
      <c r="CL66" s="143"/>
      <c r="CM66" s="143"/>
      <c r="CN66" s="143"/>
      <c r="CO66" s="143"/>
      <c r="CP66" s="143"/>
      <c r="CQ66" s="145"/>
      <c r="CR66" s="145"/>
      <c r="CS66" s="143"/>
      <c r="CT66" s="143"/>
      <c r="CU66" s="143"/>
      <c r="CV66" s="143"/>
      <c r="CW66" s="145"/>
      <c r="CX66" s="145"/>
      <c r="CY66" s="143"/>
      <c r="CZ66" s="143"/>
      <c r="DA66" s="143"/>
      <c r="DB66" s="145"/>
      <c r="DC66" s="143"/>
      <c r="DD66" s="143"/>
      <c r="DE66" s="143"/>
      <c r="DF66" s="143"/>
    </row>
    <row r="67" spans="1:110" x14ac:dyDescent="0.35">
      <c r="A67" s="55" t="s">
        <v>158</v>
      </c>
      <c r="B67" s="161">
        <v>1100</v>
      </c>
      <c r="C67" s="154">
        <v>72</v>
      </c>
      <c r="D67" s="154">
        <v>17.850000000000001</v>
      </c>
      <c r="E67" s="154">
        <v>26.9</v>
      </c>
      <c r="F67" s="154">
        <v>1.6</v>
      </c>
      <c r="G67" s="93" t="s">
        <v>163</v>
      </c>
      <c r="H67" s="79">
        <v>168</v>
      </c>
      <c r="I67" s="154">
        <v>90</v>
      </c>
      <c r="J67" s="55">
        <v>700</v>
      </c>
      <c r="K67" s="57">
        <v>2</v>
      </c>
      <c r="L67" s="48">
        <v>2</v>
      </c>
      <c r="M67" s="48">
        <v>3</v>
      </c>
      <c r="N67" s="192">
        <f t="shared" ref="N67:N130" si="1">ABS(B67-J67)</f>
        <v>400</v>
      </c>
      <c r="O67" s="143"/>
      <c r="P67" s="143"/>
      <c r="Q67" s="143"/>
      <c r="R67" s="143"/>
      <c r="S67" s="143"/>
      <c r="T67" s="143"/>
      <c r="U67" s="143"/>
      <c r="V67" s="143"/>
      <c r="W67" s="102">
        <v>2</v>
      </c>
      <c r="X67" s="143"/>
      <c r="Y67" s="143"/>
      <c r="Z67" s="143"/>
      <c r="AA67" s="143"/>
      <c r="AB67" s="143"/>
      <c r="AC67" s="154"/>
      <c r="AD67" s="143"/>
      <c r="AE67" s="143"/>
      <c r="AF67" s="143"/>
      <c r="AG67" s="143"/>
      <c r="AH67" s="143"/>
      <c r="AI67" s="143"/>
      <c r="AJ67" s="143"/>
      <c r="AK67" s="143"/>
      <c r="AL67" s="154"/>
      <c r="AM67" s="143"/>
      <c r="AN67" s="143"/>
      <c r="AO67" s="143"/>
      <c r="AP67" s="143"/>
      <c r="AQ67" s="143"/>
      <c r="AR67" s="154"/>
      <c r="AS67" s="154"/>
      <c r="AT67" s="143"/>
      <c r="AU67" s="143"/>
      <c r="AV67" s="154"/>
      <c r="AW67" s="143"/>
      <c r="AX67" s="154"/>
      <c r="AY67" s="154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54"/>
      <c r="BM67" s="143"/>
      <c r="BN67" s="143"/>
      <c r="BO67" s="143"/>
      <c r="BP67" s="143"/>
      <c r="BQ67" s="154"/>
      <c r="BR67" s="143"/>
      <c r="BS67" s="154"/>
      <c r="BT67" s="154"/>
      <c r="BU67" s="143"/>
      <c r="BV67" s="143"/>
      <c r="BW67" s="154"/>
      <c r="BX67" s="154"/>
      <c r="BY67" s="143"/>
      <c r="BZ67" s="143"/>
      <c r="CA67" s="102">
        <v>1</v>
      </c>
      <c r="CB67" s="143"/>
      <c r="CC67" s="143"/>
      <c r="CD67" s="143"/>
      <c r="CE67" s="143"/>
      <c r="CF67" s="143"/>
      <c r="CG67" s="143"/>
      <c r="CH67" s="143"/>
      <c r="CI67" s="143"/>
      <c r="CJ67" s="143"/>
      <c r="CK67" s="143"/>
      <c r="CL67" s="143"/>
      <c r="CM67" s="143"/>
      <c r="CN67" s="143"/>
      <c r="CO67" s="143"/>
      <c r="CP67" s="143"/>
      <c r="CQ67" s="154"/>
      <c r="CR67" s="154"/>
      <c r="CS67" s="143"/>
      <c r="CT67" s="143"/>
      <c r="CU67" s="143"/>
      <c r="CV67" s="143"/>
      <c r="CW67" s="154"/>
      <c r="CX67" s="154"/>
      <c r="CY67" s="143"/>
      <c r="CZ67" s="143"/>
      <c r="DA67" s="143"/>
      <c r="DB67" s="154"/>
      <c r="DC67" s="143"/>
      <c r="DD67" s="143"/>
      <c r="DE67" s="143"/>
      <c r="DF67" s="143"/>
    </row>
    <row r="68" spans="1:110" x14ac:dyDescent="0.35">
      <c r="A68" s="55" t="s">
        <v>158</v>
      </c>
      <c r="B68" s="161">
        <v>1250</v>
      </c>
      <c r="C68" s="156">
        <v>99</v>
      </c>
      <c r="D68" s="159">
        <v>29.59</v>
      </c>
      <c r="E68" s="156">
        <v>24.9</v>
      </c>
      <c r="F68" s="156">
        <v>0.65</v>
      </c>
      <c r="G68" s="93" t="s">
        <v>163</v>
      </c>
      <c r="H68" s="79">
        <v>168</v>
      </c>
      <c r="I68" s="156">
        <v>99</v>
      </c>
      <c r="J68" s="55">
        <v>700</v>
      </c>
      <c r="K68" s="57">
        <v>3</v>
      </c>
      <c r="L68" s="48">
        <v>4</v>
      </c>
      <c r="M68" s="48">
        <v>7</v>
      </c>
      <c r="N68" s="192">
        <f t="shared" si="1"/>
        <v>550</v>
      </c>
      <c r="O68" s="143"/>
      <c r="P68" s="143"/>
      <c r="Q68" s="143"/>
      <c r="R68" s="143"/>
      <c r="S68" s="143"/>
      <c r="T68" s="143"/>
      <c r="U68" s="143"/>
      <c r="V68" s="143"/>
      <c r="W68" s="154"/>
      <c r="X68" s="102">
        <v>1</v>
      </c>
      <c r="Y68" s="143"/>
      <c r="Z68" s="143"/>
      <c r="AA68" s="143"/>
      <c r="AB68" s="143"/>
      <c r="AC68" s="171"/>
      <c r="AD68" s="143"/>
      <c r="AE68" s="143"/>
      <c r="AF68" s="143"/>
      <c r="AG68" s="143"/>
      <c r="AH68" s="143"/>
      <c r="AI68" s="143"/>
      <c r="AJ68" s="143"/>
      <c r="AK68" s="143"/>
      <c r="AL68" s="171"/>
      <c r="AM68" s="143"/>
      <c r="AN68" s="143"/>
      <c r="AO68" s="143"/>
      <c r="AP68" s="143"/>
      <c r="AQ68" s="143"/>
      <c r="AR68" s="171">
        <v>2</v>
      </c>
      <c r="AS68" s="171"/>
      <c r="AT68" s="143"/>
      <c r="AU68" s="143"/>
      <c r="AV68" s="171"/>
      <c r="AW68" s="143"/>
      <c r="AX68" s="171"/>
      <c r="AY68" s="171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71"/>
      <c r="BM68" s="102">
        <v>2</v>
      </c>
      <c r="BN68" s="143"/>
      <c r="BO68" s="102">
        <v>2</v>
      </c>
      <c r="BP68" s="143"/>
      <c r="BQ68" s="171"/>
      <c r="BR68" s="143"/>
      <c r="BS68" s="171"/>
      <c r="BT68" s="171"/>
      <c r="BU68" s="143"/>
      <c r="BV68" s="143"/>
      <c r="BW68" s="143"/>
      <c r="BX68" s="171"/>
      <c r="BY68" s="143"/>
      <c r="BZ68" s="143"/>
      <c r="CA68" s="154"/>
      <c r="CB68" s="143"/>
      <c r="CC68" s="143"/>
      <c r="CD68" s="143"/>
      <c r="CE68" s="143"/>
      <c r="CF68" s="143"/>
      <c r="CG68" s="143"/>
      <c r="CH68" s="143"/>
      <c r="CI68" s="143"/>
      <c r="CJ68" s="143"/>
      <c r="CK68" s="143"/>
      <c r="CL68" s="143"/>
      <c r="CM68" s="143"/>
      <c r="CN68" s="143"/>
      <c r="CO68" s="143"/>
      <c r="CP68" s="143"/>
      <c r="CQ68" s="171"/>
      <c r="CR68" s="171"/>
      <c r="CS68" s="143"/>
      <c r="CT68" s="143"/>
      <c r="CU68" s="143"/>
      <c r="CV68" s="143"/>
      <c r="CW68" s="171"/>
      <c r="CX68" s="171"/>
      <c r="CY68" s="143"/>
      <c r="CZ68" s="143"/>
      <c r="DA68" s="143"/>
      <c r="DB68" s="171"/>
      <c r="DC68" s="143"/>
      <c r="DD68" s="143"/>
      <c r="DE68" s="143"/>
      <c r="DF68" s="143"/>
    </row>
    <row r="69" spans="1:110" x14ac:dyDescent="0.35">
      <c r="A69" s="55" t="s">
        <v>158</v>
      </c>
      <c r="B69" s="161">
        <v>1360</v>
      </c>
      <c r="C69" s="55">
        <v>99</v>
      </c>
      <c r="D69" s="58">
        <v>27.94</v>
      </c>
      <c r="E69" s="55">
        <v>22.3</v>
      </c>
      <c r="F69" s="55">
        <v>1.2</v>
      </c>
      <c r="G69" s="158" t="s">
        <v>163</v>
      </c>
      <c r="H69" s="79">
        <v>168</v>
      </c>
      <c r="I69" s="55">
        <v>100</v>
      </c>
      <c r="J69" s="55">
        <v>700</v>
      </c>
      <c r="K69" s="57">
        <v>1</v>
      </c>
      <c r="L69" s="48">
        <v>5</v>
      </c>
      <c r="M69" s="48">
        <v>15</v>
      </c>
      <c r="N69" s="192">
        <f t="shared" si="1"/>
        <v>660</v>
      </c>
      <c r="O69" s="143"/>
      <c r="P69" s="143"/>
      <c r="Q69" s="143"/>
      <c r="R69" s="143"/>
      <c r="S69" s="143"/>
      <c r="T69" s="143"/>
      <c r="U69" s="143"/>
      <c r="V69" s="143"/>
      <c r="W69" s="143"/>
      <c r="X69" s="102">
        <v>1</v>
      </c>
      <c r="Y69" s="143"/>
      <c r="Z69" s="143"/>
      <c r="AA69" s="143"/>
      <c r="AB69" s="143"/>
      <c r="AC69" s="145"/>
      <c r="AD69" s="143"/>
      <c r="AE69" s="154"/>
      <c r="AF69" s="143"/>
      <c r="AG69" s="143"/>
      <c r="AH69" s="143"/>
      <c r="AI69" s="143"/>
      <c r="AJ69" s="143"/>
      <c r="AK69" s="143"/>
      <c r="AL69" s="145"/>
      <c r="AM69" s="143"/>
      <c r="AN69" s="143"/>
      <c r="AO69" s="143"/>
      <c r="AP69" s="143"/>
      <c r="AQ69" s="143"/>
      <c r="AR69" s="145">
        <v>6</v>
      </c>
      <c r="AS69" s="145"/>
      <c r="AT69" s="102">
        <v>2</v>
      </c>
      <c r="AU69" s="102">
        <v>1</v>
      </c>
      <c r="AV69" s="145"/>
      <c r="AW69" s="143"/>
      <c r="AX69" s="145"/>
      <c r="AY69" s="145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5"/>
      <c r="BM69" s="102">
        <v>5</v>
      </c>
      <c r="BN69" s="143"/>
      <c r="BO69" s="143"/>
      <c r="BP69" s="143"/>
      <c r="BQ69" s="145"/>
      <c r="BR69" s="143"/>
      <c r="BS69" s="145"/>
      <c r="BT69" s="145"/>
      <c r="BU69" s="143"/>
      <c r="BV69" s="143"/>
      <c r="BW69" s="143"/>
      <c r="BX69" s="145"/>
      <c r="BY69" s="143"/>
      <c r="BZ69" s="143"/>
      <c r="CA69" s="143"/>
      <c r="CB69" s="143"/>
      <c r="CC69" s="143"/>
      <c r="CD69" s="143"/>
      <c r="CE69" s="143"/>
      <c r="CF69" s="143"/>
      <c r="CG69" s="143"/>
      <c r="CH69" s="143"/>
      <c r="CI69" s="143"/>
      <c r="CJ69" s="143"/>
      <c r="CK69" s="143"/>
      <c r="CL69" s="143"/>
      <c r="CM69" s="143"/>
      <c r="CN69" s="143"/>
      <c r="CO69" s="143"/>
      <c r="CP69" s="143"/>
      <c r="CQ69" s="145"/>
      <c r="CR69" s="145"/>
      <c r="CS69" s="143"/>
      <c r="CT69" s="143"/>
      <c r="CU69" s="143"/>
      <c r="CV69" s="143"/>
      <c r="CW69" s="145"/>
      <c r="CX69" s="145"/>
      <c r="CY69" s="143"/>
      <c r="CZ69" s="143"/>
      <c r="DA69" s="143"/>
      <c r="DB69" s="145"/>
      <c r="DC69" s="143"/>
      <c r="DD69" s="143"/>
      <c r="DE69" s="143"/>
      <c r="DF69" s="143"/>
    </row>
    <row r="70" spans="1:110" x14ac:dyDescent="0.35">
      <c r="A70" s="55" t="s">
        <v>158</v>
      </c>
      <c r="B70" s="161">
        <v>1420</v>
      </c>
      <c r="C70" s="55">
        <v>95</v>
      </c>
      <c r="D70" s="58">
        <v>0.4</v>
      </c>
      <c r="E70" s="55">
        <v>17.100000000000001</v>
      </c>
      <c r="F70" s="55">
        <v>0</v>
      </c>
      <c r="G70" s="158" t="s">
        <v>163</v>
      </c>
      <c r="H70" s="79">
        <v>168</v>
      </c>
      <c r="I70" s="55">
        <v>0</v>
      </c>
      <c r="J70" s="55">
        <v>700</v>
      </c>
      <c r="K70" s="57">
        <v>6</v>
      </c>
      <c r="L70" s="48">
        <v>10</v>
      </c>
      <c r="M70" s="48">
        <v>33</v>
      </c>
      <c r="N70" s="192">
        <f t="shared" si="1"/>
        <v>720</v>
      </c>
      <c r="O70" s="143"/>
      <c r="P70" s="143"/>
      <c r="Q70" s="102">
        <v>1</v>
      </c>
      <c r="R70" s="143"/>
      <c r="S70" s="143"/>
      <c r="T70" s="154"/>
      <c r="U70" s="143"/>
      <c r="V70" s="143"/>
      <c r="W70" s="143"/>
      <c r="X70" s="154"/>
      <c r="Y70" s="143"/>
      <c r="Z70" s="143"/>
      <c r="AA70" s="143"/>
      <c r="AB70" s="143"/>
      <c r="AC70" s="145"/>
      <c r="AD70" s="143"/>
      <c r="AE70" s="143"/>
      <c r="AF70" s="143"/>
      <c r="AG70" s="143"/>
      <c r="AH70" s="143"/>
      <c r="AI70" s="143"/>
      <c r="AJ70" s="143"/>
      <c r="AK70" s="143"/>
      <c r="AL70" s="145"/>
      <c r="AM70" s="143"/>
      <c r="AN70" s="143"/>
      <c r="AO70" s="143"/>
      <c r="AP70" s="102">
        <v>1</v>
      </c>
      <c r="AQ70" s="143"/>
      <c r="AR70" s="145">
        <v>15</v>
      </c>
      <c r="AS70" s="145"/>
      <c r="AT70" s="143"/>
      <c r="AU70" s="154"/>
      <c r="AV70" s="145"/>
      <c r="AW70" s="143"/>
      <c r="AX70" s="145"/>
      <c r="AY70" s="145">
        <v>1</v>
      </c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5"/>
      <c r="BM70" s="143"/>
      <c r="BN70" s="143"/>
      <c r="BO70" s="143"/>
      <c r="BP70" s="143"/>
      <c r="BQ70" s="145"/>
      <c r="BR70" s="143"/>
      <c r="BS70" s="145"/>
      <c r="BT70" s="145"/>
      <c r="BU70" s="102">
        <v>1</v>
      </c>
      <c r="BV70" s="143"/>
      <c r="BW70" s="143"/>
      <c r="BX70" s="145"/>
      <c r="BY70" s="143"/>
      <c r="BZ70" s="143"/>
      <c r="CA70" s="143"/>
      <c r="CB70" s="143"/>
      <c r="CC70" s="143"/>
      <c r="CD70" s="143"/>
      <c r="CE70" s="143"/>
      <c r="CF70" s="143"/>
      <c r="CG70" s="143"/>
      <c r="CH70" s="143"/>
      <c r="CI70" s="143"/>
      <c r="CJ70" s="143"/>
      <c r="CK70" s="143"/>
      <c r="CL70" s="143"/>
      <c r="CM70" s="143"/>
      <c r="CN70" s="143"/>
      <c r="CO70" s="143"/>
      <c r="CP70" s="102">
        <v>1</v>
      </c>
      <c r="CQ70" s="145"/>
      <c r="CR70" s="145"/>
      <c r="CS70" s="102">
        <v>1</v>
      </c>
      <c r="CT70" s="143"/>
      <c r="CU70" s="102">
        <v>1</v>
      </c>
      <c r="CV70" s="143"/>
      <c r="CW70" s="145">
        <v>1</v>
      </c>
      <c r="CX70" s="145"/>
      <c r="CY70" s="143"/>
      <c r="CZ70" s="143"/>
      <c r="DA70" s="143"/>
      <c r="DB70" s="145"/>
      <c r="DC70" s="143"/>
      <c r="DD70" s="102">
        <v>10</v>
      </c>
      <c r="DE70" s="143"/>
      <c r="DF70" s="143"/>
    </row>
    <row r="71" spans="1:110" x14ac:dyDescent="0.35">
      <c r="A71" s="55" t="s">
        <v>158</v>
      </c>
      <c r="B71" s="161">
        <v>1420</v>
      </c>
      <c r="C71" s="55">
        <v>95</v>
      </c>
      <c r="D71" s="58">
        <v>0.41</v>
      </c>
      <c r="E71" s="55">
        <v>17.100000000000001</v>
      </c>
      <c r="F71" s="55">
        <v>0</v>
      </c>
      <c r="G71" s="93" t="s">
        <v>163</v>
      </c>
      <c r="H71" s="79">
        <v>168</v>
      </c>
      <c r="I71" s="55">
        <v>100</v>
      </c>
      <c r="J71" s="55">
        <v>700</v>
      </c>
      <c r="K71" s="57">
        <v>6</v>
      </c>
      <c r="L71" s="48">
        <v>8</v>
      </c>
      <c r="M71" s="48">
        <v>11</v>
      </c>
      <c r="N71" s="192">
        <f t="shared" si="1"/>
        <v>720</v>
      </c>
      <c r="O71" s="102">
        <v>1</v>
      </c>
      <c r="P71" s="143"/>
      <c r="Q71" s="143"/>
      <c r="R71" s="143"/>
      <c r="S71" s="143"/>
      <c r="T71" s="143"/>
      <c r="U71" s="143"/>
      <c r="V71" s="143"/>
      <c r="W71" s="143"/>
      <c r="X71" s="144">
        <v>1</v>
      </c>
      <c r="Y71" s="143"/>
      <c r="Z71" s="143"/>
      <c r="AA71" s="143"/>
      <c r="AB71" s="143"/>
      <c r="AC71" s="145"/>
      <c r="AD71" s="143"/>
      <c r="AE71" s="143"/>
      <c r="AF71" s="143"/>
      <c r="AG71" s="143"/>
      <c r="AH71" s="143"/>
      <c r="AI71" s="143"/>
      <c r="AJ71" s="143"/>
      <c r="AK71" s="143"/>
      <c r="AL71" s="145"/>
      <c r="AM71" s="143"/>
      <c r="AN71" s="143"/>
      <c r="AO71" s="143"/>
      <c r="AP71" s="143"/>
      <c r="AQ71" s="143"/>
      <c r="AR71" s="145"/>
      <c r="AS71" s="145"/>
      <c r="AT71" s="143"/>
      <c r="AU71" s="143"/>
      <c r="AV71" s="145"/>
      <c r="AW71" s="143"/>
      <c r="AX71" s="145">
        <v>1</v>
      </c>
      <c r="AY71" s="145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5"/>
      <c r="BM71" s="154"/>
      <c r="BN71" s="143"/>
      <c r="BO71" s="154"/>
      <c r="BP71" s="143"/>
      <c r="BQ71" s="145"/>
      <c r="BR71" s="102">
        <v>1</v>
      </c>
      <c r="BS71" s="145"/>
      <c r="BT71" s="145"/>
      <c r="BU71" s="143"/>
      <c r="BV71" s="143"/>
      <c r="BW71" s="143"/>
      <c r="BX71" s="145"/>
      <c r="BY71" s="143"/>
      <c r="BZ71" s="143"/>
      <c r="CA71" s="143"/>
      <c r="CB71" s="143"/>
      <c r="CC71" s="143"/>
      <c r="CD71" s="102">
        <v>1</v>
      </c>
      <c r="CE71" s="143"/>
      <c r="CF71" s="143"/>
      <c r="CG71" s="143"/>
      <c r="CH71" s="143"/>
      <c r="CI71" s="102">
        <v>1</v>
      </c>
      <c r="CJ71" s="143"/>
      <c r="CK71" s="143"/>
      <c r="CL71" s="143"/>
      <c r="CM71" s="143"/>
      <c r="CN71" s="143"/>
      <c r="CO71" s="143"/>
      <c r="CP71" s="143"/>
      <c r="CQ71" s="145"/>
      <c r="CR71" s="145"/>
      <c r="CS71" s="143"/>
      <c r="CT71" s="143"/>
      <c r="CU71" s="143"/>
      <c r="CV71" s="143"/>
      <c r="CW71" s="145"/>
      <c r="CX71" s="145"/>
      <c r="CY71" s="143"/>
      <c r="CZ71" s="143"/>
      <c r="DA71" s="143"/>
      <c r="DB71" s="145"/>
      <c r="DC71" s="143"/>
      <c r="DD71" s="102">
        <v>3</v>
      </c>
      <c r="DE71" s="143"/>
      <c r="DF71" s="102">
        <v>2</v>
      </c>
    </row>
    <row r="72" spans="1:110" x14ac:dyDescent="0.35">
      <c r="A72" s="55" t="s">
        <v>158</v>
      </c>
      <c r="B72" s="161">
        <v>480</v>
      </c>
      <c r="C72" s="55">
        <v>99</v>
      </c>
      <c r="D72" s="58">
        <v>8.51</v>
      </c>
      <c r="E72" s="55">
        <v>26.5</v>
      </c>
      <c r="F72" s="55">
        <v>0</v>
      </c>
      <c r="G72" s="97" t="s">
        <v>159</v>
      </c>
      <c r="H72" s="79">
        <v>169</v>
      </c>
      <c r="I72" s="55">
        <v>36.659999999999997</v>
      </c>
      <c r="J72" s="55">
        <v>2000</v>
      </c>
      <c r="K72" s="57">
        <v>4</v>
      </c>
      <c r="L72" s="48">
        <v>9</v>
      </c>
      <c r="M72" s="48">
        <v>9</v>
      </c>
      <c r="N72" s="192">
        <f t="shared" si="1"/>
        <v>1520</v>
      </c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5"/>
      <c r="AD72" s="143"/>
      <c r="AE72" s="143"/>
      <c r="AF72" s="143"/>
      <c r="AG72" s="143"/>
      <c r="AH72" s="143"/>
      <c r="AI72" s="143"/>
      <c r="AJ72" s="143"/>
      <c r="AK72" s="143"/>
      <c r="AL72" s="145">
        <v>1</v>
      </c>
      <c r="AM72" s="143"/>
      <c r="AN72" s="143"/>
      <c r="AO72" s="143"/>
      <c r="AP72" s="143"/>
      <c r="AQ72" s="143"/>
      <c r="AR72" s="145"/>
      <c r="AS72" s="145"/>
      <c r="AT72" s="143"/>
      <c r="AU72" s="143"/>
      <c r="AV72" s="145"/>
      <c r="AW72" s="143"/>
      <c r="AX72" s="145">
        <v>1</v>
      </c>
      <c r="AY72" s="145"/>
      <c r="AZ72" s="143"/>
      <c r="BA72" s="143"/>
      <c r="BB72" s="143"/>
      <c r="BC72" s="143"/>
      <c r="BD72" s="143"/>
      <c r="BE72" s="143"/>
      <c r="BF72" s="143"/>
      <c r="BG72" s="143"/>
      <c r="BH72" s="154"/>
      <c r="BI72" s="143"/>
      <c r="BJ72" s="143"/>
      <c r="BK72" s="143"/>
      <c r="BL72" s="145"/>
      <c r="BM72" s="143"/>
      <c r="BN72" s="143"/>
      <c r="BO72" s="154"/>
      <c r="BP72" s="143"/>
      <c r="BQ72" s="145"/>
      <c r="BR72" s="143"/>
      <c r="BS72" s="145"/>
      <c r="BT72" s="145"/>
      <c r="BU72" s="143"/>
      <c r="BV72" s="143"/>
      <c r="BW72" s="143"/>
      <c r="BX72" s="145"/>
      <c r="BY72" s="143"/>
      <c r="BZ72" s="143"/>
      <c r="CA72" s="143"/>
      <c r="CB72" s="143"/>
      <c r="CC72" s="102">
        <v>1</v>
      </c>
      <c r="CD72" s="143"/>
      <c r="CE72" s="143"/>
      <c r="CF72" s="143"/>
      <c r="CG72" s="143"/>
      <c r="CH72" s="143"/>
      <c r="CI72" s="102">
        <v>1</v>
      </c>
      <c r="CJ72" s="143"/>
      <c r="CK72" s="102">
        <v>1</v>
      </c>
      <c r="CL72" s="143"/>
      <c r="CM72" s="143"/>
      <c r="CN72" s="143"/>
      <c r="CO72" s="143"/>
      <c r="CP72" s="143"/>
      <c r="CQ72" s="145"/>
      <c r="CR72" s="145"/>
      <c r="CS72" s="143"/>
      <c r="CT72" s="102">
        <v>1</v>
      </c>
      <c r="CU72" s="143"/>
      <c r="CV72" s="143"/>
      <c r="CW72" s="145"/>
      <c r="CX72" s="145"/>
      <c r="CY72" s="102">
        <v>1</v>
      </c>
      <c r="CZ72" s="102">
        <v>1</v>
      </c>
      <c r="DA72" s="143"/>
      <c r="DB72" s="145"/>
      <c r="DC72" s="143"/>
      <c r="DD72" s="143"/>
      <c r="DE72" s="102">
        <v>1</v>
      </c>
      <c r="DF72" s="143"/>
    </row>
    <row r="73" spans="1:110" x14ac:dyDescent="0.35">
      <c r="A73" s="55" t="s">
        <v>158</v>
      </c>
      <c r="B73" s="161">
        <v>580</v>
      </c>
      <c r="C73" s="55">
        <v>99</v>
      </c>
      <c r="D73" s="58">
        <v>6.93</v>
      </c>
      <c r="E73" s="55">
        <v>23.5</v>
      </c>
      <c r="F73" s="55">
        <v>0</v>
      </c>
      <c r="G73" s="163" t="s">
        <v>159</v>
      </c>
      <c r="H73" s="79">
        <v>169</v>
      </c>
      <c r="I73" s="55">
        <v>98</v>
      </c>
      <c r="J73" s="55">
        <v>2000</v>
      </c>
      <c r="K73" s="57">
        <v>3</v>
      </c>
      <c r="L73" s="48">
        <v>7</v>
      </c>
      <c r="M73" s="48">
        <v>7</v>
      </c>
      <c r="N73" s="192">
        <f t="shared" si="1"/>
        <v>1420</v>
      </c>
      <c r="O73" s="143"/>
      <c r="P73" s="143"/>
      <c r="Q73" s="143"/>
      <c r="R73" s="143"/>
      <c r="S73" s="143"/>
      <c r="T73" s="143"/>
      <c r="U73" s="143"/>
      <c r="V73" s="143"/>
      <c r="W73" s="102">
        <v>1</v>
      </c>
      <c r="X73" s="154"/>
      <c r="Y73" s="143"/>
      <c r="Z73" s="143"/>
      <c r="AA73" s="143"/>
      <c r="AB73" s="143"/>
      <c r="AC73" s="145">
        <v>1</v>
      </c>
      <c r="AD73" s="143"/>
      <c r="AE73" s="102">
        <v>1</v>
      </c>
      <c r="AF73" s="143"/>
      <c r="AG73" s="143"/>
      <c r="AH73" s="143"/>
      <c r="AI73" s="143"/>
      <c r="AJ73" s="143"/>
      <c r="AK73" s="143"/>
      <c r="AL73" s="145"/>
      <c r="AM73" s="143"/>
      <c r="AN73" s="143"/>
      <c r="AO73" s="143"/>
      <c r="AP73" s="143"/>
      <c r="AQ73" s="143"/>
      <c r="AR73" s="145"/>
      <c r="AS73" s="145"/>
      <c r="AT73" s="154"/>
      <c r="AU73" s="154"/>
      <c r="AV73" s="145"/>
      <c r="AW73" s="143"/>
      <c r="AX73" s="145">
        <v>1</v>
      </c>
      <c r="AY73" s="145"/>
      <c r="AZ73" s="143"/>
      <c r="BA73" s="143"/>
      <c r="BB73" s="102">
        <v>1</v>
      </c>
      <c r="BC73" s="143"/>
      <c r="BD73" s="143"/>
      <c r="BE73" s="143"/>
      <c r="BF73" s="143"/>
      <c r="BG73" s="143"/>
      <c r="BH73" s="143"/>
      <c r="BI73" s="102">
        <v>1</v>
      </c>
      <c r="BJ73" s="143"/>
      <c r="BK73" s="143"/>
      <c r="BL73" s="145"/>
      <c r="BM73" s="154"/>
      <c r="BN73" s="143"/>
      <c r="BO73" s="143"/>
      <c r="BP73" s="143"/>
      <c r="BQ73" s="145"/>
      <c r="BR73" s="143"/>
      <c r="BS73" s="145"/>
      <c r="BT73" s="145"/>
      <c r="BU73" s="143"/>
      <c r="BV73" s="143"/>
      <c r="BW73" s="143"/>
      <c r="BX73" s="145"/>
      <c r="BY73" s="143"/>
      <c r="BZ73" s="143"/>
      <c r="CA73" s="143"/>
      <c r="CB73" s="143"/>
      <c r="CC73" s="143"/>
      <c r="CD73" s="143"/>
      <c r="CE73" s="143"/>
      <c r="CF73" s="143"/>
      <c r="CG73" s="143"/>
      <c r="CH73" s="143"/>
      <c r="CI73" s="102">
        <v>1</v>
      </c>
      <c r="CJ73" s="143"/>
      <c r="CK73" s="143"/>
      <c r="CL73" s="143"/>
      <c r="CM73" s="143"/>
      <c r="CN73" s="143"/>
      <c r="CO73" s="143"/>
      <c r="CP73" s="143"/>
      <c r="CQ73" s="145"/>
      <c r="CR73" s="145"/>
      <c r="CS73" s="143"/>
      <c r="CT73" s="143"/>
      <c r="CU73" s="143"/>
      <c r="CV73" s="143"/>
      <c r="CW73" s="145"/>
      <c r="CX73" s="145"/>
      <c r="CY73" s="143"/>
      <c r="CZ73" s="143"/>
      <c r="DA73" s="143"/>
      <c r="DB73" s="145"/>
      <c r="DC73" s="143"/>
      <c r="DD73" s="143"/>
      <c r="DE73" s="143"/>
      <c r="DF73" s="143"/>
    </row>
    <row r="74" spans="1:110" x14ac:dyDescent="0.35">
      <c r="A74" s="55" t="s">
        <v>158</v>
      </c>
      <c r="B74" s="161">
        <v>700</v>
      </c>
      <c r="C74" s="55">
        <v>99</v>
      </c>
      <c r="D74" s="58">
        <v>0.32</v>
      </c>
      <c r="E74" s="55">
        <v>21.5</v>
      </c>
      <c r="F74" s="55">
        <v>0</v>
      </c>
      <c r="G74" s="97" t="s">
        <v>159</v>
      </c>
      <c r="H74" s="79">
        <v>169</v>
      </c>
      <c r="I74" s="55">
        <v>100</v>
      </c>
      <c r="J74" s="55">
        <v>2000</v>
      </c>
      <c r="K74" s="57">
        <v>5</v>
      </c>
      <c r="L74" s="48">
        <v>3</v>
      </c>
      <c r="M74" s="48">
        <v>3</v>
      </c>
      <c r="N74" s="192">
        <f t="shared" si="1"/>
        <v>1300</v>
      </c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5"/>
      <c r="AD74" s="143"/>
      <c r="AE74" s="143"/>
      <c r="AF74" s="143"/>
      <c r="AG74" s="143"/>
      <c r="AH74" s="143"/>
      <c r="AI74" s="143"/>
      <c r="AJ74" s="143"/>
      <c r="AK74" s="143"/>
      <c r="AL74" s="145"/>
      <c r="AM74" s="143"/>
      <c r="AN74" s="143"/>
      <c r="AO74" s="143"/>
      <c r="AP74" s="143"/>
      <c r="AQ74" s="143"/>
      <c r="AR74" s="145"/>
      <c r="AS74" s="145"/>
      <c r="AT74" s="143"/>
      <c r="AU74" s="143"/>
      <c r="AV74" s="145"/>
      <c r="AW74" s="143"/>
      <c r="AX74" s="145"/>
      <c r="AY74" s="145">
        <v>1</v>
      </c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5"/>
      <c r="BM74" s="143"/>
      <c r="BN74" s="154"/>
      <c r="BO74" s="154"/>
      <c r="BP74" s="143"/>
      <c r="BQ74" s="145"/>
      <c r="BR74" s="143"/>
      <c r="BS74" s="145"/>
      <c r="BT74" s="145"/>
      <c r="BU74" s="143"/>
      <c r="BV74" s="143"/>
      <c r="BW74" s="143"/>
      <c r="BX74" s="145"/>
      <c r="BY74" s="143"/>
      <c r="BZ74" s="143"/>
      <c r="CA74" s="143"/>
      <c r="CB74" s="143"/>
      <c r="CC74" s="143"/>
      <c r="CD74" s="143"/>
      <c r="CE74" s="143"/>
      <c r="CF74" s="143"/>
      <c r="CG74" s="143"/>
      <c r="CH74" s="143"/>
      <c r="CI74" s="143"/>
      <c r="CJ74" s="143"/>
      <c r="CK74" s="143"/>
      <c r="CL74" s="143"/>
      <c r="CM74" s="143"/>
      <c r="CN74" s="143"/>
      <c r="CO74" s="143"/>
      <c r="CP74" s="143"/>
      <c r="CQ74" s="145"/>
      <c r="CR74" s="145"/>
      <c r="CS74" s="143"/>
      <c r="CT74" s="102">
        <v>1</v>
      </c>
      <c r="CU74" s="143"/>
      <c r="CV74" s="143"/>
      <c r="CW74" s="145">
        <v>1</v>
      </c>
      <c r="CX74" s="145"/>
      <c r="CY74" s="143"/>
      <c r="CZ74" s="143"/>
      <c r="DA74" s="143"/>
      <c r="DB74" s="145"/>
      <c r="DC74" s="143"/>
      <c r="DD74" s="143"/>
      <c r="DE74" s="143"/>
      <c r="DF74" s="143"/>
    </row>
    <row r="75" spans="1:110" x14ac:dyDescent="0.35">
      <c r="A75" s="55" t="s">
        <v>158</v>
      </c>
      <c r="B75" s="161">
        <v>480</v>
      </c>
      <c r="C75" s="55">
        <v>99</v>
      </c>
      <c r="D75" s="58">
        <v>8.52</v>
      </c>
      <c r="E75" s="55">
        <v>26.5</v>
      </c>
      <c r="F75" s="55">
        <v>0</v>
      </c>
      <c r="G75" s="163" t="s">
        <v>160</v>
      </c>
      <c r="H75" s="79">
        <v>174</v>
      </c>
      <c r="I75" s="55">
        <v>100</v>
      </c>
      <c r="J75" s="55">
        <v>2000</v>
      </c>
      <c r="K75" s="57">
        <v>4</v>
      </c>
      <c r="L75" s="48">
        <v>5</v>
      </c>
      <c r="M75" s="48">
        <v>6</v>
      </c>
      <c r="N75" s="192">
        <f t="shared" si="1"/>
        <v>1520</v>
      </c>
      <c r="O75" s="143"/>
      <c r="P75" s="143"/>
      <c r="Q75" s="154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5"/>
      <c r="AD75" s="143"/>
      <c r="AE75" s="143"/>
      <c r="AF75" s="143"/>
      <c r="AG75" s="143"/>
      <c r="AH75" s="143"/>
      <c r="AI75" s="143"/>
      <c r="AJ75" s="143"/>
      <c r="AK75" s="143"/>
      <c r="AL75" s="145"/>
      <c r="AM75" s="143"/>
      <c r="AN75" s="143"/>
      <c r="AO75" s="143"/>
      <c r="AP75" s="154"/>
      <c r="AQ75" s="143"/>
      <c r="AR75" s="145"/>
      <c r="AS75" s="145"/>
      <c r="AT75" s="143"/>
      <c r="AU75" s="143"/>
      <c r="AV75" s="145"/>
      <c r="AW75" s="143"/>
      <c r="AX75" s="145"/>
      <c r="AY75" s="145"/>
      <c r="AZ75" s="143"/>
      <c r="BA75" s="143"/>
      <c r="BB75" s="143"/>
      <c r="BC75" s="102">
        <v>1</v>
      </c>
      <c r="BD75" s="143"/>
      <c r="BE75" s="143"/>
      <c r="BF75" s="143"/>
      <c r="BG75" s="143"/>
      <c r="BH75" s="143"/>
      <c r="BI75" s="102">
        <v>1</v>
      </c>
      <c r="BJ75" s="143"/>
      <c r="BK75" s="143"/>
      <c r="BL75" s="145"/>
      <c r="BM75" s="143"/>
      <c r="BN75" s="143"/>
      <c r="BO75" s="143"/>
      <c r="BP75" s="143"/>
      <c r="BQ75" s="145"/>
      <c r="BR75" s="143"/>
      <c r="BS75" s="145"/>
      <c r="BT75" s="145"/>
      <c r="BU75" s="154"/>
      <c r="BV75" s="102">
        <v>1</v>
      </c>
      <c r="BW75" s="143"/>
      <c r="BX75" s="145"/>
      <c r="BY75" s="143"/>
      <c r="BZ75" s="143"/>
      <c r="CA75" s="143"/>
      <c r="CB75" s="143"/>
      <c r="CC75" s="143"/>
      <c r="CD75" s="143"/>
      <c r="CE75" s="143"/>
      <c r="CF75" s="143"/>
      <c r="CG75" s="143"/>
      <c r="CH75" s="143"/>
      <c r="CI75" s="102">
        <v>1</v>
      </c>
      <c r="CJ75" s="102">
        <v>2</v>
      </c>
      <c r="CK75" s="143"/>
      <c r="CL75" s="143"/>
      <c r="CM75" s="143"/>
      <c r="CN75" s="143"/>
      <c r="CO75" s="143"/>
      <c r="CP75" s="154"/>
      <c r="CQ75" s="145"/>
      <c r="CR75" s="145"/>
      <c r="CS75" s="154"/>
      <c r="CT75" s="143"/>
      <c r="CU75" s="154"/>
      <c r="CV75" s="143"/>
      <c r="CW75" s="145"/>
      <c r="CX75" s="145"/>
      <c r="CY75" s="143"/>
      <c r="CZ75" s="143"/>
      <c r="DA75" s="143"/>
      <c r="DB75" s="145"/>
      <c r="DC75" s="143"/>
      <c r="DD75" s="154"/>
      <c r="DE75" s="143"/>
      <c r="DF75" s="143"/>
    </row>
    <row r="76" spans="1:110" x14ac:dyDescent="0.35">
      <c r="A76" s="55" t="s">
        <v>158</v>
      </c>
      <c r="B76" s="161">
        <v>1000</v>
      </c>
      <c r="C76" s="55">
        <v>74</v>
      </c>
      <c r="D76" s="58">
        <v>7.5</v>
      </c>
      <c r="E76" s="55">
        <v>26</v>
      </c>
      <c r="F76" s="55">
        <v>0</v>
      </c>
      <c r="G76" s="163" t="s">
        <v>160</v>
      </c>
      <c r="H76" s="79">
        <v>174</v>
      </c>
      <c r="I76" s="55">
        <v>100</v>
      </c>
      <c r="J76" s="55">
        <v>2000</v>
      </c>
      <c r="K76" s="57">
        <v>3</v>
      </c>
      <c r="L76" s="48">
        <v>1</v>
      </c>
      <c r="M76" s="48">
        <v>1</v>
      </c>
      <c r="N76" s="192">
        <f t="shared" si="1"/>
        <v>1000</v>
      </c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5"/>
      <c r="AD76" s="143"/>
      <c r="AE76" s="143"/>
      <c r="AF76" s="143"/>
      <c r="AG76" s="143"/>
      <c r="AH76" s="143"/>
      <c r="AI76" s="143"/>
      <c r="AJ76" s="143"/>
      <c r="AK76" s="143"/>
      <c r="AL76" s="145"/>
      <c r="AM76" s="143"/>
      <c r="AN76" s="143"/>
      <c r="AO76" s="143"/>
      <c r="AP76" s="143"/>
      <c r="AQ76" s="143"/>
      <c r="AR76" s="145"/>
      <c r="AS76" s="145"/>
      <c r="AT76" s="143"/>
      <c r="AU76" s="143"/>
      <c r="AV76" s="145"/>
      <c r="AW76" s="143"/>
      <c r="AX76" s="145"/>
      <c r="AY76" s="145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/>
      <c r="BK76" s="143"/>
      <c r="BL76" s="145"/>
      <c r="BM76" s="143"/>
      <c r="BN76" s="143"/>
      <c r="BO76" s="143"/>
      <c r="BP76" s="102">
        <v>1</v>
      </c>
      <c r="BQ76" s="145"/>
      <c r="BR76" s="143"/>
      <c r="BS76" s="145"/>
      <c r="BT76" s="145"/>
      <c r="BU76" s="143"/>
      <c r="BV76" s="143"/>
      <c r="BW76" s="143"/>
      <c r="BX76" s="145"/>
      <c r="BY76" s="143"/>
      <c r="BZ76" s="143"/>
      <c r="CA76" s="143"/>
      <c r="CB76" s="143"/>
      <c r="CC76" s="143"/>
      <c r="CD76" s="143"/>
      <c r="CE76" s="143"/>
      <c r="CF76" s="143"/>
      <c r="CG76" s="143"/>
      <c r="CH76" s="143"/>
      <c r="CI76" s="143"/>
      <c r="CJ76" s="154"/>
      <c r="CK76" s="143"/>
      <c r="CL76" s="143"/>
      <c r="CM76" s="143"/>
      <c r="CN76" s="143"/>
      <c r="CO76" s="143"/>
      <c r="CP76" s="143"/>
      <c r="CQ76" s="145"/>
      <c r="CR76" s="145"/>
      <c r="CS76" s="143"/>
      <c r="CT76" s="143"/>
      <c r="CU76" s="143"/>
      <c r="CV76" s="143"/>
      <c r="CW76" s="145"/>
      <c r="CX76" s="145"/>
      <c r="CY76" s="143"/>
      <c r="CZ76" s="143"/>
      <c r="DA76" s="143"/>
      <c r="DB76" s="145"/>
      <c r="DC76" s="143"/>
      <c r="DD76" s="143"/>
      <c r="DE76" s="143"/>
      <c r="DF76" s="143"/>
    </row>
    <row r="77" spans="1:110" x14ac:dyDescent="0.35">
      <c r="A77" s="55" t="s">
        <v>158</v>
      </c>
      <c r="B77" s="161">
        <v>1420</v>
      </c>
      <c r="C77" s="55">
        <v>95</v>
      </c>
      <c r="D77" s="58">
        <v>0.42</v>
      </c>
      <c r="E77" s="55">
        <v>17.2</v>
      </c>
      <c r="F77" s="55">
        <v>0</v>
      </c>
      <c r="G77" s="93" t="s">
        <v>160</v>
      </c>
      <c r="H77" s="79">
        <v>174</v>
      </c>
      <c r="I77" s="55">
        <v>100</v>
      </c>
      <c r="J77" s="55">
        <v>2000</v>
      </c>
      <c r="K77" s="57">
        <v>6</v>
      </c>
      <c r="L77" s="48">
        <v>1</v>
      </c>
      <c r="M77" s="48">
        <v>1</v>
      </c>
      <c r="N77" s="192">
        <f t="shared" si="1"/>
        <v>580</v>
      </c>
      <c r="O77" s="154"/>
      <c r="P77" s="143"/>
      <c r="Q77" s="143"/>
      <c r="R77" s="143"/>
      <c r="S77" s="143"/>
      <c r="T77" s="143"/>
      <c r="U77" s="143"/>
      <c r="V77" s="143"/>
      <c r="W77" s="143"/>
      <c r="X77" s="154"/>
      <c r="Y77" s="143"/>
      <c r="Z77" s="143"/>
      <c r="AA77" s="143"/>
      <c r="AB77" s="143"/>
      <c r="AC77" s="145"/>
      <c r="AD77" s="143"/>
      <c r="AE77" s="143"/>
      <c r="AF77" s="143"/>
      <c r="AG77" s="143"/>
      <c r="AH77" s="143"/>
      <c r="AI77" s="143"/>
      <c r="AJ77" s="143"/>
      <c r="AK77" s="143"/>
      <c r="AL77" s="145"/>
      <c r="AM77" s="143"/>
      <c r="AN77" s="143"/>
      <c r="AO77" s="143"/>
      <c r="AP77" s="143"/>
      <c r="AQ77" s="143"/>
      <c r="AR77" s="145"/>
      <c r="AS77" s="145"/>
      <c r="AT77" s="143"/>
      <c r="AU77" s="143"/>
      <c r="AV77" s="145"/>
      <c r="AW77" s="143"/>
      <c r="AX77" s="145"/>
      <c r="AY77" s="145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5"/>
      <c r="BM77" s="143"/>
      <c r="BN77" s="143"/>
      <c r="BO77" s="143"/>
      <c r="BP77" s="143"/>
      <c r="BQ77" s="145"/>
      <c r="BR77" s="154"/>
      <c r="BS77" s="145"/>
      <c r="BT77" s="145"/>
      <c r="BU77" s="143"/>
      <c r="BV77" s="143"/>
      <c r="BW77" s="143"/>
      <c r="BX77" s="145"/>
      <c r="BY77" s="143"/>
      <c r="BZ77" s="143"/>
      <c r="CA77" s="143"/>
      <c r="CB77" s="143"/>
      <c r="CC77" s="143"/>
      <c r="CD77" s="154"/>
      <c r="CE77" s="143"/>
      <c r="CF77" s="143"/>
      <c r="CG77" s="143"/>
      <c r="CH77" s="143"/>
      <c r="CI77" s="154"/>
      <c r="CJ77" s="102">
        <v>1</v>
      </c>
      <c r="CK77" s="143"/>
      <c r="CL77" s="143"/>
      <c r="CM77" s="143"/>
      <c r="CN77" s="143"/>
      <c r="CO77" s="143"/>
      <c r="CP77" s="143"/>
      <c r="CQ77" s="145"/>
      <c r="CR77" s="145"/>
      <c r="CS77" s="143"/>
      <c r="CT77" s="143"/>
      <c r="CU77" s="143"/>
      <c r="CV77" s="143"/>
      <c r="CW77" s="145"/>
      <c r="CX77" s="145"/>
      <c r="CY77" s="143"/>
      <c r="CZ77" s="143"/>
      <c r="DA77" s="143"/>
      <c r="DB77" s="145"/>
      <c r="DC77" s="143"/>
      <c r="DD77" s="154"/>
      <c r="DE77" s="143"/>
      <c r="DF77" s="154"/>
    </row>
    <row r="78" spans="1:110" x14ac:dyDescent="0.35">
      <c r="A78" s="55" t="s">
        <v>158</v>
      </c>
      <c r="B78" s="161">
        <v>580</v>
      </c>
      <c r="C78" s="55">
        <v>99</v>
      </c>
      <c r="D78" s="58">
        <v>6.8</v>
      </c>
      <c r="E78" s="55">
        <v>23.5</v>
      </c>
      <c r="F78" s="55">
        <v>0</v>
      </c>
      <c r="G78" s="97" t="s">
        <v>161</v>
      </c>
      <c r="H78" s="79">
        <v>175</v>
      </c>
      <c r="I78" s="55">
        <v>100</v>
      </c>
      <c r="J78" s="55">
        <v>2000</v>
      </c>
      <c r="K78" s="57">
        <v>3</v>
      </c>
      <c r="L78" s="48">
        <v>1</v>
      </c>
      <c r="M78" s="48">
        <v>1</v>
      </c>
      <c r="N78" s="192">
        <f t="shared" si="1"/>
        <v>1420</v>
      </c>
      <c r="O78" s="143"/>
      <c r="P78" s="154"/>
      <c r="Q78" s="154"/>
      <c r="R78" s="143"/>
      <c r="S78" s="143"/>
      <c r="T78" s="143"/>
      <c r="U78" s="154"/>
      <c r="V78" s="143"/>
      <c r="W78" s="143"/>
      <c r="X78" s="143"/>
      <c r="Y78" s="143"/>
      <c r="Z78" s="143"/>
      <c r="AA78" s="143"/>
      <c r="AB78" s="143"/>
      <c r="AC78" s="145"/>
      <c r="AD78" s="143"/>
      <c r="AE78" s="143"/>
      <c r="AF78" s="143"/>
      <c r="AG78" s="154"/>
      <c r="AH78" s="143"/>
      <c r="AI78" s="143"/>
      <c r="AJ78" s="143"/>
      <c r="AK78" s="143"/>
      <c r="AL78" s="145"/>
      <c r="AM78" s="143"/>
      <c r="AN78" s="143"/>
      <c r="AO78" s="143"/>
      <c r="AP78" s="143"/>
      <c r="AQ78" s="143"/>
      <c r="AR78" s="145"/>
      <c r="AS78" s="145"/>
      <c r="AT78" s="143"/>
      <c r="AU78" s="143"/>
      <c r="AV78" s="145"/>
      <c r="AW78" s="143"/>
      <c r="AX78" s="145"/>
      <c r="AY78" s="145"/>
      <c r="AZ78" s="143"/>
      <c r="BA78" s="143"/>
      <c r="BB78" s="143"/>
      <c r="BC78" s="143"/>
      <c r="BD78" s="143"/>
      <c r="BE78" s="143"/>
      <c r="BF78" s="154"/>
      <c r="BG78" s="143"/>
      <c r="BH78" s="143"/>
      <c r="BI78" s="143"/>
      <c r="BJ78" s="143"/>
      <c r="BK78" s="143"/>
      <c r="BL78" s="145"/>
      <c r="BM78" s="143"/>
      <c r="BN78" s="143"/>
      <c r="BO78" s="143"/>
      <c r="BP78" s="143"/>
      <c r="BQ78" s="145"/>
      <c r="BR78" s="143"/>
      <c r="BS78" s="145">
        <v>1</v>
      </c>
      <c r="BT78" s="145"/>
      <c r="BU78" s="143"/>
      <c r="BV78" s="143"/>
      <c r="BW78" s="143"/>
      <c r="BX78" s="145"/>
      <c r="BY78" s="143"/>
      <c r="BZ78" s="143"/>
      <c r="CA78" s="143"/>
      <c r="CB78" s="143"/>
      <c r="CC78" s="143"/>
      <c r="CD78" s="143"/>
      <c r="CE78" s="143"/>
      <c r="CF78" s="154"/>
      <c r="CG78" s="143"/>
      <c r="CH78" s="143"/>
      <c r="CI78" s="143"/>
      <c r="CJ78" s="143"/>
      <c r="CK78" s="143"/>
      <c r="CL78" s="143"/>
      <c r="CM78" s="143"/>
      <c r="CN78" s="143"/>
      <c r="CO78" s="143"/>
      <c r="CP78" s="143"/>
      <c r="CQ78" s="145"/>
      <c r="CR78" s="145"/>
      <c r="CS78" s="143"/>
      <c r="CT78" s="143"/>
      <c r="CU78" s="143"/>
      <c r="CV78" s="143"/>
      <c r="CW78" s="145"/>
      <c r="CX78" s="145"/>
      <c r="CY78" s="143"/>
      <c r="CZ78" s="143"/>
      <c r="DA78" s="143"/>
      <c r="DB78" s="145"/>
      <c r="DC78" s="143"/>
      <c r="DD78" s="143"/>
      <c r="DE78" s="143"/>
      <c r="DF78" s="143"/>
    </row>
    <row r="79" spans="1:110" x14ac:dyDescent="0.35">
      <c r="A79" s="55" t="s">
        <v>164</v>
      </c>
      <c r="B79" s="161">
        <v>480</v>
      </c>
      <c r="C79" s="55">
        <v>89</v>
      </c>
      <c r="D79" s="58">
        <v>1.36</v>
      </c>
      <c r="E79" s="55">
        <v>23.18</v>
      </c>
      <c r="F79" s="55">
        <v>0</v>
      </c>
      <c r="G79" s="97">
        <v>44987</v>
      </c>
      <c r="H79" s="80">
        <v>187</v>
      </c>
      <c r="I79" s="55">
        <v>100</v>
      </c>
      <c r="J79" s="55">
        <v>2000</v>
      </c>
      <c r="K79" s="57">
        <v>4</v>
      </c>
      <c r="L79" s="48">
        <v>8</v>
      </c>
      <c r="M79" s="48">
        <v>11</v>
      </c>
      <c r="N79" s="192">
        <f t="shared" si="1"/>
        <v>1520</v>
      </c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8"/>
      <c r="AD79" s="146"/>
      <c r="AE79" s="146"/>
      <c r="AF79" s="146"/>
      <c r="AG79" s="146"/>
      <c r="AH79" s="146"/>
      <c r="AI79" s="146"/>
      <c r="AJ79" s="146"/>
      <c r="AK79" s="146"/>
      <c r="AL79" s="148"/>
      <c r="AM79" s="146"/>
      <c r="AN79" s="147">
        <v>1</v>
      </c>
      <c r="AO79" s="146"/>
      <c r="AP79" s="146"/>
      <c r="AQ79" s="146"/>
      <c r="AR79" s="148"/>
      <c r="AS79" s="148"/>
      <c r="AT79" s="146"/>
      <c r="AU79" s="146"/>
      <c r="AV79" s="148"/>
      <c r="AW79" s="146"/>
      <c r="AX79" s="148"/>
      <c r="AY79" s="148"/>
      <c r="AZ79" s="146"/>
      <c r="BA79" s="146"/>
      <c r="BB79" s="146"/>
      <c r="BC79" s="146"/>
      <c r="BD79" s="146"/>
      <c r="BE79" s="146"/>
      <c r="BF79" s="146"/>
      <c r="BG79" s="146"/>
      <c r="BH79" s="146"/>
      <c r="BI79" s="147">
        <v>1</v>
      </c>
      <c r="BJ79" s="146"/>
      <c r="BK79" s="146"/>
      <c r="BL79" s="148"/>
      <c r="BM79" s="146"/>
      <c r="BN79" s="146"/>
      <c r="BO79" s="146"/>
      <c r="BP79" s="146"/>
      <c r="BQ79" s="148"/>
      <c r="BR79" s="146"/>
      <c r="BS79" s="148">
        <v>2</v>
      </c>
      <c r="BT79" s="148">
        <v>2</v>
      </c>
      <c r="BU79" s="146"/>
      <c r="BV79" s="146"/>
      <c r="BW79" s="146"/>
      <c r="BX79" s="148"/>
      <c r="BY79" s="146"/>
      <c r="BZ79" s="146"/>
      <c r="CA79" s="146"/>
      <c r="CB79" s="146"/>
      <c r="CC79" s="146"/>
      <c r="CD79" s="146"/>
      <c r="CE79" s="146"/>
      <c r="CF79" s="146"/>
      <c r="CG79" s="146"/>
      <c r="CH79" s="146"/>
      <c r="CI79" s="146"/>
      <c r="CJ79" s="146"/>
      <c r="CK79" s="146"/>
      <c r="CL79" s="146"/>
      <c r="CM79" s="146"/>
      <c r="CN79" s="146"/>
      <c r="CO79" s="146"/>
      <c r="CP79" s="146"/>
      <c r="CQ79" s="148"/>
      <c r="CR79" s="148"/>
      <c r="CS79" s="146"/>
      <c r="CT79" s="146"/>
      <c r="CU79" s="146"/>
      <c r="CV79" s="146"/>
      <c r="CW79" s="148">
        <v>1</v>
      </c>
      <c r="CX79" s="148"/>
      <c r="CY79" s="146"/>
      <c r="CZ79" s="147">
        <v>2</v>
      </c>
      <c r="DA79" s="146"/>
      <c r="DB79" s="148">
        <v>1</v>
      </c>
      <c r="DC79" s="147">
        <v>1</v>
      </c>
      <c r="DD79" s="146"/>
      <c r="DE79" s="146"/>
      <c r="DF79" s="146"/>
    </row>
    <row r="80" spans="1:110" x14ac:dyDescent="0.35">
      <c r="A80" s="55" t="s">
        <v>164</v>
      </c>
      <c r="B80" s="161">
        <v>580</v>
      </c>
      <c r="C80" s="55">
        <v>94</v>
      </c>
      <c r="D80" s="58">
        <v>7.68</v>
      </c>
      <c r="E80" s="55">
        <v>26.7</v>
      </c>
      <c r="F80" s="55">
        <v>0.75</v>
      </c>
      <c r="G80" s="97">
        <v>44987</v>
      </c>
      <c r="H80" s="80">
        <v>187</v>
      </c>
      <c r="I80" s="55">
        <v>100</v>
      </c>
      <c r="J80" s="55">
        <v>2000</v>
      </c>
      <c r="K80" s="57">
        <v>3</v>
      </c>
      <c r="L80" s="48">
        <v>6</v>
      </c>
      <c r="M80" s="48">
        <v>8</v>
      </c>
      <c r="N80" s="192">
        <f t="shared" si="1"/>
        <v>1420</v>
      </c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8"/>
      <c r="AD80" s="146"/>
      <c r="AE80" s="146"/>
      <c r="AF80" s="146"/>
      <c r="AG80" s="146"/>
      <c r="AH80" s="146"/>
      <c r="AI80" s="146"/>
      <c r="AJ80" s="146"/>
      <c r="AK80" s="146"/>
      <c r="AL80" s="148"/>
      <c r="AM80" s="146"/>
      <c r="AN80" s="146"/>
      <c r="AO80" s="146"/>
      <c r="AP80" s="146"/>
      <c r="AQ80" s="146"/>
      <c r="AR80" s="148"/>
      <c r="AS80" s="148"/>
      <c r="AT80" s="146"/>
      <c r="AU80" s="146"/>
      <c r="AV80" s="148"/>
      <c r="AW80" s="146"/>
      <c r="AX80" s="148"/>
      <c r="AY80" s="148">
        <v>1</v>
      </c>
      <c r="AZ80" s="146"/>
      <c r="BA80" s="146"/>
      <c r="BB80" s="146"/>
      <c r="BC80" s="147">
        <v>1</v>
      </c>
      <c r="BD80" s="146"/>
      <c r="BE80" s="146"/>
      <c r="BF80" s="146"/>
      <c r="BG80" s="146"/>
      <c r="BH80" s="146"/>
      <c r="BI80" s="146"/>
      <c r="BJ80" s="146"/>
      <c r="BK80" s="146"/>
      <c r="BL80" s="148"/>
      <c r="BM80" s="146"/>
      <c r="BN80" s="146"/>
      <c r="BO80" s="146"/>
      <c r="BP80" s="146"/>
      <c r="BQ80" s="148"/>
      <c r="BR80" s="146"/>
      <c r="BS80" s="148"/>
      <c r="BT80" s="148">
        <v>3</v>
      </c>
      <c r="BU80" s="146"/>
      <c r="BV80" s="146"/>
      <c r="BW80" s="146"/>
      <c r="BX80" s="148"/>
      <c r="BY80" s="146"/>
      <c r="BZ80" s="146"/>
      <c r="CA80" s="146"/>
      <c r="CB80" s="146"/>
      <c r="CC80" s="146"/>
      <c r="CD80" s="146"/>
      <c r="CE80" s="146"/>
      <c r="CF80" s="147">
        <v>1</v>
      </c>
      <c r="CG80" s="146"/>
      <c r="CH80" s="146"/>
      <c r="CI80" s="146"/>
      <c r="CJ80" s="146"/>
      <c r="CK80" s="146"/>
      <c r="CL80" s="146"/>
      <c r="CM80" s="146"/>
      <c r="CN80" s="146"/>
      <c r="CO80" s="146"/>
      <c r="CP80" s="146"/>
      <c r="CQ80" s="148"/>
      <c r="CR80" s="148"/>
      <c r="CS80" s="147">
        <v>1</v>
      </c>
      <c r="CT80" s="146"/>
      <c r="CU80" s="147">
        <v>1</v>
      </c>
      <c r="CV80" s="146"/>
      <c r="CW80" s="148"/>
      <c r="CX80" s="148"/>
      <c r="CY80" s="146"/>
      <c r="CZ80" s="146"/>
      <c r="DA80" s="146"/>
      <c r="DB80" s="148"/>
      <c r="DC80" s="146"/>
      <c r="DD80" s="146"/>
      <c r="DE80" s="146"/>
      <c r="DF80" s="146"/>
    </row>
    <row r="81" spans="1:110" x14ac:dyDescent="0.35">
      <c r="A81" s="55" t="s">
        <v>164</v>
      </c>
      <c r="B81" s="161">
        <v>700</v>
      </c>
      <c r="C81" s="55">
        <v>85</v>
      </c>
      <c r="D81" s="58">
        <v>1.3</v>
      </c>
      <c r="E81" s="55">
        <v>24.4</v>
      </c>
      <c r="F81" s="55">
        <v>0</v>
      </c>
      <c r="G81" s="97">
        <v>44987</v>
      </c>
      <c r="H81" s="80">
        <v>187</v>
      </c>
      <c r="I81" s="55">
        <v>100</v>
      </c>
      <c r="J81" s="55">
        <v>2000</v>
      </c>
      <c r="K81" s="57">
        <v>5</v>
      </c>
      <c r="L81" s="48">
        <v>8</v>
      </c>
      <c r="M81" s="48">
        <v>8</v>
      </c>
      <c r="N81" s="192">
        <f t="shared" si="1"/>
        <v>1300</v>
      </c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8"/>
      <c r="AD81" s="146"/>
      <c r="AE81" s="146"/>
      <c r="AF81" s="146"/>
      <c r="AG81" s="146"/>
      <c r="AH81" s="146"/>
      <c r="AI81" s="146"/>
      <c r="AJ81" s="146"/>
      <c r="AK81" s="146"/>
      <c r="AL81" s="148">
        <v>1</v>
      </c>
      <c r="AM81" s="102">
        <v>1</v>
      </c>
      <c r="AN81" s="146"/>
      <c r="AO81" s="146"/>
      <c r="AP81" s="146"/>
      <c r="AQ81" s="146"/>
      <c r="AR81" s="148"/>
      <c r="AS81" s="148"/>
      <c r="AT81" s="146"/>
      <c r="AU81" s="146"/>
      <c r="AV81" s="148"/>
      <c r="AW81" s="146"/>
      <c r="AX81" s="148"/>
      <c r="AY81" s="148">
        <v>1</v>
      </c>
      <c r="AZ81" s="146"/>
      <c r="BA81" s="146"/>
      <c r="BB81" s="146"/>
      <c r="BC81" s="102">
        <v>1</v>
      </c>
      <c r="BD81" s="146"/>
      <c r="BE81" s="146"/>
      <c r="BF81" s="146"/>
      <c r="BG81" s="146"/>
      <c r="BH81" s="146"/>
      <c r="BI81" s="146"/>
      <c r="BJ81" s="146"/>
      <c r="BK81" s="146"/>
      <c r="BL81" s="148"/>
      <c r="BM81" s="146"/>
      <c r="BN81" s="146"/>
      <c r="BO81" s="146"/>
      <c r="BP81" s="146"/>
      <c r="BQ81" s="148"/>
      <c r="BR81" s="146"/>
      <c r="BS81" s="148">
        <v>1</v>
      </c>
      <c r="BT81" s="148"/>
      <c r="BU81" s="146"/>
      <c r="BV81" s="146"/>
      <c r="BW81" s="146"/>
      <c r="BX81" s="148"/>
      <c r="BY81" s="146"/>
      <c r="BZ81" s="146"/>
      <c r="CA81" s="146"/>
      <c r="CB81" s="146"/>
      <c r="CC81" s="146"/>
      <c r="CD81" s="146"/>
      <c r="CE81" s="146"/>
      <c r="CF81" s="102">
        <v>1</v>
      </c>
      <c r="CG81" s="146"/>
      <c r="CH81" s="102">
        <v>1</v>
      </c>
      <c r="CI81" s="146"/>
      <c r="CJ81" s="154"/>
      <c r="CK81" s="146"/>
      <c r="CL81" s="146"/>
      <c r="CM81" s="146"/>
      <c r="CN81" s="146"/>
      <c r="CO81" s="146"/>
      <c r="CP81" s="146"/>
      <c r="CQ81" s="148"/>
      <c r="CR81" s="148"/>
      <c r="CS81" s="146"/>
      <c r="CT81" s="102">
        <v>1</v>
      </c>
      <c r="CU81" s="146"/>
      <c r="CV81" s="146"/>
      <c r="CW81" s="148"/>
      <c r="CX81" s="148"/>
      <c r="CY81" s="146"/>
      <c r="CZ81" s="146"/>
      <c r="DA81" s="146"/>
      <c r="DB81" s="148"/>
      <c r="DC81" s="146"/>
      <c r="DD81" s="146"/>
      <c r="DE81" s="146"/>
      <c r="DF81" s="146"/>
    </row>
    <row r="82" spans="1:110" s="177" customFormat="1" x14ac:dyDescent="0.35">
      <c r="A82" s="172" t="s">
        <v>164</v>
      </c>
      <c r="B82" s="173">
        <v>780</v>
      </c>
      <c r="C82" s="172">
        <v>91</v>
      </c>
      <c r="D82" s="174">
        <v>0.57999999999999996</v>
      </c>
      <c r="E82" s="172">
        <v>26.4</v>
      </c>
      <c r="F82" s="172">
        <v>0</v>
      </c>
      <c r="G82" s="179">
        <v>45018</v>
      </c>
      <c r="H82" s="175">
        <v>188</v>
      </c>
      <c r="I82" s="172">
        <v>100</v>
      </c>
      <c r="J82" s="172">
        <v>780</v>
      </c>
      <c r="K82" s="175">
        <v>5</v>
      </c>
      <c r="L82" s="176">
        <v>10</v>
      </c>
      <c r="M82" s="176">
        <v>10</v>
      </c>
      <c r="N82" s="192">
        <f t="shared" si="1"/>
        <v>0</v>
      </c>
      <c r="P82" s="183">
        <v>1</v>
      </c>
      <c r="Q82" s="183">
        <v>1</v>
      </c>
      <c r="AC82" s="172"/>
      <c r="AE82" s="176">
        <v>1</v>
      </c>
      <c r="AL82" s="172"/>
      <c r="AM82" s="176"/>
      <c r="AP82" s="183">
        <v>1</v>
      </c>
      <c r="AR82" s="172"/>
      <c r="AS82" s="172"/>
      <c r="AV82" s="172"/>
      <c r="AX82" s="172"/>
      <c r="AY82" s="172"/>
      <c r="AZ82" s="183">
        <v>1</v>
      </c>
      <c r="BB82" s="183">
        <v>1</v>
      </c>
      <c r="BI82" s="176"/>
      <c r="BL82" s="172"/>
      <c r="BQ82" s="172"/>
      <c r="BS82" s="172">
        <v>1</v>
      </c>
      <c r="BT82" s="172"/>
      <c r="BX82" s="172"/>
      <c r="CE82" s="183">
        <v>1</v>
      </c>
      <c r="CI82" s="176"/>
      <c r="CQ82" s="172"/>
      <c r="CR82" s="172"/>
      <c r="CS82" s="183">
        <v>1</v>
      </c>
      <c r="CW82" s="172">
        <v>1</v>
      </c>
      <c r="CX82" s="172"/>
      <c r="DB82" s="172"/>
    </row>
    <row r="83" spans="1:110" x14ac:dyDescent="0.35">
      <c r="A83" s="55" t="s">
        <v>164</v>
      </c>
      <c r="B83" s="161">
        <v>870</v>
      </c>
      <c r="C83" s="55">
        <v>99</v>
      </c>
      <c r="D83" s="58">
        <v>85.6</v>
      </c>
      <c r="E83" s="55">
        <v>28.5</v>
      </c>
      <c r="F83" s="55">
        <v>1.2</v>
      </c>
      <c r="G83" s="97">
        <v>45018</v>
      </c>
      <c r="H83" s="80">
        <v>188</v>
      </c>
      <c r="I83" s="55">
        <v>100</v>
      </c>
      <c r="J83" s="55">
        <v>780</v>
      </c>
      <c r="K83" s="57">
        <v>3</v>
      </c>
      <c r="L83" s="48">
        <v>1</v>
      </c>
      <c r="M83" s="48">
        <v>1</v>
      </c>
      <c r="N83" s="192">
        <f t="shared" si="1"/>
        <v>90</v>
      </c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8"/>
      <c r="AD83" s="146"/>
      <c r="AE83" s="146"/>
      <c r="AF83" s="146"/>
      <c r="AG83" s="146"/>
      <c r="AH83" s="146"/>
      <c r="AI83" s="146"/>
      <c r="AJ83" s="146"/>
      <c r="AK83" s="146"/>
      <c r="AL83" s="148"/>
      <c r="AM83" s="146"/>
      <c r="AN83" s="146"/>
      <c r="AO83" s="146"/>
      <c r="AP83" s="146"/>
      <c r="AQ83" s="146"/>
      <c r="AR83" s="148"/>
      <c r="AS83" s="148"/>
      <c r="AT83" s="146"/>
      <c r="AU83" s="146"/>
      <c r="AV83" s="148"/>
      <c r="AW83" s="146"/>
      <c r="AX83" s="148"/>
      <c r="AY83" s="148">
        <v>1</v>
      </c>
      <c r="AZ83" s="146"/>
      <c r="BA83" s="146"/>
      <c r="BB83" s="146"/>
      <c r="BC83" s="146"/>
      <c r="BD83" s="146"/>
      <c r="BE83" s="146"/>
      <c r="BF83" s="146"/>
      <c r="BG83" s="146"/>
      <c r="BH83" s="146"/>
      <c r="BI83" s="146"/>
      <c r="BJ83" s="146"/>
      <c r="BK83" s="146"/>
      <c r="BL83" s="148"/>
      <c r="BM83" s="146"/>
      <c r="BN83" s="146"/>
      <c r="BO83" s="146"/>
      <c r="BP83" s="146"/>
      <c r="BQ83" s="148"/>
      <c r="BR83" s="146"/>
      <c r="BS83" s="148"/>
      <c r="BT83" s="148"/>
      <c r="BU83" s="146"/>
      <c r="BV83" s="146"/>
      <c r="BW83" s="146"/>
      <c r="BX83" s="148"/>
      <c r="BY83" s="146"/>
      <c r="BZ83" s="146"/>
      <c r="CA83" s="146"/>
      <c r="CB83" s="146"/>
      <c r="CC83" s="146"/>
      <c r="CD83" s="146"/>
      <c r="CE83" s="146"/>
      <c r="CF83" s="146"/>
      <c r="CG83" s="146"/>
      <c r="CH83" s="146"/>
      <c r="CI83" s="154"/>
      <c r="CJ83" s="146"/>
      <c r="CK83" s="146"/>
      <c r="CL83" s="146"/>
      <c r="CM83" s="146"/>
      <c r="CN83" s="146"/>
      <c r="CO83" s="146"/>
      <c r="CP83" s="146"/>
      <c r="CQ83" s="148"/>
      <c r="CR83" s="148"/>
      <c r="CS83" s="146"/>
      <c r="CT83" s="146"/>
      <c r="CU83" s="146"/>
      <c r="CV83" s="146"/>
      <c r="CW83" s="148"/>
      <c r="CX83" s="148"/>
      <c r="CY83" s="146"/>
      <c r="CZ83" s="146"/>
      <c r="DA83" s="146"/>
      <c r="DB83" s="148"/>
      <c r="DC83" s="146"/>
      <c r="DD83" s="146"/>
      <c r="DE83" s="146"/>
      <c r="DF83" s="146"/>
    </row>
    <row r="84" spans="1:110" x14ac:dyDescent="0.35">
      <c r="A84" s="55" t="s">
        <v>164</v>
      </c>
      <c r="B84" s="161">
        <v>1000</v>
      </c>
      <c r="C84" s="55">
        <v>74</v>
      </c>
      <c r="D84" s="58">
        <v>18</v>
      </c>
      <c r="E84" s="55">
        <v>28</v>
      </c>
      <c r="F84" s="55">
        <v>0</v>
      </c>
      <c r="G84" s="97">
        <v>45018</v>
      </c>
      <c r="H84" s="80">
        <v>188</v>
      </c>
      <c r="I84" s="55">
        <v>2</v>
      </c>
      <c r="J84" s="55">
        <v>2000</v>
      </c>
      <c r="K84" s="57">
        <v>3</v>
      </c>
      <c r="L84" s="48">
        <v>2</v>
      </c>
      <c r="M84" s="48">
        <v>2</v>
      </c>
      <c r="N84" s="192">
        <f t="shared" si="1"/>
        <v>1000</v>
      </c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8"/>
      <c r="AD84" s="146"/>
      <c r="AE84" s="146"/>
      <c r="AF84" s="146"/>
      <c r="AG84" s="146"/>
      <c r="AH84" s="146"/>
      <c r="AI84" s="146"/>
      <c r="AJ84" s="146"/>
      <c r="AK84" s="146"/>
      <c r="AL84" s="148"/>
      <c r="AM84" s="154"/>
      <c r="AN84" s="146"/>
      <c r="AO84" s="146"/>
      <c r="AP84" s="146"/>
      <c r="AQ84" s="146"/>
      <c r="AR84" s="148"/>
      <c r="AS84" s="148"/>
      <c r="AT84" s="146"/>
      <c r="AU84" s="146"/>
      <c r="AV84" s="148"/>
      <c r="AW84" s="146"/>
      <c r="AX84" s="148"/>
      <c r="AY84" s="148"/>
      <c r="AZ84" s="146"/>
      <c r="BA84" s="146"/>
      <c r="BB84" s="146"/>
      <c r="BC84" s="154"/>
      <c r="BD84" s="146"/>
      <c r="BE84" s="146"/>
      <c r="BF84" s="146"/>
      <c r="BG84" s="146"/>
      <c r="BH84" s="146"/>
      <c r="BI84" s="146"/>
      <c r="BJ84" s="146"/>
      <c r="BK84" s="146"/>
      <c r="BL84" s="148"/>
      <c r="BM84" s="102">
        <v>1</v>
      </c>
      <c r="BN84" s="146"/>
      <c r="BO84" s="102">
        <v>1</v>
      </c>
      <c r="BP84" s="146"/>
      <c r="BQ84" s="148"/>
      <c r="BR84" s="146"/>
      <c r="BS84" s="148"/>
      <c r="BT84" s="148"/>
      <c r="BU84" s="146"/>
      <c r="BV84" s="146"/>
      <c r="BW84" s="146"/>
      <c r="BX84" s="148"/>
      <c r="BY84" s="146"/>
      <c r="BZ84" s="146"/>
      <c r="CA84" s="146"/>
      <c r="CB84" s="146"/>
      <c r="CC84" s="146"/>
      <c r="CD84" s="146"/>
      <c r="CE84" s="146"/>
      <c r="CF84" s="154"/>
      <c r="CG84" s="146"/>
      <c r="CH84" s="154"/>
      <c r="CI84" s="146"/>
      <c r="CJ84" s="146"/>
      <c r="CK84" s="146"/>
      <c r="CL84" s="146"/>
      <c r="CM84" s="146"/>
      <c r="CN84" s="146"/>
      <c r="CO84" s="146"/>
      <c r="CP84" s="146"/>
      <c r="CQ84" s="148"/>
      <c r="CR84" s="148"/>
      <c r="CS84" s="146"/>
      <c r="CT84" s="154"/>
      <c r="CU84" s="146"/>
      <c r="CV84" s="146"/>
      <c r="CW84" s="148"/>
      <c r="CX84" s="148"/>
      <c r="CY84" s="146"/>
      <c r="CZ84" s="146"/>
      <c r="DA84" s="146"/>
      <c r="DB84" s="148"/>
      <c r="DC84" s="146"/>
      <c r="DD84" s="146"/>
      <c r="DE84" s="146"/>
      <c r="DF84" s="146"/>
    </row>
    <row r="85" spans="1:110" x14ac:dyDescent="0.35">
      <c r="A85" s="55" t="s">
        <v>164</v>
      </c>
      <c r="B85" s="161">
        <v>1100</v>
      </c>
      <c r="C85" s="55">
        <v>70</v>
      </c>
      <c r="D85" s="58">
        <v>5.91</v>
      </c>
      <c r="E85" s="55">
        <v>20.5</v>
      </c>
      <c r="F85" s="55">
        <v>1.5</v>
      </c>
      <c r="G85" s="97">
        <v>45018</v>
      </c>
      <c r="H85" s="80">
        <v>188</v>
      </c>
      <c r="I85" s="55">
        <v>2</v>
      </c>
      <c r="J85" s="55">
        <v>2000</v>
      </c>
      <c r="K85" s="57">
        <v>2</v>
      </c>
      <c r="L85" s="48">
        <v>3</v>
      </c>
      <c r="M85" s="48">
        <v>3</v>
      </c>
      <c r="N85" s="192">
        <f t="shared" si="1"/>
        <v>900</v>
      </c>
      <c r="O85" s="146"/>
      <c r="P85" s="154"/>
      <c r="Q85" s="154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8"/>
      <c r="AD85" s="146"/>
      <c r="AE85" s="154"/>
      <c r="AF85" s="146"/>
      <c r="AG85" s="146"/>
      <c r="AH85" s="146"/>
      <c r="AI85" s="146"/>
      <c r="AJ85" s="102">
        <v>1</v>
      </c>
      <c r="AK85" s="146"/>
      <c r="AL85" s="148"/>
      <c r="AM85" s="146"/>
      <c r="AN85" s="146"/>
      <c r="AO85" s="146"/>
      <c r="AP85" s="154"/>
      <c r="AQ85" s="146"/>
      <c r="AR85" s="148"/>
      <c r="AS85" s="148"/>
      <c r="AT85" s="146"/>
      <c r="AU85" s="146"/>
      <c r="AV85" s="148"/>
      <c r="AW85" s="146"/>
      <c r="AX85" s="148"/>
      <c r="AY85" s="148"/>
      <c r="AZ85" s="154"/>
      <c r="BA85" s="146"/>
      <c r="BB85" s="154"/>
      <c r="BC85" s="146"/>
      <c r="BD85" s="146"/>
      <c r="BE85" s="146"/>
      <c r="BF85" s="146"/>
      <c r="BG85" s="146"/>
      <c r="BH85" s="102">
        <v>1</v>
      </c>
      <c r="BI85" s="146"/>
      <c r="BJ85" s="146"/>
      <c r="BK85" s="146"/>
      <c r="BL85" s="148"/>
      <c r="BM85" s="146"/>
      <c r="BN85" s="146"/>
      <c r="BO85" s="146"/>
      <c r="BP85" s="146"/>
      <c r="BQ85" s="148"/>
      <c r="BR85" s="146"/>
      <c r="BS85" s="148"/>
      <c r="BT85" s="148">
        <v>1</v>
      </c>
      <c r="BU85" s="146"/>
      <c r="BV85" s="146"/>
      <c r="BW85" s="146"/>
      <c r="BX85" s="148"/>
      <c r="BY85" s="146"/>
      <c r="BZ85" s="146"/>
      <c r="CA85" s="146"/>
      <c r="CB85" s="146"/>
      <c r="CC85" s="146"/>
      <c r="CD85" s="146"/>
      <c r="CE85" s="154"/>
      <c r="CF85" s="146"/>
      <c r="CG85" s="146"/>
      <c r="CH85" s="146"/>
      <c r="CI85" s="146"/>
      <c r="CJ85" s="146"/>
      <c r="CK85" s="146"/>
      <c r="CL85" s="146"/>
      <c r="CM85" s="146"/>
      <c r="CN85" s="146"/>
      <c r="CO85" s="146"/>
      <c r="CP85" s="146"/>
      <c r="CQ85" s="148"/>
      <c r="CR85" s="148"/>
      <c r="CS85" s="154"/>
      <c r="CT85" s="146"/>
      <c r="CU85" s="146"/>
      <c r="CV85" s="146"/>
      <c r="CW85" s="148"/>
      <c r="CX85" s="148"/>
      <c r="CY85" s="146"/>
      <c r="CZ85" s="146"/>
      <c r="DA85" s="146"/>
      <c r="DB85" s="148"/>
      <c r="DC85" s="146"/>
      <c r="DD85" s="146"/>
      <c r="DE85" s="146"/>
      <c r="DF85" s="146"/>
    </row>
    <row r="86" spans="1:110" x14ac:dyDescent="0.35">
      <c r="A86" s="55" t="s">
        <v>164</v>
      </c>
      <c r="B86" s="161">
        <v>700</v>
      </c>
      <c r="C86" s="55">
        <v>91</v>
      </c>
      <c r="D86" s="58">
        <v>1.1499999999999999</v>
      </c>
      <c r="E86" s="55">
        <v>24.4</v>
      </c>
      <c r="F86" s="55">
        <v>0</v>
      </c>
      <c r="G86" s="97">
        <v>45048</v>
      </c>
      <c r="H86" s="80">
        <v>189</v>
      </c>
      <c r="I86" s="55">
        <v>100</v>
      </c>
      <c r="J86" s="55">
        <v>480</v>
      </c>
      <c r="K86" s="57">
        <v>5</v>
      </c>
      <c r="L86" s="48">
        <v>8</v>
      </c>
      <c r="M86" s="48">
        <v>8</v>
      </c>
      <c r="N86" s="192">
        <f t="shared" si="1"/>
        <v>220</v>
      </c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8"/>
      <c r="AD86" s="146"/>
      <c r="AE86" s="102">
        <v>1</v>
      </c>
      <c r="AF86" s="146"/>
      <c r="AG86" s="146"/>
      <c r="AH86" s="146"/>
      <c r="AI86" s="146"/>
      <c r="AJ86" s="146"/>
      <c r="AK86" s="146"/>
      <c r="AL86" s="148"/>
      <c r="AM86" s="102">
        <v>1</v>
      </c>
      <c r="AN86" s="146"/>
      <c r="AO86" s="146"/>
      <c r="AP86" s="146"/>
      <c r="AQ86" s="146"/>
      <c r="AR86" s="148"/>
      <c r="AS86" s="148"/>
      <c r="AT86" s="146"/>
      <c r="AU86" s="146"/>
      <c r="AV86" s="148"/>
      <c r="AW86" s="154"/>
      <c r="AX86" s="148"/>
      <c r="AY86" s="148">
        <v>1</v>
      </c>
      <c r="AZ86" s="146"/>
      <c r="BA86" s="146"/>
      <c r="BB86" s="154"/>
      <c r="BC86" s="146"/>
      <c r="BD86" s="146"/>
      <c r="BE86" s="146"/>
      <c r="BF86" s="146"/>
      <c r="BG86" s="146"/>
      <c r="BH86" s="146"/>
      <c r="BI86" s="102">
        <v>1</v>
      </c>
      <c r="BJ86" s="146"/>
      <c r="BK86" s="146"/>
      <c r="BL86" s="148"/>
      <c r="BM86" s="146"/>
      <c r="BN86" s="146"/>
      <c r="BO86" s="146"/>
      <c r="BP86" s="146"/>
      <c r="BQ86" s="148"/>
      <c r="BR86" s="146"/>
      <c r="BS86" s="148">
        <v>1</v>
      </c>
      <c r="BT86" s="148"/>
      <c r="BU86" s="146"/>
      <c r="BV86" s="146"/>
      <c r="BW86" s="146"/>
      <c r="BX86" s="148">
        <v>1</v>
      </c>
      <c r="BY86" s="146"/>
      <c r="BZ86" s="146"/>
      <c r="CA86" s="146"/>
      <c r="CB86" s="146"/>
      <c r="CC86" s="146"/>
      <c r="CD86" s="146"/>
      <c r="CE86" s="146"/>
      <c r="CF86" s="146"/>
      <c r="CG86" s="146"/>
      <c r="CH86" s="154"/>
      <c r="CI86" s="102">
        <v>1</v>
      </c>
      <c r="CJ86" s="146"/>
      <c r="CK86" s="146"/>
      <c r="CL86" s="146"/>
      <c r="CM86" s="146"/>
      <c r="CN86" s="146"/>
      <c r="CO86" s="146"/>
      <c r="CP86" s="146"/>
      <c r="CQ86" s="148"/>
      <c r="CR86" s="148"/>
      <c r="CS86" s="146"/>
      <c r="CT86" s="154"/>
      <c r="CU86" s="146"/>
      <c r="CV86" s="146"/>
      <c r="CW86" s="148">
        <v>1</v>
      </c>
      <c r="CX86" s="148"/>
      <c r="CY86" s="146"/>
      <c r="CZ86" s="146"/>
      <c r="DA86" s="146"/>
      <c r="DB86" s="148"/>
      <c r="DC86" s="146"/>
      <c r="DD86" s="146"/>
      <c r="DE86" s="146"/>
      <c r="DF86" s="146"/>
    </row>
    <row r="87" spans="1:110" x14ac:dyDescent="0.35">
      <c r="A87" s="55" t="s">
        <v>164</v>
      </c>
      <c r="B87" s="161">
        <v>780</v>
      </c>
      <c r="C87" s="55">
        <v>91</v>
      </c>
      <c r="D87" s="58">
        <v>0.81</v>
      </c>
      <c r="E87" s="55">
        <v>23.28</v>
      </c>
      <c r="F87" s="55">
        <v>0</v>
      </c>
      <c r="G87" s="97">
        <v>45048</v>
      </c>
      <c r="H87" s="80">
        <v>189</v>
      </c>
      <c r="I87" s="55">
        <v>100</v>
      </c>
      <c r="J87" s="55">
        <v>480</v>
      </c>
      <c r="K87" s="57">
        <v>5</v>
      </c>
      <c r="L87" s="48">
        <v>5</v>
      </c>
      <c r="M87" s="48">
        <v>5</v>
      </c>
      <c r="N87" s="192">
        <f t="shared" si="1"/>
        <v>300</v>
      </c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8"/>
      <c r="AD87" s="146"/>
      <c r="AE87" s="146"/>
      <c r="AF87" s="146"/>
      <c r="AG87" s="146"/>
      <c r="AH87" s="146"/>
      <c r="AI87" s="146"/>
      <c r="AJ87" s="146"/>
      <c r="AK87" s="146"/>
      <c r="AL87" s="148"/>
      <c r="AM87" s="146"/>
      <c r="AN87" s="146"/>
      <c r="AO87" s="146"/>
      <c r="AP87" s="146"/>
      <c r="AQ87" s="146"/>
      <c r="AR87" s="148"/>
      <c r="AS87" s="148"/>
      <c r="AT87" s="146"/>
      <c r="AU87" s="146"/>
      <c r="AV87" s="148"/>
      <c r="AW87" s="102">
        <v>1</v>
      </c>
      <c r="AX87" s="148"/>
      <c r="AY87" s="148"/>
      <c r="AZ87" s="146"/>
      <c r="BA87" s="146"/>
      <c r="BB87" s="102">
        <v>1</v>
      </c>
      <c r="BC87" s="146"/>
      <c r="BD87" s="146"/>
      <c r="BE87" s="146"/>
      <c r="BF87" s="146"/>
      <c r="BG87" s="146"/>
      <c r="BH87" s="146"/>
      <c r="BI87" s="146"/>
      <c r="BJ87" s="146"/>
      <c r="BK87" s="146"/>
      <c r="BL87" s="148"/>
      <c r="BM87" s="146"/>
      <c r="BN87" s="146"/>
      <c r="BO87" s="146"/>
      <c r="BP87" s="146"/>
      <c r="BQ87" s="148"/>
      <c r="BR87" s="146"/>
      <c r="BS87" s="148"/>
      <c r="BT87" s="148"/>
      <c r="BU87" s="146"/>
      <c r="BV87" s="146"/>
      <c r="BW87" s="146"/>
      <c r="BX87" s="148"/>
      <c r="BY87" s="146"/>
      <c r="BZ87" s="146"/>
      <c r="CA87" s="146"/>
      <c r="CB87" s="146"/>
      <c r="CC87" s="146"/>
      <c r="CD87" s="146"/>
      <c r="CE87" s="146"/>
      <c r="CF87" s="146"/>
      <c r="CG87" s="146"/>
      <c r="CH87" s="102">
        <v>1</v>
      </c>
      <c r="CI87" s="146"/>
      <c r="CJ87" s="154"/>
      <c r="CK87" s="146"/>
      <c r="CL87" s="146"/>
      <c r="CM87" s="146"/>
      <c r="CN87" s="146"/>
      <c r="CO87" s="146"/>
      <c r="CP87" s="146"/>
      <c r="CQ87" s="148"/>
      <c r="CR87" s="148"/>
      <c r="CS87" s="146"/>
      <c r="CT87" s="102">
        <v>1</v>
      </c>
      <c r="CU87" s="146"/>
      <c r="CV87" s="146"/>
      <c r="CW87" s="148">
        <v>1</v>
      </c>
      <c r="CX87" s="148"/>
      <c r="CY87" s="146"/>
      <c r="CZ87" s="146"/>
      <c r="DA87" s="146"/>
      <c r="DB87" s="148"/>
      <c r="DC87" s="146"/>
      <c r="DD87" s="146"/>
      <c r="DE87" s="146"/>
      <c r="DF87" s="146"/>
    </row>
    <row r="88" spans="1:110" x14ac:dyDescent="0.35">
      <c r="A88" s="55" t="s">
        <v>164</v>
      </c>
      <c r="B88" s="161">
        <v>870</v>
      </c>
      <c r="C88" s="55">
        <v>91</v>
      </c>
      <c r="D88" s="58">
        <v>13.15</v>
      </c>
      <c r="E88" s="55">
        <v>26.13</v>
      </c>
      <c r="F88" s="55">
        <v>0</v>
      </c>
      <c r="G88" s="97">
        <v>45048</v>
      </c>
      <c r="H88" s="80">
        <v>189</v>
      </c>
      <c r="I88" s="55">
        <v>100</v>
      </c>
      <c r="J88" s="55">
        <v>480</v>
      </c>
      <c r="K88" s="57">
        <v>3</v>
      </c>
      <c r="L88" s="48">
        <v>3</v>
      </c>
      <c r="M88" s="48">
        <v>3</v>
      </c>
      <c r="N88" s="192">
        <f t="shared" si="1"/>
        <v>390</v>
      </c>
      <c r="O88" s="146"/>
      <c r="P88" s="146"/>
      <c r="Q88" s="146"/>
      <c r="R88" s="146"/>
      <c r="S88" s="146"/>
      <c r="T88" s="146"/>
      <c r="U88" s="146"/>
      <c r="V88" s="146"/>
      <c r="W88" s="146"/>
      <c r="X88" s="102">
        <v>1</v>
      </c>
      <c r="Y88" s="146"/>
      <c r="Z88" s="146"/>
      <c r="AA88" s="146"/>
      <c r="AB88" s="146"/>
      <c r="AC88" s="148"/>
      <c r="AD88" s="146"/>
      <c r="AE88" s="146"/>
      <c r="AF88" s="146"/>
      <c r="AG88" s="146"/>
      <c r="AH88" s="146"/>
      <c r="AI88" s="146"/>
      <c r="AJ88" s="146"/>
      <c r="AK88" s="146"/>
      <c r="AL88" s="148"/>
      <c r="AM88" s="146"/>
      <c r="AN88" s="146"/>
      <c r="AO88" s="146"/>
      <c r="AP88" s="146"/>
      <c r="AQ88" s="146"/>
      <c r="AR88" s="148"/>
      <c r="AS88" s="148"/>
      <c r="AT88" s="146"/>
      <c r="AU88" s="146"/>
      <c r="AV88" s="148"/>
      <c r="AW88" s="146"/>
      <c r="AX88" s="148"/>
      <c r="AY88" s="148"/>
      <c r="AZ88" s="146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8"/>
      <c r="BM88" s="146"/>
      <c r="BN88" s="146"/>
      <c r="BO88" s="146"/>
      <c r="BP88" s="146"/>
      <c r="BQ88" s="148"/>
      <c r="BR88" s="146"/>
      <c r="BS88" s="148"/>
      <c r="BT88" s="148"/>
      <c r="BU88" s="146"/>
      <c r="BV88" s="146"/>
      <c r="BW88" s="146"/>
      <c r="BX88" s="148"/>
      <c r="BY88" s="146"/>
      <c r="BZ88" s="146"/>
      <c r="CA88" s="146"/>
      <c r="CB88" s="146"/>
      <c r="CC88" s="146"/>
      <c r="CD88" s="146"/>
      <c r="CE88" s="146"/>
      <c r="CF88" s="102">
        <v>1</v>
      </c>
      <c r="CG88" s="146"/>
      <c r="CH88" s="146"/>
      <c r="CI88" s="146"/>
      <c r="CJ88" s="146"/>
      <c r="CK88" s="146"/>
      <c r="CL88" s="146"/>
      <c r="CM88" s="146"/>
      <c r="CN88" s="146"/>
      <c r="CO88" s="146"/>
      <c r="CP88" s="146"/>
      <c r="CQ88" s="148"/>
      <c r="CR88" s="148"/>
      <c r="CS88" s="102">
        <v>1</v>
      </c>
      <c r="CT88" s="146"/>
      <c r="CU88" s="146"/>
      <c r="CV88" s="146"/>
      <c r="CW88" s="148"/>
      <c r="CX88" s="148"/>
      <c r="CY88" s="146"/>
      <c r="CZ88" s="146"/>
      <c r="DA88" s="146"/>
      <c r="DB88" s="148"/>
      <c r="DC88" s="146"/>
      <c r="DD88" s="146"/>
      <c r="DE88" s="146"/>
      <c r="DF88" s="146"/>
    </row>
    <row r="89" spans="1:110" x14ac:dyDescent="0.35">
      <c r="A89" s="164" t="s">
        <v>164</v>
      </c>
      <c r="B89" s="165">
        <v>1000</v>
      </c>
      <c r="C89" s="164">
        <v>93</v>
      </c>
      <c r="D89" s="166">
        <v>14.5</v>
      </c>
      <c r="E89" s="164">
        <v>28.73</v>
      </c>
      <c r="F89" s="164">
        <v>0</v>
      </c>
      <c r="G89" s="99">
        <v>45048</v>
      </c>
      <c r="H89" s="80">
        <v>189</v>
      </c>
      <c r="I89" s="164">
        <v>100</v>
      </c>
      <c r="J89" s="164">
        <v>480</v>
      </c>
      <c r="K89" s="167">
        <v>3</v>
      </c>
      <c r="L89" s="168">
        <v>6</v>
      </c>
      <c r="M89" s="168">
        <v>9</v>
      </c>
      <c r="N89" s="192">
        <f t="shared" si="1"/>
        <v>520</v>
      </c>
      <c r="O89" s="170"/>
      <c r="P89" s="170"/>
      <c r="Q89" s="170"/>
      <c r="R89" s="170"/>
      <c r="S89" s="170"/>
      <c r="T89" s="170"/>
      <c r="U89" s="170"/>
      <c r="V89" s="170"/>
      <c r="W89" s="170"/>
      <c r="X89" s="168"/>
      <c r="Y89" s="170"/>
      <c r="Z89" s="170"/>
      <c r="AA89" s="170"/>
      <c r="AB89" s="170"/>
      <c r="AC89" s="164"/>
      <c r="AD89" s="170"/>
      <c r="AE89" s="170"/>
      <c r="AF89" s="170"/>
      <c r="AG89" s="170"/>
      <c r="AH89" s="170"/>
      <c r="AI89" s="170"/>
      <c r="AJ89" s="170"/>
      <c r="AK89" s="170"/>
      <c r="AL89" s="164"/>
      <c r="AM89" s="170"/>
      <c r="AN89" s="170"/>
      <c r="AO89" s="170"/>
      <c r="AP89" s="170"/>
      <c r="AQ89" s="170"/>
      <c r="AR89" s="164"/>
      <c r="AS89" s="164"/>
      <c r="AT89" s="170"/>
      <c r="AU89" s="170"/>
      <c r="AV89" s="164"/>
      <c r="AW89" s="170"/>
      <c r="AX89" s="164"/>
      <c r="AY89" s="164">
        <v>1</v>
      </c>
      <c r="AZ89" s="170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64"/>
      <c r="BM89" s="170">
        <v>4</v>
      </c>
      <c r="BN89" s="170"/>
      <c r="BO89" s="170">
        <v>1</v>
      </c>
      <c r="BP89" s="170"/>
      <c r="BQ89" s="164"/>
      <c r="BR89" s="170"/>
      <c r="BS89" s="164">
        <v>1</v>
      </c>
      <c r="BT89" s="164"/>
      <c r="BU89" s="170"/>
      <c r="BV89" s="170"/>
      <c r="BW89" s="170"/>
      <c r="BX89" s="164"/>
      <c r="BY89" s="170"/>
      <c r="BZ89" s="170"/>
      <c r="CA89" s="170"/>
      <c r="CB89" s="170"/>
      <c r="CC89" s="170"/>
      <c r="CD89" s="170"/>
      <c r="CE89" s="170"/>
      <c r="CF89" s="168">
        <v>1</v>
      </c>
      <c r="CG89" s="170"/>
      <c r="CH89" s="170"/>
      <c r="CI89" s="170">
        <v>1</v>
      </c>
      <c r="CJ89" s="170"/>
      <c r="CK89" s="170"/>
      <c r="CL89" s="170"/>
      <c r="CM89" s="170"/>
      <c r="CN89" s="170"/>
      <c r="CO89" s="170"/>
      <c r="CP89" s="170"/>
      <c r="CQ89" s="164"/>
      <c r="CR89" s="164"/>
      <c r="CS89" s="168"/>
      <c r="CT89" s="170"/>
      <c r="CU89" s="170"/>
      <c r="CV89" s="170"/>
      <c r="CW89" s="164"/>
      <c r="CX89" s="164"/>
      <c r="CY89" s="170"/>
      <c r="CZ89" s="170"/>
      <c r="DA89" s="170"/>
      <c r="DB89" s="164"/>
      <c r="DC89" s="170"/>
      <c r="DD89" s="170"/>
      <c r="DE89" s="170"/>
      <c r="DF89" s="170"/>
    </row>
    <row r="90" spans="1:110" x14ac:dyDescent="0.35">
      <c r="A90" s="55" t="s">
        <v>164</v>
      </c>
      <c r="B90" s="161">
        <v>1100</v>
      </c>
      <c r="C90" s="55">
        <v>92</v>
      </c>
      <c r="D90" s="58">
        <v>97.97</v>
      </c>
      <c r="E90" s="55">
        <v>28.73</v>
      </c>
      <c r="F90" s="55">
        <v>0.97</v>
      </c>
      <c r="G90" s="97">
        <v>45048</v>
      </c>
      <c r="H90" s="80">
        <v>189</v>
      </c>
      <c r="I90" s="55">
        <v>100</v>
      </c>
      <c r="J90" s="55">
        <v>480</v>
      </c>
      <c r="K90" s="57">
        <v>2</v>
      </c>
      <c r="L90" s="48">
        <v>0</v>
      </c>
      <c r="M90" s="48">
        <v>0</v>
      </c>
      <c r="N90" s="192">
        <f t="shared" si="1"/>
        <v>620</v>
      </c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8"/>
      <c r="AD90" s="146"/>
      <c r="AE90" s="146"/>
      <c r="AF90" s="146"/>
      <c r="AG90" s="146"/>
      <c r="AH90" s="146"/>
      <c r="AI90" s="146"/>
      <c r="AJ90" s="146"/>
      <c r="AK90" s="146"/>
      <c r="AL90" s="148"/>
      <c r="AM90" s="146"/>
      <c r="AN90" s="146"/>
      <c r="AO90" s="146"/>
      <c r="AP90" s="146"/>
      <c r="AQ90" s="146"/>
      <c r="AR90" s="148"/>
      <c r="AS90" s="148"/>
      <c r="AT90" s="146"/>
      <c r="AU90" s="146"/>
      <c r="AV90" s="148"/>
      <c r="AW90" s="146"/>
      <c r="AX90" s="148"/>
      <c r="AY90" s="148"/>
      <c r="AZ90" s="146"/>
      <c r="BA90" s="146"/>
      <c r="BB90" s="146"/>
      <c r="BC90" s="146"/>
      <c r="BD90" s="146"/>
      <c r="BE90" s="146"/>
      <c r="BF90" s="146"/>
      <c r="BG90" s="146"/>
      <c r="BH90" s="146"/>
      <c r="BI90" s="146"/>
      <c r="BJ90" s="146"/>
      <c r="BK90" s="146"/>
      <c r="BL90" s="148"/>
      <c r="BM90" s="146"/>
      <c r="BN90" s="146"/>
      <c r="BO90" s="146"/>
      <c r="BP90" s="146"/>
      <c r="BQ90" s="148"/>
      <c r="BR90" s="146"/>
      <c r="BS90" s="148"/>
      <c r="BT90" s="148"/>
      <c r="BU90" s="146"/>
      <c r="BV90" s="146"/>
      <c r="BW90" s="146"/>
      <c r="BX90" s="148"/>
      <c r="BY90" s="146"/>
      <c r="BZ90" s="146"/>
      <c r="CA90" s="146"/>
      <c r="CB90" s="146"/>
      <c r="CC90" s="146"/>
      <c r="CD90" s="146"/>
      <c r="CE90" s="146"/>
      <c r="CF90" s="146"/>
      <c r="CG90" s="146"/>
      <c r="CH90" s="146"/>
      <c r="CI90" s="146"/>
      <c r="CJ90" s="154"/>
      <c r="CK90" s="146"/>
      <c r="CL90" s="146"/>
      <c r="CM90" s="146"/>
      <c r="CN90" s="146"/>
      <c r="CO90" s="146"/>
      <c r="CP90" s="154"/>
      <c r="CQ90" s="148"/>
      <c r="CR90" s="148"/>
      <c r="CS90" s="146"/>
      <c r="CT90" s="146"/>
      <c r="CU90" s="146"/>
      <c r="CV90" s="146"/>
      <c r="CW90" s="148"/>
      <c r="CX90" s="148"/>
      <c r="CY90" s="146"/>
      <c r="CZ90" s="146"/>
      <c r="DA90" s="146"/>
      <c r="DB90" s="148"/>
      <c r="DC90" s="146"/>
      <c r="DD90" s="146"/>
      <c r="DE90" s="146"/>
      <c r="DF90" s="146"/>
    </row>
    <row r="91" spans="1:110" x14ac:dyDescent="0.35">
      <c r="A91" s="156" t="s">
        <v>164</v>
      </c>
      <c r="B91" s="161">
        <v>1250</v>
      </c>
      <c r="C91" s="156">
        <v>81</v>
      </c>
      <c r="D91" s="159">
        <v>5.23</v>
      </c>
      <c r="E91" s="156">
        <v>27.03</v>
      </c>
      <c r="F91" s="156">
        <v>0</v>
      </c>
      <c r="G91" s="163">
        <v>45048</v>
      </c>
      <c r="H91" s="80">
        <v>189</v>
      </c>
      <c r="I91" s="156">
        <v>100</v>
      </c>
      <c r="J91" s="156">
        <v>480</v>
      </c>
      <c r="K91" s="158">
        <v>3</v>
      </c>
      <c r="L91" s="154">
        <v>4</v>
      </c>
      <c r="M91" s="154">
        <v>5</v>
      </c>
      <c r="N91" s="192">
        <f t="shared" si="1"/>
        <v>770</v>
      </c>
      <c r="O91" s="154"/>
      <c r="P91" s="154"/>
      <c r="Q91" s="154"/>
      <c r="R91" s="154"/>
      <c r="S91" s="154"/>
      <c r="T91" s="154"/>
      <c r="U91" s="154"/>
      <c r="V91" s="154">
        <v>1</v>
      </c>
      <c r="W91" s="154"/>
      <c r="X91" s="154">
        <v>2</v>
      </c>
      <c r="Y91" s="154">
        <v>1</v>
      </c>
      <c r="Z91" s="154"/>
      <c r="AA91" s="154"/>
      <c r="AB91" s="154"/>
      <c r="AC91" s="156"/>
      <c r="AD91" s="154"/>
      <c r="AE91" s="154"/>
      <c r="AF91" s="154"/>
      <c r="AG91" s="154"/>
      <c r="AH91" s="154"/>
      <c r="AI91" s="154"/>
      <c r="AJ91" s="154"/>
      <c r="AK91" s="154"/>
      <c r="AL91" s="156"/>
      <c r="AM91" s="154"/>
      <c r="AN91" s="154"/>
      <c r="AO91" s="154"/>
      <c r="AP91" s="154"/>
      <c r="AQ91" s="154"/>
      <c r="AR91" s="156"/>
      <c r="AS91" s="156"/>
      <c r="AT91" s="154"/>
      <c r="AU91" s="154">
        <v>1</v>
      </c>
      <c r="AV91" s="156"/>
      <c r="AW91" s="154"/>
      <c r="AX91" s="156"/>
      <c r="AY91" s="156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6"/>
      <c r="BM91" s="154"/>
      <c r="BN91" s="154"/>
      <c r="BO91" s="154"/>
      <c r="BP91" s="154"/>
      <c r="BQ91" s="156"/>
      <c r="BR91" s="154"/>
      <c r="BS91" s="156"/>
      <c r="BT91" s="156"/>
      <c r="BU91" s="154"/>
      <c r="BV91" s="154"/>
      <c r="BW91" s="154"/>
      <c r="BX91" s="156"/>
      <c r="BY91" s="154"/>
      <c r="BZ91" s="154"/>
      <c r="CA91" s="154"/>
      <c r="CB91" s="154"/>
      <c r="CC91" s="154"/>
      <c r="CD91" s="154"/>
      <c r="CE91" s="154"/>
      <c r="CF91" s="154"/>
      <c r="CG91" s="154"/>
      <c r="CH91" s="154"/>
      <c r="CI91" s="154"/>
      <c r="CJ91" s="154"/>
      <c r="CK91" s="154"/>
      <c r="CL91" s="154"/>
      <c r="CM91" s="154"/>
      <c r="CN91" s="154"/>
      <c r="CO91" s="154"/>
      <c r="CP91" s="154"/>
      <c r="CQ91" s="156"/>
      <c r="CR91" s="156"/>
      <c r="CS91" s="154"/>
      <c r="CT91" s="154"/>
      <c r="CU91" s="154"/>
      <c r="CV91" s="154"/>
      <c r="CW91" s="156"/>
      <c r="CX91" s="156"/>
      <c r="CY91" s="154"/>
      <c r="CZ91" s="154"/>
      <c r="DA91" s="154"/>
      <c r="DB91" s="156"/>
      <c r="DC91" s="154"/>
      <c r="DD91" s="154"/>
      <c r="DE91" s="154"/>
      <c r="DF91" s="154"/>
    </row>
    <row r="92" spans="1:110" x14ac:dyDescent="0.35">
      <c r="A92" s="55" t="s">
        <v>164</v>
      </c>
      <c r="B92" s="161">
        <v>1360</v>
      </c>
      <c r="C92" s="55">
        <v>72</v>
      </c>
      <c r="D92" s="58">
        <v>4.6399999999999997</v>
      </c>
      <c r="E92" s="55">
        <v>24.9</v>
      </c>
      <c r="F92" s="55">
        <v>3.17</v>
      </c>
      <c r="G92" s="97">
        <v>45048</v>
      </c>
      <c r="H92" s="80">
        <v>189</v>
      </c>
      <c r="I92" s="55">
        <v>100</v>
      </c>
      <c r="J92" s="55">
        <v>480</v>
      </c>
      <c r="K92" s="57">
        <v>1</v>
      </c>
      <c r="L92" s="48">
        <v>2</v>
      </c>
      <c r="M92" s="48">
        <v>4</v>
      </c>
      <c r="N92" s="192">
        <f t="shared" si="1"/>
        <v>880</v>
      </c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8"/>
      <c r="AD92" s="146"/>
      <c r="AE92" s="146"/>
      <c r="AF92" s="146"/>
      <c r="AG92" s="146"/>
      <c r="AH92" s="146"/>
      <c r="AI92" s="146"/>
      <c r="AJ92" s="146"/>
      <c r="AK92" s="146"/>
      <c r="AL92" s="148"/>
      <c r="AM92" s="146"/>
      <c r="AN92" s="146"/>
      <c r="AO92" s="146"/>
      <c r="AP92" s="146"/>
      <c r="AQ92" s="146"/>
      <c r="AR92" s="148"/>
      <c r="AS92" s="148"/>
      <c r="AT92" s="146"/>
      <c r="AU92" s="102">
        <v>1</v>
      </c>
      <c r="AV92" s="148"/>
      <c r="AW92" s="146"/>
      <c r="AX92" s="148"/>
      <c r="AY92" s="148"/>
      <c r="AZ92" s="146"/>
      <c r="BA92" s="146"/>
      <c r="BB92" s="146"/>
      <c r="BC92" s="146"/>
      <c r="BD92" s="146"/>
      <c r="BE92" s="146"/>
      <c r="BF92" s="146"/>
      <c r="BG92" s="146"/>
      <c r="BH92" s="146"/>
      <c r="BI92" s="146"/>
      <c r="BJ92" s="146"/>
      <c r="BK92" s="146"/>
      <c r="BL92" s="148"/>
      <c r="BM92" s="147">
        <v>3</v>
      </c>
      <c r="BN92" s="146"/>
      <c r="BO92" s="154"/>
      <c r="BP92" s="146"/>
      <c r="BQ92" s="148"/>
      <c r="BR92" s="146"/>
      <c r="BS92" s="148"/>
      <c r="BT92" s="148"/>
      <c r="BU92" s="146"/>
      <c r="BV92" s="146"/>
      <c r="BW92" s="146"/>
      <c r="BX92" s="148"/>
      <c r="BY92" s="146"/>
      <c r="BZ92" s="146"/>
      <c r="CA92" s="146"/>
      <c r="CB92" s="146"/>
      <c r="CC92" s="146"/>
      <c r="CD92" s="146"/>
      <c r="CE92" s="146"/>
      <c r="CF92" s="146"/>
      <c r="CG92" s="146"/>
      <c r="CH92" s="146"/>
      <c r="CI92" s="146"/>
      <c r="CJ92" s="146"/>
      <c r="CK92" s="146"/>
      <c r="CL92" s="146"/>
      <c r="CM92" s="146"/>
      <c r="CN92" s="146"/>
      <c r="CO92" s="146"/>
      <c r="CP92" s="146"/>
      <c r="CQ92" s="148"/>
      <c r="CR92" s="148"/>
      <c r="CS92" s="146"/>
      <c r="CT92" s="146"/>
      <c r="CU92" s="146"/>
      <c r="CV92" s="146"/>
      <c r="CW92" s="148"/>
      <c r="CX92" s="148"/>
      <c r="CY92" s="146"/>
      <c r="CZ92" s="146"/>
      <c r="DA92" s="146"/>
      <c r="DB92" s="148"/>
      <c r="DC92" s="146"/>
      <c r="DD92" s="146"/>
      <c r="DE92" s="146"/>
      <c r="DF92" s="146"/>
    </row>
    <row r="93" spans="1:110" x14ac:dyDescent="0.35">
      <c r="A93" s="55" t="s">
        <v>164</v>
      </c>
      <c r="B93" s="161">
        <v>1420</v>
      </c>
      <c r="C93" s="55">
        <v>83</v>
      </c>
      <c r="D93" s="58">
        <v>0.20499999999999999</v>
      </c>
      <c r="E93" s="55">
        <v>24.8</v>
      </c>
      <c r="F93" s="55">
        <v>0</v>
      </c>
      <c r="G93" s="97">
        <v>45048</v>
      </c>
      <c r="H93" s="80">
        <v>189</v>
      </c>
      <c r="I93" s="55">
        <v>100</v>
      </c>
      <c r="J93" s="55">
        <v>480</v>
      </c>
      <c r="K93" s="57">
        <v>6</v>
      </c>
      <c r="L93" s="48">
        <v>0</v>
      </c>
      <c r="M93" s="48">
        <v>0</v>
      </c>
      <c r="N93" s="192">
        <f t="shared" si="1"/>
        <v>940</v>
      </c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8"/>
      <c r="AD93" s="146"/>
      <c r="AE93" s="146"/>
      <c r="AF93" s="146"/>
      <c r="AG93" s="146"/>
      <c r="AH93" s="146"/>
      <c r="AI93" s="146"/>
      <c r="AJ93" s="146"/>
      <c r="AK93" s="146"/>
      <c r="AL93" s="148"/>
      <c r="AM93" s="146"/>
      <c r="AN93" s="146"/>
      <c r="AO93" s="146"/>
      <c r="AP93" s="146"/>
      <c r="AQ93" s="146"/>
      <c r="AR93" s="148"/>
      <c r="AS93" s="148"/>
      <c r="AT93" s="146"/>
      <c r="AU93" s="146"/>
      <c r="AV93" s="148"/>
      <c r="AW93" s="146"/>
      <c r="AX93" s="148"/>
      <c r="AY93" s="148"/>
      <c r="AZ93" s="146"/>
      <c r="BA93" s="146"/>
      <c r="BB93" s="146"/>
      <c r="BC93" s="146"/>
      <c r="BD93" s="146"/>
      <c r="BE93" s="146"/>
      <c r="BF93" s="146"/>
      <c r="BG93" s="146"/>
      <c r="BH93" s="146"/>
      <c r="BI93" s="146"/>
      <c r="BJ93" s="146"/>
      <c r="BK93" s="146"/>
      <c r="BL93" s="148"/>
      <c r="BM93" s="146"/>
      <c r="BN93" s="146"/>
      <c r="BO93" s="146"/>
      <c r="BP93" s="146"/>
      <c r="BQ93" s="148"/>
      <c r="BR93" s="146"/>
      <c r="BS93" s="148"/>
      <c r="BT93" s="148"/>
      <c r="BU93" s="146"/>
      <c r="BV93" s="146"/>
      <c r="BW93" s="146"/>
      <c r="BX93" s="148"/>
      <c r="BY93" s="146"/>
      <c r="BZ93" s="146"/>
      <c r="CA93" s="146"/>
      <c r="CB93" s="146"/>
      <c r="CC93" s="146"/>
      <c r="CD93" s="146"/>
      <c r="CE93" s="146"/>
      <c r="CF93" s="146"/>
      <c r="CG93" s="146"/>
      <c r="CH93" s="146"/>
      <c r="CI93" s="146"/>
      <c r="CJ93" s="146"/>
      <c r="CK93" s="146"/>
      <c r="CL93" s="146"/>
      <c r="CM93" s="146"/>
      <c r="CN93" s="146"/>
      <c r="CO93" s="146"/>
      <c r="CP93" s="146"/>
      <c r="CQ93" s="148"/>
      <c r="CR93" s="148"/>
      <c r="CS93" s="146"/>
      <c r="CT93" s="146"/>
      <c r="CU93" s="146"/>
      <c r="CV93" s="146"/>
      <c r="CW93" s="148"/>
      <c r="CX93" s="148"/>
      <c r="CY93" s="146"/>
      <c r="CZ93" s="146"/>
      <c r="DA93" s="146"/>
      <c r="DB93" s="148"/>
      <c r="DC93" s="146"/>
      <c r="DD93" s="146"/>
      <c r="DE93" s="146"/>
      <c r="DF93" s="146"/>
    </row>
    <row r="94" spans="1:110" x14ac:dyDescent="0.35">
      <c r="A94" s="55" t="s">
        <v>164</v>
      </c>
      <c r="B94" s="161">
        <v>1100</v>
      </c>
      <c r="C94" s="55">
        <v>86.5</v>
      </c>
      <c r="D94" s="58">
        <v>33.18</v>
      </c>
      <c r="E94" s="55">
        <v>25.7</v>
      </c>
      <c r="F94" s="55">
        <v>1.2</v>
      </c>
      <c r="G94" s="97">
        <v>45079</v>
      </c>
      <c r="H94" s="80">
        <v>190</v>
      </c>
      <c r="I94" s="55">
        <v>100</v>
      </c>
      <c r="J94" s="55">
        <v>2000</v>
      </c>
      <c r="K94" s="57">
        <v>2</v>
      </c>
      <c r="L94" s="48">
        <v>3</v>
      </c>
      <c r="M94" s="48">
        <v>6</v>
      </c>
      <c r="N94" s="192">
        <f t="shared" si="1"/>
        <v>900</v>
      </c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7">
        <v>1</v>
      </c>
      <c r="Z94" s="146"/>
      <c r="AA94" s="146"/>
      <c r="AB94" s="146"/>
      <c r="AC94" s="148"/>
      <c r="AD94" s="146"/>
      <c r="AE94" s="146"/>
      <c r="AF94" s="146"/>
      <c r="AG94" s="146"/>
      <c r="AH94" s="146"/>
      <c r="AI94" s="146"/>
      <c r="AJ94" s="146"/>
      <c r="AK94" s="146"/>
      <c r="AL94" s="148"/>
      <c r="AM94" s="146"/>
      <c r="AN94" s="146"/>
      <c r="AO94" s="146"/>
      <c r="AP94" s="146"/>
      <c r="AQ94" s="146"/>
      <c r="AR94" s="148"/>
      <c r="AS94" s="148"/>
      <c r="AT94" s="146"/>
      <c r="AU94" s="146"/>
      <c r="AV94" s="148"/>
      <c r="AW94" s="146"/>
      <c r="AX94" s="148"/>
      <c r="AY94" s="148"/>
      <c r="AZ94" s="146"/>
      <c r="BA94" s="146"/>
      <c r="BB94" s="146"/>
      <c r="BC94" s="146"/>
      <c r="BD94" s="146"/>
      <c r="BE94" s="146"/>
      <c r="BF94" s="146"/>
      <c r="BG94" s="146"/>
      <c r="BH94" s="146"/>
      <c r="BI94" s="146"/>
      <c r="BJ94" s="146"/>
      <c r="BK94" s="146"/>
      <c r="BL94" s="148"/>
      <c r="BM94" s="147">
        <v>3</v>
      </c>
      <c r="BN94" s="146"/>
      <c r="BO94" s="147">
        <v>2</v>
      </c>
      <c r="BP94" s="146"/>
      <c r="BQ94" s="148"/>
      <c r="BR94" s="146"/>
      <c r="BS94" s="148"/>
      <c r="BT94" s="148"/>
      <c r="BU94" s="146"/>
      <c r="BV94" s="146"/>
      <c r="BW94" s="146"/>
      <c r="BX94" s="148"/>
      <c r="BY94" s="146"/>
      <c r="BZ94" s="146"/>
      <c r="CA94" s="146"/>
      <c r="CB94" s="146"/>
      <c r="CC94" s="146"/>
      <c r="CD94" s="146"/>
      <c r="CE94" s="146"/>
      <c r="CF94" s="146"/>
      <c r="CG94" s="146"/>
      <c r="CH94" s="146"/>
      <c r="CI94" s="146"/>
      <c r="CJ94" s="146"/>
      <c r="CK94" s="146"/>
      <c r="CL94" s="146"/>
      <c r="CM94" s="146"/>
      <c r="CN94" s="146"/>
      <c r="CO94" s="146"/>
      <c r="CP94" s="146"/>
      <c r="CQ94" s="148"/>
      <c r="CR94" s="148"/>
      <c r="CS94" s="146"/>
      <c r="CT94" s="146"/>
      <c r="CU94" s="146"/>
      <c r="CV94" s="146"/>
      <c r="CW94" s="148"/>
      <c r="CX94" s="148"/>
      <c r="CY94" s="146"/>
      <c r="CZ94" s="146"/>
      <c r="DA94" s="146"/>
      <c r="DB94" s="148"/>
      <c r="DC94" s="146"/>
      <c r="DD94" s="146"/>
      <c r="DE94" s="146"/>
      <c r="DF94" s="146"/>
    </row>
    <row r="95" spans="1:110" x14ac:dyDescent="0.35">
      <c r="A95" s="55" t="s">
        <v>164</v>
      </c>
      <c r="B95" s="161">
        <v>1250</v>
      </c>
      <c r="C95" s="55">
        <v>89</v>
      </c>
      <c r="D95" s="58">
        <v>7.61</v>
      </c>
      <c r="E95" s="55">
        <v>23.8</v>
      </c>
      <c r="F95" s="55">
        <v>0.75</v>
      </c>
      <c r="G95" s="97">
        <v>45079</v>
      </c>
      <c r="H95" s="80">
        <v>190</v>
      </c>
      <c r="I95" s="55">
        <v>100</v>
      </c>
      <c r="J95" s="55">
        <v>2000</v>
      </c>
      <c r="K95" s="57">
        <v>3</v>
      </c>
      <c r="L95" s="48">
        <v>5</v>
      </c>
      <c r="M95" s="48">
        <v>10</v>
      </c>
      <c r="N95" s="192">
        <f t="shared" si="1"/>
        <v>750</v>
      </c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8"/>
      <c r="AD95" s="146"/>
      <c r="AE95" s="146"/>
      <c r="AF95" s="146"/>
      <c r="AG95" s="146"/>
      <c r="AH95" s="146"/>
      <c r="AI95" s="146"/>
      <c r="AJ95" s="154"/>
      <c r="AK95" s="146"/>
      <c r="AL95" s="148"/>
      <c r="AM95" s="146"/>
      <c r="AN95" s="146"/>
      <c r="AO95" s="146"/>
      <c r="AP95" s="146"/>
      <c r="AQ95" s="146"/>
      <c r="AR95" s="148"/>
      <c r="AS95" s="148"/>
      <c r="AT95" s="146"/>
      <c r="AU95" s="102">
        <v>2</v>
      </c>
      <c r="AV95" s="148"/>
      <c r="AW95" s="146"/>
      <c r="AX95" s="148"/>
      <c r="AY95" s="148"/>
      <c r="AZ95" s="146"/>
      <c r="BA95" s="146"/>
      <c r="BB95" s="146"/>
      <c r="BC95" s="146"/>
      <c r="BD95" s="146"/>
      <c r="BE95" s="146"/>
      <c r="BF95" s="146"/>
      <c r="BG95" s="146"/>
      <c r="BH95" s="154"/>
      <c r="BI95" s="146"/>
      <c r="BJ95" s="146"/>
      <c r="BK95" s="146"/>
      <c r="BL95" s="148"/>
      <c r="BM95" s="102">
        <v>3</v>
      </c>
      <c r="BN95" s="146"/>
      <c r="BO95" s="102">
        <v>3</v>
      </c>
      <c r="BP95" s="146"/>
      <c r="BQ95" s="148"/>
      <c r="BR95" s="146"/>
      <c r="BS95" s="148"/>
      <c r="BT95" s="148"/>
      <c r="BU95" s="146"/>
      <c r="BV95" s="146"/>
      <c r="BW95" s="146"/>
      <c r="BX95" s="148"/>
      <c r="BY95" s="146"/>
      <c r="BZ95" s="146"/>
      <c r="CA95" s="146"/>
      <c r="CB95" s="146"/>
      <c r="CC95" s="146"/>
      <c r="CD95" s="102">
        <v>1</v>
      </c>
      <c r="CE95" s="146"/>
      <c r="CF95" s="146"/>
      <c r="CG95" s="146"/>
      <c r="CH95" s="146"/>
      <c r="CI95" s="146"/>
      <c r="CJ95" s="146"/>
      <c r="CK95" s="146"/>
      <c r="CL95" s="146"/>
      <c r="CM95" s="146"/>
      <c r="CN95" s="146"/>
      <c r="CO95" s="146"/>
      <c r="CP95" s="146"/>
      <c r="CQ95" s="148"/>
      <c r="CR95" s="148"/>
      <c r="CS95" s="146"/>
      <c r="CT95" s="102">
        <v>1</v>
      </c>
      <c r="CU95" s="146"/>
      <c r="CV95" s="146"/>
      <c r="CW95" s="148"/>
      <c r="CX95" s="148"/>
      <c r="CY95" s="146"/>
      <c r="CZ95" s="146"/>
      <c r="DA95" s="146"/>
      <c r="DB95" s="148"/>
      <c r="DC95" s="146"/>
      <c r="DD95" s="146"/>
      <c r="DE95" s="146"/>
      <c r="DF95" s="146"/>
    </row>
    <row r="96" spans="1:110" x14ac:dyDescent="0.35">
      <c r="A96" s="55" t="s">
        <v>164</v>
      </c>
      <c r="B96" s="161">
        <v>1360</v>
      </c>
      <c r="C96" s="55">
        <v>88</v>
      </c>
      <c r="D96" s="58">
        <v>24.87</v>
      </c>
      <c r="E96" s="55">
        <v>23.25</v>
      </c>
      <c r="F96" s="55">
        <v>0.45</v>
      </c>
      <c r="G96" s="97">
        <v>45079</v>
      </c>
      <c r="H96" s="80">
        <v>190</v>
      </c>
      <c r="I96" s="55">
        <v>100</v>
      </c>
      <c r="J96" s="55">
        <v>2000</v>
      </c>
      <c r="K96" s="57">
        <v>1</v>
      </c>
      <c r="L96" s="48">
        <v>1</v>
      </c>
      <c r="M96" s="48">
        <v>1</v>
      </c>
      <c r="N96" s="192">
        <f t="shared" si="1"/>
        <v>640</v>
      </c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8"/>
      <c r="AD96" s="146"/>
      <c r="AE96" s="146"/>
      <c r="AF96" s="146"/>
      <c r="AG96" s="146"/>
      <c r="AH96" s="146"/>
      <c r="AI96" s="146"/>
      <c r="AJ96" s="146"/>
      <c r="AK96" s="146"/>
      <c r="AL96" s="148"/>
      <c r="AM96" s="146"/>
      <c r="AN96" s="146"/>
      <c r="AO96" s="146"/>
      <c r="AP96" s="146"/>
      <c r="AQ96" s="146"/>
      <c r="AR96" s="148"/>
      <c r="AS96" s="148"/>
      <c r="AT96" s="146"/>
      <c r="AU96" s="147">
        <v>1</v>
      </c>
      <c r="AV96" s="148"/>
      <c r="AW96" s="146"/>
      <c r="AX96" s="148"/>
      <c r="AY96" s="148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8"/>
      <c r="BM96" s="154"/>
      <c r="BN96" s="146"/>
      <c r="BO96" s="154"/>
      <c r="BP96" s="146"/>
      <c r="BQ96" s="148"/>
      <c r="BR96" s="146"/>
      <c r="BS96" s="148"/>
      <c r="BT96" s="148"/>
      <c r="BU96" s="146"/>
      <c r="BV96" s="146"/>
      <c r="BW96" s="146"/>
      <c r="BX96" s="148"/>
      <c r="BY96" s="146"/>
      <c r="BZ96" s="146"/>
      <c r="CA96" s="146"/>
      <c r="CB96" s="146"/>
      <c r="CC96" s="146"/>
      <c r="CD96" s="154"/>
      <c r="CE96" s="146"/>
      <c r="CF96" s="146"/>
      <c r="CG96" s="146"/>
      <c r="CH96" s="146"/>
      <c r="CI96" s="146"/>
      <c r="CJ96" s="146"/>
      <c r="CK96" s="146"/>
      <c r="CL96" s="146"/>
      <c r="CM96" s="146"/>
      <c r="CN96" s="146"/>
      <c r="CO96" s="146"/>
      <c r="CP96" s="146"/>
      <c r="CQ96" s="148"/>
      <c r="CR96" s="148"/>
      <c r="CS96" s="146"/>
      <c r="CT96" s="154"/>
      <c r="CU96" s="146"/>
      <c r="CV96" s="146"/>
      <c r="CW96" s="148"/>
      <c r="CX96" s="148"/>
      <c r="CY96" s="146"/>
      <c r="CZ96" s="146"/>
      <c r="DA96" s="146"/>
      <c r="DB96" s="148"/>
      <c r="DC96" s="146"/>
      <c r="DD96" s="146"/>
      <c r="DE96" s="146"/>
      <c r="DF96" s="146"/>
    </row>
    <row r="97" spans="1:110" x14ac:dyDescent="0.35">
      <c r="A97" s="55" t="s">
        <v>164</v>
      </c>
      <c r="B97" s="161">
        <v>1420</v>
      </c>
      <c r="C97" s="55">
        <v>86</v>
      </c>
      <c r="D97" s="58">
        <v>0.14000000000000001</v>
      </c>
      <c r="E97" s="55">
        <v>18.55</v>
      </c>
      <c r="F97" s="55">
        <v>0</v>
      </c>
      <c r="G97" s="97">
        <v>45079</v>
      </c>
      <c r="H97" s="80">
        <v>190</v>
      </c>
      <c r="I97" s="55">
        <v>100</v>
      </c>
      <c r="J97" s="55">
        <v>2000</v>
      </c>
      <c r="K97" s="57">
        <v>6</v>
      </c>
      <c r="L97" s="48">
        <v>5</v>
      </c>
      <c r="M97" s="48">
        <v>5</v>
      </c>
      <c r="N97" s="192">
        <f t="shared" si="1"/>
        <v>580</v>
      </c>
      <c r="O97" s="146"/>
      <c r="P97" s="146"/>
      <c r="Q97" s="102">
        <v>1</v>
      </c>
      <c r="R97" s="146"/>
      <c r="S97" s="146"/>
      <c r="T97" s="146"/>
      <c r="U97" s="146"/>
      <c r="V97" s="154"/>
      <c r="W97" s="146"/>
      <c r="X97" s="154"/>
      <c r="Y97" s="154"/>
      <c r="Z97" s="146"/>
      <c r="AA97" s="146"/>
      <c r="AB97" s="146"/>
      <c r="AC97" s="148"/>
      <c r="AD97" s="146"/>
      <c r="AE97" s="146"/>
      <c r="AF97" s="146"/>
      <c r="AG97" s="146"/>
      <c r="AH97" s="146"/>
      <c r="AI97" s="146"/>
      <c r="AJ97" s="146"/>
      <c r="AK97" s="146"/>
      <c r="AL97" s="148"/>
      <c r="AM97" s="146"/>
      <c r="AN97" s="146"/>
      <c r="AO97" s="146"/>
      <c r="AP97" s="146"/>
      <c r="AQ97" s="146"/>
      <c r="AR97" s="148"/>
      <c r="AS97" s="148"/>
      <c r="AT97" s="146"/>
      <c r="AU97" s="154"/>
      <c r="AV97" s="148"/>
      <c r="AW97" s="146"/>
      <c r="AX97" s="148"/>
      <c r="AY97" s="148"/>
      <c r="AZ97" s="146"/>
      <c r="BA97" s="146"/>
      <c r="BB97" s="146"/>
      <c r="BC97" s="146"/>
      <c r="BD97" s="146"/>
      <c r="BE97" s="146"/>
      <c r="BF97" s="146"/>
      <c r="BG97" s="146"/>
      <c r="BH97" s="146"/>
      <c r="BI97" s="146"/>
      <c r="BJ97" s="146"/>
      <c r="BK97" s="146"/>
      <c r="BL97" s="148"/>
      <c r="BM97" s="146"/>
      <c r="BN97" s="146"/>
      <c r="BO97" s="146"/>
      <c r="BP97" s="146"/>
      <c r="BQ97" s="148"/>
      <c r="BR97" s="146"/>
      <c r="BS97" s="148"/>
      <c r="BT97" s="148"/>
      <c r="BU97" s="146"/>
      <c r="BV97" s="146"/>
      <c r="BW97" s="146"/>
      <c r="BX97" s="148"/>
      <c r="BY97" s="146"/>
      <c r="BZ97" s="146"/>
      <c r="CA97" s="146"/>
      <c r="CB97" s="146"/>
      <c r="CC97" s="146"/>
      <c r="CD97" s="146"/>
      <c r="CE97" s="146"/>
      <c r="CF97" s="146"/>
      <c r="CG97" s="146"/>
      <c r="CH97" s="146"/>
      <c r="CI97" s="102">
        <v>1</v>
      </c>
      <c r="CJ97" s="102">
        <v>1</v>
      </c>
      <c r="CK97" s="146"/>
      <c r="CL97" s="146"/>
      <c r="CM97" s="146"/>
      <c r="CN97" s="146"/>
      <c r="CO97" s="146"/>
      <c r="CP97" s="102">
        <v>1</v>
      </c>
      <c r="CQ97" s="148"/>
      <c r="CR97" s="148"/>
      <c r="CS97" s="102">
        <v>1</v>
      </c>
      <c r="CT97" s="146"/>
      <c r="CU97" s="146"/>
      <c r="CV97" s="146"/>
      <c r="CW97" s="148"/>
      <c r="CX97" s="148"/>
      <c r="CY97" s="146"/>
      <c r="CZ97" s="146"/>
      <c r="DA97" s="146"/>
      <c r="DB97" s="148"/>
      <c r="DC97" s="146"/>
      <c r="DD97" s="146"/>
      <c r="DE97" s="146"/>
      <c r="DF97" s="146"/>
    </row>
    <row r="98" spans="1:110" x14ac:dyDescent="0.35">
      <c r="A98" s="55" t="s">
        <v>164</v>
      </c>
      <c r="B98" s="161">
        <v>1420</v>
      </c>
      <c r="C98" s="55">
        <v>87</v>
      </c>
      <c r="D98" s="58">
        <v>0.15</v>
      </c>
      <c r="E98" s="55">
        <v>15.2</v>
      </c>
      <c r="F98" s="55">
        <v>0</v>
      </c>
      <c r="G98" s="97" t="s">
        <v>167</v>
      </c>
      <c r="H98" s="80">
        <v>201</v>
      </c>
      <c r="I98" s="55">
        <v>100</v>
      </c>
      <c r="J98" s="55">
        <v>2000</v>
      </c>
      <c r="K98" s="57">
        <v>6</v>
      </c>
      <c r="L98" s="48">
        <v>3</v>
      </c>
      <c r="M98" s="48">
        <v>3</v>
      </c>
      <c r="N98" s="192">
        <f t="shared" si="1"/>
        <v>580</v>
      </c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8"/>
      <c r="AD98" s="146"/>
      <c r="AE98" s="146"/>
      <c r="AF98" s="146"/>
      <c r="AG98" s="146"/>
      <c r="AH98" s="146"/>
      <c r="AI98" s="146"/>
      <c r="AJ98" s="146"/>
      <c r="AK98" s="146"/>
      <c r="AL98" s="148"/>
      <c r="AM98" s="146"/>
      <c r="AN98" s="146"/>
      <c r="AO98" s="146"/>
      <c r="AP98" s="146"/>
      <c r="AQ98" s="146"/>
      <c r="AR98" s="148"/>
      <c r="AS98" s="148"/>
      <c r="AT98" s="146"/>
      <c r="AU98" s="154"/>
      <c r="AV98" s="148"/>
      <c r="AW98" s="146"/>
      <c r="AX98" s="148"/>
      <c r="AY98" s="148">
        <v>1</v>
      </c>
      <c r="AZ98" s="146"/>
      <c r="BA98" s="146"/>
      <c r="BB98" s="146"/>
      <c r="BC98" s="146"/>
      <c r="BD98" s="146"/>
      <c r="BE98" s="146"/>
      <c r="BF98" s="146"/>
      <c r="BG98" s="146"/>
      <c r="BH98" s="146"/>
      <c r="BI98" s="146"/>
      <c r="BJ98" s="146"/>
      <c r="BK98" s="146"/>
      <c r="BL98" s="148"/>
      <c r="BM98" s="146"/>
      <c r="BN98" s="146"/>
      <c r="BO98" s="146"/>
      <c r="BP98" s="146"/>
      <c r="BQ98" s="148"/>
      <c r="BR98" s="146"/>
      <c r="BS98" s="148"/>
      <c r="BT98" s="148"/>
      <c r="BU98" s="146"/>
      <c r="BV98" s="146"/>
      <c r="BW98" s="146"/>
      <c r="BX98" s="148"/>
      <c r="BY98" s="146"/>
      <c r="BZ98" s="146"/>
      <c r="CA98" s="146"/>
      <c r="CB98" s="146"/>
      <c r="CC98" s="146"/>
      <c r="CD98" s="146"/>
      <c r="CE98" s="146"/>
      <c r="CF98" s="146"/>
      <c r="CG98" s="146"/>
      <c r="CH98" s="146"/>
      <c r="CI98" s="102">
        <v>1</v>
      </c>
      <c r="CJ98" s="146"/>
      <c r="CK98" s="146"/>
      <c r="CL98" s="146"/>
      <c r="CM98" s="146"/>
      <c r="CN98" s="146"/>
      <c r="CO98" s="146"/>
      <c r="CP98" s="146"/>
      <c r="CQ98" s="148"/>
      <c r="CR98" s="148"/>
      <c r="CS98" s="146"/>
      <c r="CT98" s="146"/>
      <c r="CU98" s="146"/>
      <c r="CV98" s="146"/>
      <c r="CW98" s="148"/>
      <c r="CX98" s="148"/>
      <c r="CY98" s="146"/>
      <c r="CZ98" s="146"/>
      <c r="DA98" s="146"/>
      <c r="DB98" s="148"/>
      <c r="DC98" s="146"/>
      <c r="DD98" s="146"/>
      <c r="DE98" s="146"/>
      <c r="DF98" s="102">
        <v>1</v>
      </c>
    </row>
    <row r="99" spans="1:110" x14ac:dyDescent="0.35">
      <c r="A99" s="55" t="s">
        <v>164</v>
      </c>
      <c r="B99" s="161">
        <v>700</v>
      </c>
      <c r="C99" s="55">
        <v>94</v>
      </c>
      <c r="D99" s="58">
        <v>1.2</v>
      </c>
      <c r="E99" s="55">
        <v>24.4</v>
      </c>
      <c r="F99" s="55">
        <v>0</v>
      </c>
      <c r="G99" s="97" t="s">
        <v>166</v>
      </c>
      <c r="H99" s="80">
        <v>202</v>
      </c>
      <c r="I99" s="55">
        <v>100</v>
      </c>
      <c r="J99" s="55">
        <v>2000</v>
      </c>
      <c r="K99" s="57">
        <v>5</v>
      </c>
      <c r="L99" s="48">
        <v>1</v>
      </c>
      <c r="M99" s="48">
        <v>1</v>
      </c>
      <c r="N99" s="192">
        <f t="shared" si="1"/>
        <v>1300</v>
      </c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8"/>
      <c r="AD99" s="146"/>
      <c r="AE99" s="146"/>
      <c r="AF99" s="146"/>
      <c r="AG99" s="146"/>
      <c r="AH99" s="146"/>
      <c r="AI99" s="146"/>
      <c r="AJ99" s="146"/>
      <c r="AK99" s="146"/>
      <c r="AL99" s="148"/>
      <c r="AM99" s="146"/>
      <c r="AN99" s="146"/>
      <c r="AO99" s="146"/>
      <c r="AP99" s="146"/>
      <c r="AQ99" s="146"/>
      <c r="AR99" s="148"/>
      <c r="AS99" s="148"/>
      <c r="AT99" s="146"/>
      <c r="AU99" s="154"/>
      <c r="AV99" s="148"/>
      <c r="AW99" s="146"/>
      <c r="AX99" s="148"/>
      <c r="AY99" s="148"/>
      <c r="AZ99" s="146"/>
      <c r="BA99" s="146"/>
      <c r="BB99" s="146"/>
      <c r="BC99" s="146"/>
      <c r="BD99" s="146"/>
      <c r="BE99" s="146"/>
      <c r="BF99" s="146"/>
      <c r="BG99" s="146"/>
      <c r="BH99" s="146"/>
      <c r="BI99" s="146"/>
      <c r="BJ99" s="146"/>
      <c r="BK99" s="146"/>
      <c r="BL99" s="148"/>
      <c r="BM99" s="154"/>
      <c r="BN99" s="146"/>
      <c r="BO99" s="146"/>
      <c r="BP99" s="146"/>
      <c r="BQ99" s="148"/>
      <c r="BR99" s="146"/>
      <c r="BS99" s="148"/>
      <c r="BT99" s="148"/>
      <c r="BU99" s="146"/>
      <c r="BV99" s="146"/>
      <c r="BW99" s="146"/>
      <c r="BX99" s="148"/>
      <c r="BY99" s="146"/>
      <c r="BZ99" s="146"/>
      <c r="CA99" s="146"/>
      <c r="CB99" s="146"/>
      <c r="CC99" s="146"/>
      <c r="CD99" s="146"/>
      <c r="CE99" s="146"/>
      <c r="CF99" s="146"/>
      <c r="CG99" s="146"/>
      <c r="CH99" s="146"/>
      <c r="CI99" s="102">
        <v>1</v>
      </c>
      <c r="CJ99" s="146"/>
      <c r="CK99" s="146"/>
      <c r="CL99" s="146"/>
      <c r="CM99" s="146"/>
      <c r="CN99" s="146"/>
      <c r="CO99" s="146"/>
      <c r="CP99" s="146"/>
      <c r="CQ99" s="148"/>
      <c r="CR99" s="148"/>
      <c r="CS99" s="146"/>
      <c r="CT99" s="146"/>
      <c r="CU99" s="146"/>
      <c r="CV99" s="146"/>
      <c r="CW99" s="148"/>
      <c r="CX99" s="148"/>
      <c r="CY99" s="146"/>
      <c r="CZ99" s="146"/>
      <c r="DA99" s="146"/>
      <c r="DB99" s="148"/>
      <c r="DC99" s="146"/>
      <c r="DD99" s="146"/>
      <c r="DE99" s="146"/>
      <c r="DF99" s="146"/>
    </row>
    <row r="100" spans="1:110" x14ac:dyDescent="0.35">
      <c r="A100" s="55" t="s">
        <v>164</v>
      </c>
      <c r="B100" s="161">
        <v>870</v>
      </c>
      <c r="C100" s="55">
        <v>91</v>
      </c>
      <c r="D100" s="58">
        <v>0.81</v>
      </c>
      <c r="E100" s="55">
        <v>23.3</v>
      </c>
      <c r="F100" s="55">
        <v>0</v>
      </c>
      <c r="G100" s="97" t="s">
        <v>166</v>
      </c>
      <c r="H100" s="80">
        <v>202</v>
      </c>
      <c r="I100" s="55">
        <v>100</v>
      </c>
      <c r="J100" s="55">
        <v>2000</v>
      </c>
      <c r="K100" s="57">
        <v>3</v>
      </c>
      <c r="L100" s="48">
        <v>1</v>
      </c>
      <c r="M100" s="48">
        <v>2</v>
      </c>
      <c r="N100" s="192">
        <f t="shared" si="1"/>
        <v>1130</v>
      </c>
      <c r="O100" s="146"/>
      <c r="P100" s="146"/>
      <c r="Q100" s="154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8"/>
      <c r="AD100" s="146"/>
      <c r="AE100" s="146"/>
      <c r="AF100" s="146"/>
      <c r="AG100" s="146"/>
      <c r="AH100" s="146"/>
      <c r="AI100" s="146"/>
      <c r="AJ100" s="146"/>
      <c r="AK100" s="146"/>
      <c r="AL100" s="148"/>
      <c r="AM100" s="146"/>
      <c r="AN100" s="146"/>
      <c r="AO100" s="146"/>
      <c r="AP100" s="146"/>
      <c r="AQ100" s="146"/>
      <c r="AR100" s="148"/>
      <c r="AS100" s="148"/>
      <c r="AT100" s="146"/>
      <c r="AU100" s="146"/>
      <c r="AV100" s="148"/>
      <c r="AW100" s="146"/>
      <c r="AX100" s="148"/>
      <c r="AY100" s="148"/>
      <c r="AZ100" s="146"/>
      <c r="BA100" s="146"/>
      <c r="BB100" s="146"/>
      <c r="BC100" s="146"/>
      <c r="BD100" s="146"/>
      <c r="BE100" s="146"/>
      <c r="BF100" s="146"/>
      <c r="BG100" s="146"/>
      <c r="BH100" s="146"/>
      <c r="BI100" s="146"/>
      <c r="BJ100" s="146"/>
      <c r="BK100" s="146"/>
      <c r="BL100" s="148"/>
      <c r="BM100" s="146"/>
      <c r="BN100" s="146"/>
      <c r="BO100" s="146"/>
      <c r="BP100" s="146"/>
      <c r="BQ100" s="148"/>
      <c r="BR100" s="146"/>
      <c r="BS100" s="148"/>
      <c r="BT100" s="148"/>
      <c r="BU100" s="146"/>
      <c r="BV100" s="146"/>
      <c r="BW100" s="146"/>
      <c r="BX100" s="148"/>
      <c r="BY100" s="146"/>
      <c r="BZ100" s="146"/>
      <c r="CA100" s="146"/>
      <c r="CB100" s="146"/>
      <c r="CC100" s="146"/>
      <c r="CD100" s="146"/>
      <c r="CE100" s="146"/>
      <c r="CF100" s="146"/>
      <c r="CG100" s="146"/>
      <c r="CH100" s="146"/>
      <c r="CI100" s="154"/>
      <c r="CJ100" s="147">
        <v>2</v>
      </c>
      <c r="CK100" s="146"/>
      <c r="CL100" s="146"/>
      <c r="CM100" s="146"/>
      <c r="CN100" s="146"/>
      <c r="CO100" s="146"/>
      <c r="CP100" s="154"/>
      <c r="CQ100" s="148"/>
      <c r="CR100" s="148"/>
      <c r="CS100" s="154"/>
      <c r="CT100" s="146"/>
      <c r="CU100" s="146"/>
      <c r="CV100" s="146"/>
      <c r="CW100" s="148"/>
      <c r="CX100" s="148"/>
      <c r="CY100" s="146"/>
      <c r="CZ100" s="146"/>
      <c r="DA100" s="146"/>
      <c r="DB100" s="148"/>
      <c r="DC100" s="146"/>
      <c r="DD100" s="146"/>
      <c r="DE100" s="146"/>
      <c r="DF100" s="146"/>
    </row>
    <row r="101" spans="1:110" x14ac:dyDescent="0.35">
      <c r="A101" s="55" t="s">
        <v>164</v>
      </c>
      <c r="B101" s="161">
        <v>1000</v>
      </c>
      <c r="C101" s="55">
        <v>75</v>
      </c>
      <c r="D101" s="58">
        <v>17.2</v>
      </c>
      <c r="E101" s="55">
        <v>28</v>
      </c>
      <c r="F101" s="55">
        <v>0</v>
      </c>
      <c r="G101" s="97" t="s">
        <v>166</v>
      </c>
      <c r="H101" s="80">
        <v>202</v>
      </c>
      <c r="I101" s="55">
        <v>100</v>
      </c>
      <c r="J101" s="55">
        <v>2000</v>
      </c>
      <c r="K101" s="57">
        <v>3</v>
      </c>
      <c r="L101" s="48">
        <v>2</v>
      </c>
      <c r="M101" s="48">
        <v>2</v>
      </c>
      <c r="N101" s="192">
        <f t="shared" si="1"/>
        <v>1000</v>
      </c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8"/>
      <c r="AD101" s="146"/>
      <c r="AE101" s="146"/>
      <c r="AF101" s="146"/>
      <c r="AG101" s="146"/>
      <c r="AH101" s="146"/>
      <c r="AI101" s="146"/>
      <c r="AJ101" s="146"/>
      <c r="AK101" s="146"/>
      <c r="AL101" s="148"/>
      <c r="AM101" s="146"/>
      <c r="AN101" s="146"/>
      <c r="AO101" s="146"/>
      <c r="AP101" s="146"/>
      <c r="AQ101" s="146"/>
      <c r="AR101" s="148"/>
      <c r="AS101" s="148"/>
      <c r="AT101" s="146"/>
      <c r="AU101" s="146"/>
      <c r="AV101" s="148"/>
      <c r="AW101" s="146"/>
      <c r="AX101" s="148"/>
      <c r="AY101" s="148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146"/>
      <c r="BJ101" s="146"/>
      <c r="BK101" s="146"/>
      <c r="BL101" s="148"/>
      <c r="BM101" s="146"/>
      <c r="BN101" s="146"/>
      <c r="BO101" s="146"/>
      <c r="BP101" s="146"/>
      <c r="BQ101" s="148"/>
      <c r="BR101" s="146"/>
      <c r="BS101" s="148"/>
      <c r="BT101" s="148"/>
      <c r="BU101" s="146"/>
      <c r="BV101" s="146"/>
      <c r="BW101" s="146"/>
      <c r="BX101" s="148"/>
      <c r="BY101" s="146"/>
      <c r="BZ101" s="146"/>
      <c r="CA101" s="146"/>
      <c r="CB101" s="146"/>
      <c r="CC101" s="146"/>
      <c r="CD101" s="146"/>
      <c r="CE101" s="146"/>
      <c r="CF101" s="146"/>
      <c r="CG101" s="146"/>
      <c r="CH101" s="146"/>
      <c r="CI101" s="154"/>
      <c r="CJ101" s="102">
        <v>1</v>
      </c>
      <c r="CK101" s="146"/>
      <c r="CL101" s="146"/>
      <c r="CM101" s="146"/>
      <c r="CN101" s="146"/>
      <c r="CO101" s="146"/>
      <c r="CP101" s="102">
        <v>1</v>
      </c>
      <c r="CQ101" s="148"/>
      <c r="CR101" s="148"/>
      <c r="CS101" s="146"/>
      <c r="CT101" s="146"/>
      <c r="CU101" s="146"/>
      <c r="CV101" s="146"/>
      <c r="CW101" s="148"/>
      <c r="CX101" s="148"/>
      <c r="CY101" s="146"/>
      <c r="CZ101" s="146"/>
      <c r="DA101" s="146"/>
      <c r="DB101" s="148"/>
      <c r="DC101" s="146"/>
      <c r="DD101" s="146"/>
      <c r="DE101" s="146"/>
      <c r="DF101" s="154"/>
    </row>
    <row r="102" spans="1:110" x14ac:dyDescent="0.35">
      <c r="A102" s="55" t="s">
        <v>164</v>
      </c>
      <c r="B102" s="161">
        <v>580</v>
      </c>
      <c r="C102" s="55">
        <v>90</v>
      </c>
      <c r="D102" s="58">
        <v>1.5</v>
      </c>
      <c r="E102" s="55">
        <v>23.4</v>
      </c>
      <c r="F102" s="55">
        <v>0</v>
      </c>
      <c r="G102" s="97" t="s">
        <v>165</v>
      </c>
      <c r="H102" s="80">
        <v>203</v>
      </c>
      <c r="I102" s="55">
        <v>100</v>
      </c>
      <c r="J102" s="55">
        <v>2000</v>
      </c>
      <c r="K102" s="57">
        <v>3</v>
      </c>
      <c r="L102" s="48">
        <v>1</v>
      </c>
      <c r="M102" s="48">
        <v>1</v>
      </c>
      <c r="N102" s="192">
        <f t="shared" si="1"/>
        <v>1420</v>
      </c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8"/>
      <c r="AD102" s="146"/>
      <c r="AE102" s="146"/>
      <c r="AF102" s="146"/>
      <c r="AG102" s="146"/>
      <c r="AH102" s="146"/>
      <c r="AI102" s="146"/>
      <c r="AJ102" s="146"/>
      <c r="AK102" s="146"/>
      <c r="AL102" s="148"/>
      <c r="AM102" s="146"/>
      <c r="AN102" s="146"/>
      <c r="AO102" s="146"/>
      <c r="AP102" s="146"/>
      <c r="AQ102" s="146"/>
      <c r="AR102" s="148"/>
      <c r="AS102" s="148"/>
      <c r="AT102" s="146"/>
      <c r="AU102" s="146"/>
      <c r="AV102" s="148"/>
      <c r="AW102" s="146"/>
      <c r="AX102" s="148"/>
      <c r="AY102" s="148"/>
      <c r="AZ102" s="146"/>
      <c r="BA102" s="146"/>
      <c r="BB102" s="146"/>
      <c r="BC102" s="146"/>
      <c r="BD102" s="146"/>
      <c r="BE102" s="146"/>
      <c r="BF102" s="146"/>
      <c r="BG102" s="146"/>
      <c r="BH102" s="146"/>
      <c r="BI102" s="146"/>
      <c r="BJ102" s="146"/>
      <c r="BK102" s="146"/>
      <c r="BL102" s="148"/>
      <c r="BM102" s="146"/>
      <c r="BN102" s="146"/>
      <c r="BO102" s="146"/>
      <c r="BP102" s="146"/>
      <c r="BQ102" s="148"/>
      <c r="BR102" s="146"/>
      <c r="BS102" s="148"/>
      <c r="BT102" s="148"/>
      <c r="BU102" s="146"/>
      <c r="BV102" s="146"/>
      <c r="BW102" s="146"/>
      <c r="BX102" s="148"/>
      <c r="BY102" s="146"/>
      <c r="BZ102" s="146"/>
      <c r="CA102" s="146"/>
      <c r="CB102" s="146"/>
      <c r="CC102" s="146"/>
      <c r="CD102" s="146"/>
      <c r="CE102" s="146"/>
      <c r="CF102" s="146"/>
      <c r="CG102" s="146"/>
      <c r="CH102" s="146"/>
      <c r="CI102" s="146"/>
      <c r="CJ102" s="102">
        <v>1</v>
      </c>
      <c r="CK102" s="146"/>
      <c r="CL102" s="146"/>
      <c r="CM102" s="146"/>
      <c r="CN102" s="146"/>
      <c r="CO102" s="146"/>
      <c r="CP102" s="146"/>
      <c r="CQ102" s="148"/>
      <c r="CR102" s="148"/>
      <c r="CS102" s="146"/>
      <c r="CT102" s="146"/>
      <c r="CU102" s="146"/>
      <c r="CV102" s="146"/>
      <c r="CW102" s="148"/>
      <c r="CX102" s="148"/>
      <c r="CY102" s="146"/>
      <c r="CZ102" s="146"/>
      <c r="DA102" s="146"/>
      <c r="DB102" s="148"/>
      <c r="DC102" s="146"/>
      <c r="DD102" s="146"/>
      <c r="DE102" s="146"/>
      <c r="DF102" s="146"/>
    </row>
    <row r="103" spans="1:110" x14ac:dyDescent="0.35">
      <c r="A103" s="55" t="s">
        <v>168</v>
      </c>
      <c r="B103" s="156">
        <v>780</v>
      </c>
      <c r="C103" s="55">
        <v>97</v>
      </c>
      <c r="D103" s="58">
        <v>1.08</v>
      </c>
      <c r="E103" s="55">
        <v>25.4</v>
      </c>
      <c r="F103" s="55">
        <v>0</v>
      </c>
      <c r="G103" s="100">
        <v>45233</v>
      </c>
      <c r="H103" s="82">
        <v>223</v>
      </c>
      <c r="I103" s="55">
        <v>100</v>
      </c>
      <c r="J103" s="55">
        <v>2000</v>
      </c>
      <c r="K103" s="57">
        <v>5</v>
      </c>
      <c r="L103" s="48">
        <v>6</v>
      </c>
      <c r="M103" s="48">
        <v>8</v>
      </c>
      <c r="N103" s="192">
        <f t="shared" si="1"/>
        <v>1220</v>
      </c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51"/>
      <c r="AD103" s="149"/>
      <c r="AE103" s="150">
        <v>1</v>
      </c>
      <c r="AF103" s="149"/>
      <c r="AG103" s="149"/>
      <c r="AH103" s="149"/>
      <c r="AI103" s="149"/>
      <c r="AJ103" s="149"/>
      <c r="AK103" s="149"/>
      <c r="AL103" s="151"/>
      <c r="AM103" s="149"/>
      <c r="AN103" s="149"/>
      <c r="AO103" s="149"/>
      <c r="AP103" s="149"/>
      <c r="AQ103" s="149"/>
      <c r="AR103" s="151"/>
      <c r="AS103" s="151"/>
      <c r="AT103" s="149"/>
      <c r="AU103" s="149"/>
      <c r="AV103" s="151"/>
      <c r="AW103" s="149"/>
      <c r="AX103" s="151"/>
      <c r="AY103" s="151">
        <v>1</v>
      </c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50">
        <v>1</v>
      </c>
      <c r="BJ103" s="149"/>
      <c r="BK103" s="149"/>
      <c r="BL103" s="151"/>
      <c r="BM103" s="149"/>
      <c r="BN103" s="149"/>
      <c r="BO103" s="149"/>
      <c r="BP103" s="149"/>
      <c r="BQ103" s="151"/>
      <c r="BR103" s="149"/>
      <c r="BS103" s="151"/>
      <c r="BT103" s="151"/>
      <c r="BU103" s="149"/>
      <c r="BV103" s="149"/>
      <c r="BW103" s="149"/>
      <c r="BX103" s="151"/>
      <c r="BY103" s="149"/>
      <c r="BZ103" s="149"/>
      <c r="CA103" s="149"/>
      <c r="CB103" s="149"/>
      <c r="CC103" s="149"/>
      <c r="CD103" s="149"/>
      <c r="CE103" s="102">
        <v>1</v>
      </c>
      <c r="CF103" s="149"/>
      <c r="CG103" s="149"/>
      <c r="CH103" s="149"/>
      <c r="CI103" s="149"/>
      <c r="CJ103" s="149"/>
      <c r="CK103" s="149"/>
      <c r="CL103" s="149"/>
      <c r="CM103" s="154"/>
      <c r="CN103" s="149"/>
      <c r="CO103" s="149"/>
      <c r="CP103" s="149"/>
      <c r="CQ103" s="151"/>
      <c r="CR103" s="151"/>
      <c r="CS103" s="149"/>
      <c r="CT103" s="149"/>
      <c r="CU103" s="149"/>
      <c r="CV103" s="149"/>
      <c r="CW103" s="151">
        <v>1</v>
      </c>
      <c r="CX103" s="151"/>
      <c r="CY103" s="149"/>
      <c r="CZ103" s="149"/>
      <c r="DA103" s="149"/>
      <c r="DB103" s="151"/>
      <c r="DC103" s="102">
        <v>3</v>
      </c>
      <c r="DD103" s="149"/>
      <c r="DE103" s="149"/>
      <c r="DF103" s="149"/>
    </row>
    <row r="104" spans="1:110" x14ac:dyDescent="0.35">
      <c r="A104" s="55" t="s">
        <v>168</v>
      </c>
      <c r="B104" s="154">
        <v>870</v>
      </c>
      <c r="C104" s="154">
        <v>87</v>
      </c>
      <c r="D104" s="169">
        <v>9.8000000000000007</v>
      </c>
      <c r="E104" s="154">
        <v>34.5</v>
      </c>
      <c r="F104" s="154">
        <v>0</v>
      </c>
      <c r="G104" s="100">
        <v>45233</v>
      </c>
      <c r="H104" s="155">
        <v>223</v>
      </c>
      <c r="I104" s="154">
        <v>90</v>
      </c>
      <c r="J104" s="55">
        <v>2000</v>
      </c>
      <c r="K104" s="155">
        <v>3</v>
      </c>
      <c r="L104" s="48">
        <v>4</v>
      </c>
      <c r="M104" s="48">
        <v>4</v>
      </c>
      <c r="N104" s="192">
        <f t="shared" si="1"/>
        <v>1130</v>
      </c>
      <c r="O104" s="149"/>
      <c r="P104" s="149"/>
      <c r="Q104" s="149"/>
      <c r="R104" s="149"/>
      <c r="S104" s="149"/>
      <c r="T104" s="149"/>
      <c r="U104" s="149"/>
      <c r="V104" s="149"/>
      <c r="W104" s="102">
        <v>1</v>
      </c>
      <c r="X104" s="149"/>
      <c r="Y104" s="149"/>
      <c r="Z104" s="149"/>
      <c r="AA104" s="149"/>
      <c r="AB104" s="149"/>
      <c r="AC104" s="154"/>
      <c r="AD104" s="149"/>
      <c r="AE104" s="149"/>
      <c r="AF104" s="149"/>
      <c r="AG104" s="149"/>
      <c r="AH104" s="149"/>
      <c r="AI104" s="149"/>
      <c r="AJ104" s="149"/>
      <c r="AK104" s="149"/>
      <c r="AL104" s="154"/>
      <c r="AM104" s="149"/>
      <c r="AN104" s="149"/>
      <c r="AO104" s="149"/>
      <c r="AP104" s="149"/>
      <c r="AQ104" s="149"/>
      <c r="AR104" s="154"/>
      <c r="AS104" s="154"/>
      <c r="AT104" s="149"/>
      <c r="AU104" s="149"/>
      <c r="AV104" s="154"/>
      <c r="AW104" s="149"/>
      <c r="AX104" s="154"/>
      <c r="AY104" s="154">
        <v>1</v>
      </c>
      <c r="AZ104" s="149"/>
      <c r="BA104" s="149"/>
      <c r="BB104" s="149"/>
      <c r="BC104" s="149"/>
      <c r="BD104" s="149"/>
      <c r="BE104" s="102">
        <v>1</v>
      </c>
      <c r="BF104" s="149"/>
      <c r="BG104" s="149"/>
      <c r="BH104" s="149"/>
      <c r="BI104" s="102">
        <v>1</v>
      </c>
      <c r="BJ104" s="149"/>
      <c r="BK104" s="149"/>
      <c r="BL104" s="154"/>
      <c r="BM104" s="149"/>
      <c r="BN104" s="149"/>
      <c r="BO104" s="149"/>
      <c r="BP104" s="149"/>
      <c r="BQ104" s="154"/>
      <c r="BR104" s="149"/>
      <c r="BS104" s="154"/>
      <c r="BT104" s="154"/>
      <c r="BU104" s="149"/>
      <c r="BV104" s="149"/>
      <c r="BW104" s="149"/>
      <c r="BX104" s="154"/>
      <c r="BY104" s="149"/>
      <c r="BZ104" s="149"/>
      <c r="CA104" s="149"/>
      <c r="CB104" s="149"/>
      <c r="CC104" s="149"/>
      <c r="CD104" s="149"/>
      <c r="CE104" s="149"/>
      <c r="CF104" s="149"/>
      <c r="CG104" s="149"/>
      <c r="CH104" s="149"/>
      <c r="CI104" s="149"/>
      <c r="CJ104" s="149"/>
      <c r="CK104" s="149"/>
      <c r="CL104" s="149"/>
      <c r="CM104" s="149"/>
      <c r="CN104" s="149"/>
      <c r="CO104" s="149"/>
      <c r="CP104" s="149"/>
      <c r="CQ104" s="154"/>
      <c r="CR104" s="154"/>
      <c r="CS104" s="149"/>
      <c r="CT104" s="149"/>
      <c r="CU104" s="149"/>
      <c r="CV104" s="149"/>
      <c r="CW104" s="154"/>
      <c r="CX104" s="154"/>
      <c r="CY104" s="149"/>
      <c r="CZ104" s="149"/>
      <c r="DA104" s="149"/>
      <c r="DB104" s="154"/>
      <c r="DC104" s="154"/>
      <c r="DD104" s="149"/>
      <c r="DE104" s="149"/>
      <c r="DF104" s="149"/>
    </row>
    <row r="105" spans="1:110" x14ac:dyDescent="0.35">
      <c r="A105" s="55" t="s">
        <v>168</v>
      </c>
      <c r="B105" s="154">
        <v>1250</v>
      </c>
      <c r="C105" s="154">
        <v>89</v>
      </c>
      <c r="D105" s="169">
        <v>1.1000000000000001</v>
      </c>
      <c r="E105" s="154">
        <v>22.3</v>
      </c>
      <c r="F105" s="154">
        <v>0</v>
      </c>
      <c r="G105" s="100">
        <v>45263</v>
      </c>
      <c r="H105" s="155">
        <v>224</v>
      </c>
      <c r="I105" s="154">
        <v>2</v>
      </c>
      <c r="J105" s="154">
        <v>2000</v>
      </c>
      <c r="K105" s="155">
        <v>3</v>
      </c>
      <c r="L105" s="48">
        <v>7</v>
      </c>
      <c r="M105" s="48">
        <v>10</v>
      </c>
      <c r="N105" s="192">
        <f t="shared" si="1"/>
        <v>750</v>
      </c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54"/>
      <c r="AD105" s="149"/>
      <c r="AE105" s="154"/>
      <c r="AF105" s="149"/>
      <c r="AG105" s="149"/>
      <c r="AH105" s="149"/>
      <c r="AI105" s="149"/>
      <c r="AJ105" s="149"/>
      <c r="AK105" s="149"/>
      <c r="AL105" s="154">
        <v>1</v>
      </c>
      <c r="AM105" s="149"/>
      <c r="AN105" s="149"/>
      <c r="AO105" s="149"/>
      <c r="AP105" s="149"/>
      <c r="AQ105" s="149"/>
      <c r="AR105" s="154"/>
      <c r="AS105" s="154"/>
      <c r="AT105" s="149"/>
      <c r="AU105" s="149"/>
      <c r="AV105" s="154"/>
      <c r="AW105" s="149"/>
      <c r="AX105" s="154"/>
      <c r="AY105" s="154">
        <v>1</v>
      </c>
      <c r="AZ105" s="154"/>
      <c r="BA105" s="149"/>
      <c r="BB105" s="149"/>
      <c r="BC105" s="149"/>
      <c r="BD105" s="149"/>
      <c r="BE105" s="149"/>
      <c r="BF105" s="149"/>
      <c r="BG105" s="149"/>
      <c r="BH105" s="149"/>
      <c r="BI105" s="154"/>
      <c r="BJ105" s="149"/>
      <c r="BK105" s="149"/>
      <c r="BL105" s="154"/>
      <c r="BM105" s="149"/>
      <c r="BN105" s="102">
        <v>1</v>
      </c>
      <c r="BO105" s="149"/>
      <c r="BP105" s="149"/>
      <c r="BQ105" s="154"/>
      <c r="BR105" s="149"/>
      <c r="BS105" s="154"/>
      <c r="BT105" s="154"/>
      <c r="BU105" s="149"/>
      <c r="BV105" s="154"/>
      <c r="BW105" s="149"/>
      <c r="BX105" s="154"/>
      <c r="BY105" s="149"/>
      <c r="BZ105" s="149"/>
      <c r="CA105" s="154"/>
      <c r="CB105" s="149"/>
      <c r="CC105" s="154"/>
      <c r="CD105" s="149"/>
      <c r="CE105" s="149"/>
      <c r="CF105" s="154"/>
      <c r="CG105" s="149"/>
      <c r="CH105" s="149"/>
      <c r="CI105" s="150">
        <v>1</v>
      </c>
      <c r="CJ105" s="102">
        <v>2</v>
      </c>
      <c r="CK105" s="149"/>
      <c r="CL105" s="149"/>
      <c r="CM105" s="154"/>
      <c r="CN105" s="149"/>
      <c r="CO105" s="149"/>
      <c r="CP105" s="149"/>
      <c r="CQ105" s="154"/>
      <c r="CR105" s="154"/>
      <c r="CS105" s="154"/>
      <c r="CT105" s="149"/>
      <c r="CU105" s="149"/>
      <c r="CV105" s="149"/>
      <c r="CW105" s="154"/>
      <c r="CX105" s="154"/>
      <c r="CY105" s="149"/>
      <c r="CZ105" s="149"/>
      <c r="DA105" s="149"/>
      <c r="DB105" s="154"/>
      <c r="DC105" s="154"/>
      <c r="DD105" s="102">
        <v>3</v>
      </c>
      <c r="DE105" s="149"/>
      <c r="DF105" s="102">
        <v>1</v>
      </c>
    </row>
    <row r="106" spans="1:110" x14ac:dyDescent="0.35">
      <c r="A106" s="55" t="s">
        <v>168</v>
      </c>
      <c r="B106" s="156">
        <v>480</v>
      </c>
      <c r="C106" s="55">
        <v>92</v>
      </c>
      <c r="D106" s="58">
        <v>0.14000000000000001</v>
      </c>
      <c r="E106" s="55">
        <v>22.5</v>
      </c>
      <c r="F106" s="55">
        <v>0</v>
      </c>
      <c r="G106" s="93" t="s">
        <v>170</v>
      </c>
      <c r="H106" s="82">
        <v>225</v>
      </c>
      <c r="I106" s="55">
        <v>60</v>
      </c>
      <c r="J106" s="55">
        <v>2000</v>
      </c>
      <c r="K106" s="57">
        <v>4</v>
      </c>
      <c r="L106" s="48">
        <v>1</v>
      </c>
      <c r="M106" s="48">
        <v>2</v>
      </c>
      <c r="N106" s="192">
        <f t="shared" si="1"/>
        <v>1520</v>
      </c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51"/>
      <c r="AD106" s="149"/>
      <c r="AE106" s="149"/>
      <c r="AF106" s="149"/>
      <c r="AG106" s="149"/>
      <c r="AH106" s="149"/>
      <c r="AI106" s="149"/>
      <c r="AJ106" s="149"/>
      <c r="AK106" s="149"/>
      <c r="AL106" s="151"/>
      <c r="AM106" s="149"/>
      <c r="AN106" s="149"/>
      <c r="AO106" s="149"/>
      <c r="AP106" s="149"/>
      <c r="AQ106" s="149"/>
      <c r="AR106" s="151"/>
      <c r="AS106" s="151"/>
      <c r="AT106" s="149"/>
      <c r="AU106" s="149"/>
      <c r="AV106" s="151"/>
      <c r="AW106" s="149"/>
      <c r="AX106" s="151"/>
      <c r="AY106" s="151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51"/>
      <c r="BM106" s="149"/>
      <c r="BN106" s="149"/>
      <c r="BO106" s="149"/>
      <c r="BP106" s="149"/>
      <c r="BQ106" s="151"/>
      <c r="BR106" s="149"/>
      <c r="BS106" s="151"/>
      <c r="BT106" s="151"/>
      <c r="BU106" s="149"/>
      <c r="BV106" s="149"/>
      <c r="BW106" s="149"/>
      <c r="BX106" s="151"/>
      <c r="BY106" s="149"/>
      <c r="BZ106" s="149"/>
      <c r="CA106" s="149"/>
      <c r="CB106" s="149"/>
      <c r="CC106" s="149"/>
      <c r="CD106" s="149"/>
      <c r="CE106" s="149"/>
      <c r="CF106" s="149"/>
      <c r="CG106" s="149"/>
      <c r="CH106" s="149"/>
      <c r="CI106" s="149"/>
      <c r="CJ106" s="154"/>
      <c r="CK106" s="149"/>
      <c r="CL106" s="149"/>
      <c r="CM106" s="149"/>
      <c r="CN106" s="149"/>
      <c r="CO106" s="149"/>
      <c r="CP106" s="149"/>
      <c r="CQ106" s="151"/>
      <c r="CR106" s="151"/>
      <c r="CS106" s="149"/>
      <c r="CT106" s="149"/>
      <c r="CU106" s="149"/>
      <c r="CV106" s="149"/>
      <c r="CW106" s="151"/>
      <c r="CX106" s="151"/>
      <c r="CY106" s="149"/>
      <c r="CZ106" s="149"/>
      <c r="DA106" s="149"/>
      <c r="DB106" s="151"/>
      <c r="DC106" s="102">
        <v>2</v>
      </c>
      <c r="DD106" s="149"/>
      <c r="DE106" s="149"/>
      <c r="DF106" s="149"/>
    </row>
    <row r="107" spans="1:110" x14ac:dyDescent="0.35">
      <c r="A107" s="55" t="s">
        <v>168</v>
      </c>
      <c r="B107" s="156">
        <v>700</v>
      </c>
      <c r="C107" s="55">
        <v>99</v>
      </c>
      <c r="D107" s="58">
        <v>24.2</v>
      </c>
      <c r="E107" s="55">
        <v>26.1</v>
      </c>
      <c r="F107" s="55">
        <v>0</v>
      </c>
      <c r="G107" s="93" t="s">
        <v>170</v>
      </c>
      <c r="H107" s="82">
        <v>225</v>
      </c>
      <c r="I107" s="55">
        <v>60</v>
      </c>
      <c r="J107" s="55">
        <v>2000</v>
      </c>
      <c r="K107" s="57">
        <v>5</v>
      </c>
      <c r="L107" s="48">
        <v>1</v>
      </c>
      <c r="M107" s="48">
        <v>1</v>
      </c>
      <c r="N107" s="192">
        <f t="shared" si="1"/>
        <v>1300</v>
      </c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51"/>
      <c r="AD107" s="149"/>
      <c r="AE107" s="154"/>
      <c r="AF107" s="149"/>
      <c r="AG107" s="149"/>
      <c r="AH107" s="149"/>
      <c r="AI107" s="149"/>
      <c r="AJ107" s="149"/>
      <c r="AK107" s="149"/>
      <c r="AL107" s="151"/>
      <c r="AM107" s="154"/>
      <c r="AN107" s="149"/>
      <c r="AO107" s="149"/>
      <c r="AP107" s="149"/>
      <c r="AQ107" s="149"/>
      <c r="AR107" s="151"/>
      <c r="AS107" s="151"/>
      <c r="AT107" s="149"/>
      <c r="AU107" s="149"/>
      <c r="AV107" s="151"/>
      <c r="AW107" s="149"/>
      <c r="AX107" s="151"/>
      <c r="AY107" s="151"/>
      <c r="AZ107" s="154"/>
      <c r="BA107" s="154"/>
      <c r="BB107" s="149"/>
      <c r="BC107" s="149"/>
      <c r="BD107" s="149"/>
      <c r="BE107" s="149"/>
      <c r="BF107" s="149"/>
      <c r="BG107" s="149"/>
      <c r="BH107" s="149"/>
      <c r="BI107" s="154"/>
      <c r="BJ107" s="149"/>
      <c r="BK107" s="149"/>
      <c r="BL107" s="151"/>
      <c r="BM107" s="149"/>
      <c r="BN107" s="149"/>
      <c r="BO107" s="149"/>
      <c r="BP107" s="149"/>
      <c r="BQ107" s="151"/>
      <c r="BR107" s="149"/>
      <c r="BS107" s="151"/>
      <c r="BT107" s="151"/>
      <c r="BU107" s="149"/>
      <c r="BV107" s="149"/>
      <c r="BW107" s="149"/>
      <c r="BX107" s="151"/>
      <c r="BY107" s="149"/>
      <c r="BZ107" s="149"/>
      <c r="CA107" s="149"/>
      <c r="CB107" s="149"/>
      <c r="CC107" s="149"/>
      <c r="CD107" s="149"/>
      <c r="CE107" s="149"/>
      <c r="CF107" s="154"/>
      <c r="CG107" s="149"/>
      <c r="CH107" s="149"/>
      <c r="CI107" s="149"/>
      <c r="CJ107" s="102">
        <v>1</v>
      </c>
      <c r="CK107" s="149"/>
      <c r="CL107" s="149"/>
      <c r="CM107" s="149"/>
      <c r="CN107" s="149"/>
      <c r="CO107" s="149"/>
      <c r="CP107" s="149"/>
      <c r="CQ107" s="151"/>
      <c r="CR107" s="151"/>
      <c r="CS107" s="154"/>
      <c r="CT107" s="154"/>
      <c r="CU107" s="149"/>
      <c r="CV107" s="149"/>
      <c r="CW107" s="151"/>
      <c r="CX107" s="151"/>
      <c r="CY107" s="154"/>
      <c r="CZ107" s="149"/>
      <c r="DA107" s="149"/>
      <c r="DB107" s="151"/>
      <c r="DC107" s="149"/>
      <c r="DD107" s="149"/>
      <c r="DE107" s="149"/>
      <c r="DF107" s="154"/>
    </row>
    <row r="108" spans="1:110" x14ac:dyDescent="0.35">
      <c r="A108" s="55" t="s">
        <v>168</v>
      </c>
      <c r="B108" s="156">
        <v>700</v>
      </c>
      <c r="C108" s="55">
        <v>84</v>
      </c>
      <c r="D108" s="58">
        <v>0.17</v>
      </c>
      <c r="E108" s="55">
        <v>24</v>
      </c>
      <c r="F108" s="55">
        <v>0</v>
      </c>
      <c r="G108" s="85" t="s">
        <v>171</v>
      </c>
      <c r="H108" s="82">
        <v>227</v>
      </c>
      <c r="I108" s="55">
        <v>100</v>
      </c>
      <c r="J108" s="55">
        <v>2000</v>
      </c>
      <c r="K108" s="57">
        <v>5</v>
      </c>
      <c r="L108" s="48">
        <v>2</v>
      </c>
      <c r="M108" s="48">
        <v>2</v>
      </c>
      <c r="N108" s="192">
        <f t="shared" si="1"/>
        <v>1300</v>
      </c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51"/>
      <c r="AD108" s="149"/>
      <c r="AE108" s="150">
        <v>1</v>
      </c>
      <c r="AF108" s="149"/>
      <c r="AG108" s="149"/>
      <c r="AH108" s="149"/>
      <c r="AI108" s="149"/>
      <c r="AJ108" s="149"/>
      <c r="AK108" s="149"/>
      <c r="AL108" s="151"/>
      <c r="AM108" s="149"/>
      <c r="AN108" s="149"/>
      <c r="AO108" s="149"/>
      <c r="AP108" s="149"/>
      <c r="AQ108" s="149"/>
      <c r="AR108" s="151"/>
      <c r="AS108" s="151"/>
      <c r="AT108" s="149"/>
      <c r="AU108" s="149"/>
      <c r="AV108" s="151"/>
      <c r="AW108" s="149"/>
      <c r="AX108" s="151"/>
      <c r="AY108" s="151">
        <v>1</v>
      </c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51"/>
      <c r="BM108" s="149"/>
      <c r="BN108" s="149"/>
      <c r="BO108" s="149"/>
      <c r="BP108" s="149"/>
      <c r="BQ108" s="151"/>
      <c r="BR108" s="149"/>
      <c r="BS108" s="151"/>
      <c r="BT108" s="151"/>
      <c r="BU108" s="149"/>
      <c r="BV108" s="149"/>
      <c r="BW108" s="149"/>
      <c r="BX108" s="151"/>
      <c r="BY108" s="149"/>
      <c r="BZ108" s="149"/>
      <c r="CA108" s="149"/>
      <c r="CB108" s="149"/>
      <c r="CC108" s="149"/>
      <c r="CD108" s="149"/>
      <c r="CE108" s="149"/>
      <c r="CF108" s="149"/>
      <c r="CG108" s="149"/>
      <c r="CH108" s="149"/>
      <c r="CI108" s="149"/>
      <c r="CJ108" s="149"/>
      <c r="CK108" s="149"/>
      <c r="CL108" s="149"/>
      <c r="CM108" s="149"/>
      <c r="CN108" s="149"/>
      <c r="CO108" s="149"/>
      <c r="CP108" s="149"/>
      <c r="CQ108" s="151"/>
      <c r="CR108" s="151"/>
      <c r="CS108" s="149"/>
      <c r="CT108" s="149"/>
      <c r="CU108" s="149"/>
      <c r="CV108" s="149"/>
      <c r="CW108" s="151"/>
      <c r="CX108" s="151"/>
      <c r="CY108" s="149"/>
      <c r="CZ108" s="149"/>
      <c r="DA108" s="149"/>
      <c r="DB108" s="151"/>
      <c r="DC108" s="149"/>
      <c r="DD108" s="149"/>
      <c r="DE108" s="149"/>
      <c r="DF108" s="149"/>
    </row>
    <row r="109" spans="1:110" x14ac:dyDescent="0.35">
      <c r="A109" s="55" t="s">
        <v>168</v>
      </c>
      <c r="B109" s="154">
        <v>780</v>
      </c>
      <c r="C109" s="154">
        <v>80</v>
      </c>
      <c r="D109" s="169">
        <v>0.04</v>
      </c>
      <c r="E109" s="154">
        <v>25.3</v>
      </c>
      <c r="F109" s="154">
        <v>0</v>
      </c>
      <c r="G109" s="155" t="s">
        <v>171</v>
      </c>
      <c r="H109" s="155">
        <v>227</v>
      </c>
      <c r="I109" s="154">
        <v>100</v>
      </c>
      <c r="J109" s="55">
        <v>2000</v>
      </c>
      <c r="K109" s="155">
        <v>5</v>
      </c>
      <c r="L109" s="48">
        <v>0</v>
      </c>
      <c r="M109" s="48">
        <v>0</v>
      </c>
      <c r="N109" s="192">
        <f t="shared" si="1"/>
        <v>1220</v>
      </c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54"/>
      <c r="AD109" s="149"/>
      <c r="AE109" s="154"/>
      <c r="AF109" s="149"/>
      <c r="AG109" s="149"/>
      <c r="AH109" s="149"/>
      <c r="AI109" s="149"/>
      <c r="AJ109" s="149"/>
      <c r="AK109" s="149"/>
      <c r="AL109" s="154"/>
      <c r="AM109" s="149"/>
      <c r="AN109" s="149"/>
      <c r="AO109" s="149"/>
      <c r="AP109" s="149"/>
      <c r="AQ109" s="149"/>
      <c r="AR109" s="154"/>
      <c r="AS109" s="154"/>
      <c r="AT109" s="149"/>
      <c r="AU109" s="149"/>
      <c r="AV109" s="154"/>
      <c r="AW109" s="149"/>
      <c r="AX109" s="154"/>
      <c r="AY109" s="154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54"/>
      <c r="BJ109" s="149"/>
      <c r="BK109" s="149"/>
      <c r="BL109" s="154"/>
      <c r="BM109" s="149"/>
      <c r="BN109" s="149"/>
      <c r="BO109" s="149"/>
      <c r="BP109" s="149"/>
      <c r="BQ109" s="154"/>
      <c r="BR109" s="149"/>
      <c r="BS109" s="154"/>
      <c r="BT109" s="154"/>
      <c r="BU109" s="149"/>
      <c r="BV109" s="149"/>
      <c r="BW109" s="149"/>
      <c r="BX109" s="154"/>
      <c r="BY109" s="149"/>
      <c r="BZ109" s="149"/>
      <c r="CA109" s="149"/>
      <c r="CB109" s="149"/>
      <c r="CC109" s="149"/>
      <c r="CD109" s="149"/>
      <c r="CE109" s="154"/>
      <c r="CF109" s="149"/>
      <c r="CG109" s="149"/>
      <c r="CH109" s="149"/>
      <c r="CI109" s="149"/>
      <c r="CJ109" s="149"/>
      <c r="CK109" s="149"/>
      <c r="CL109" s="149"/>
      <c r="CM109" s="149"/>
      <c r="CN109" s="149"/>
      <c r="CO109" s="149"/>
      <c r="CP109" s="149"/>
      <c r="CQ109" s="154"/>
      <c r="CR109" s="154"/>
      <c r="CS109" s="149"/>
      <c r="CT109" s="149"/>
      <c r="CU109" s="149"/>
      <c r="CV109" s="149"/>
      <c r="CW109" s="154"/>
      <c r="CX109" s="154"/>
      <c r="CY109" s="149"/>
      <c r="CZ109" s="149"/>
      <c r="DA109" s="149"/>
      <c r="DB109" s="154"/>
      <c r="DC109" s="154"/>
      <c r="DD109" s="149"/>
      <c r="DE109" s="149"/>
      <c r="DF109" s="149"/>
    </row>
    <row r="110" spans="1:110" x14ac:dyDescent="0.35">
      <c r="A110" s="55" t="s">
        <v>168</v>
      </c>
      <c r="B110" s="154">
        <v>870</v>
      </c>
      <c r="C110" s="154">
        <v>80</v>
      </c>
      <c r="D110" s="169">
        <v>1.5</v>
      </c>
      <c r="E110" s="154">
        <v>26.9</v>
      </c>
      <c r="F110" s="154">
        <v>0</v>
      </c>
      <c r="G110" s="155" t="s">
        <v>171</v>
      </c>
      <c r="H110" s="155">
        <v>227</v>
      </c>
      <c r="I110" s="154">
        <v>100</v>
      </c>
      <c r="J110" s="154">
        <v>2000</v>
      </c>
      <c r="K110" s="155">
        <v>3</v>
      </c>
      <c r="L110" s="48">
        <v>3</v>
      </c>
      <c r="M110" s="48">
        <v>4</v>
      </c>
      <c r="N110" s="192">
        <f t="shared" si="1"/>
        <v>1130</v>
      </c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54"/>
      <c r="AD110" s="149"/>
      <c r="AE110" s="149"/>
      <c r="AF110" s="149"/>
      <c r="AG110" s="149"/>
      <c r="AH110" s="149"/>
      <c r="AI110" s="149"/>
      <c r="AJ110" s="149"/>
      <c r="AK110" s="149"/>
      <c r="AL110" s="154"/>
      <c r="AM110" s="149"/>
      <c r="AN110" s="149"/>
      <c r="AO110" s="149"/>
      <c r="AP110" s="149"/>
      <c r="AQ110" s="149"/>
      <c r="AR110" s="154"/>
      <c r="AS110" s="154"/>
      <c r="AT110" s="149"/>
      <c r="AU110" s="149"/>
      <c r="AV110" s="154"/>
      <c r="AW110" s="149"/>
      <c r="AX110" s="154"/>
      <c r="AY110" s="154">
        <v>1</v>
      </c>
      <c r="AZ110" s="154"/>
      <c r="BA110" s="149"/>
      <c r="BB110" s="149"/>
      <c r="BC110" s="149"/>
      <c r="BD110" s="149"/>
      <c r="BE110" s="149"/>
      <c r="BF110" s="149"/>
      <c r="BG110" s="149"/>
      <c r="BH110" s="149"/>
      <c r="BI110" s="154"/>
      <c r="BJ110" s="149"/>
      <c r="BK110" s="149"/>
      <c r="BL110" s="154"/>
      <c r="BM110" s="149"/>
      <c r="BN110" s="149"/>
      <c r="BO110" s="149"/>
      <c r="BP110" s="149"/>
      <c r="BQ110" s="154"/>
      <c r="BR110" s="149"/>
      <c r="BS110" s="154"/>
      <c r="BT110" s="154"/>
      <c r="BU110" s="149"/>
      <c r="BV110" s="149"/>
      <c r="BW110" s="149"/>
      <c r="BX110" s="154"/>
      <c r="BY110" s="149"/>
      <c r="BZ110" s="149"/>
      <c r="CA110" s="149"/>
      <c r="CB110" s="149"/>
      <c r="CC110" s="149"/>
      <c r="CD110" s="149"/>
      <c r="CE110" s="149"/>
      <c r="CF110" s="154"/>
      <c r="CG110" s="149"/>
      <c r="CH110" s="154"/>
      <c r="CI110" s="149"/>
      <c r="CJ110" s="149"/>
      <c r="CK110" s="149"/>
      <c r="CL110" s="149"/>
      <c r="CM110" s="149"/>
      <c r="CN110" s="149"/>
      <c r="CO110" s="149"/>
      <c r="CP110" s="149"/>
      <c r="CQ110" s="154"/>
      <c r="CR110" s="154"/>
      <c r="CS110" s="150">
        <v>1</v>
      </c>
      <c r="CT110" s="149"/>
      <c r="CU110" s="149"/>
      <c r="CV110" s="149"/>
      <c r="CW110" s="154">
        <v>2</v>
      </c>
      <c r="CX110" s="154"/>
      <c r="CY110" s="154"/>
      <c r="CZ110" s="154"/>
      <c r="DA110" s="149"/>
      <c r="DB110" s="154"/>
      <c r="DC110" s="149"/>
      <c r="DD110" s="149"/>
      <c r="DE110" s="149"/>
      <c r="DF110" s="149"/>
    </row>
    <row r="111" spans="1:110" x14ac:dyDescent="0.35">
      <c r="A111" s="55" t="s">
        <v>168</v>
      </c>
      <c r="B111" s="154">
        <v>1000</v>
      </c>
      <c r="C111" s="48">
        <v>79</v>
      </c>
      <c r="D111" s="76">
        <v>13.35</v>
      </c>
      <c r="E111" s="48">
        <v>29.2</v>
      </c>
      <c r="F111" s="48">
        <v>0</v>
      </c>
      <c r="G111" s="85" t="s">
        <v>171</v>
      </c>
      <c r="H111" s="81">
        <v>227</v>
      </c>
      <c r="I111" s="48">
        <v>100</v>
      </c>
      <c r="J111" s="154">
        <v>2000</v>
      </c>
      <c r="K111" s="49">
        <v>3</v>
      </c>
      <c r="L111" s="48">
        <v>2</v>
      </c>
      <c r="M111" s="48">
        <v>2</v>
      </c>
      <c r="N111" s="192">
        <f t="shared" si="1"/>
        <v>1000</v>
      </c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  <c r="BN111" s="149"/>
      <c r="BO111" s="149"/>
      <c r="BP111" s="149"/>
      <c r="BQ111" s="149"/>
      <c r="BR111" s="149"/>
      <c r="BS111" s="149"/>
      <c r="BT111" s="149"/>
      <c r="BU111" s="149"/>
      <c r="BV111" s="149"/>
      <c r="BW111" s="149"/>
      <c r="BX111" s="149"/>
      <c r="BY111" s="149"/>
      <c r="BZ111" s="149"/>
      <c r="CA111" s="102">
        <v>1</v>
      </c>
      <c r="CB111" s="149"/>
      <c r="CC111" s="149"/>
      <c r="CD111" s="149"/>
      <c r="CE111" s="149"/>
      <c r="CF111" s="149"/>
      <c r="CG111" s="149"/>
      <c r="CH111" s="149"/>
      <c r="CI111" s="149"/>
      <c r="CJ111" s="149"/>
      <c r="CK111" s="149"/>
      <c r="CL111" s="149"/>
      <c r="CM111" s="149"/>
      <c r="CN111" s="149"/>
      <c r="CO111" s="149"/>
      <c r="CP111" s="149"/>
      <c r="CQ111" s="149"/>
      <c r="CR111" s="149"/>
      <c r="CS111" s="149"/>
      <c r="CT111" s="149"/>
      <c r="CU111" s="149"/>
      <c r="CV111" s="149"/>
      <c r="CW111" s="149"/>
      <c r="CX111" s="149"/>
      <c r="CY111" s="149"/>
      <c r="CZ111" s="149"/>
      <c r="DA111" s="149"/>
      <c r="DB111" s="102">
        <v>1</v>
      </c>
      <c r="DC111" s="149"/>
      <c r="DD111" s="149"/>
      <c r="DE111" s="149"/>
      <c r="DF111" s="149"/>
    </row>
    <row r="112" spans="1:110" x14ac:dyDescent="0.35">
      <c r="A112" s="55" t="s">
        <v>168</v>
      </c>
      <c r="B112" s="154">
        <v>1100</v>
      </c>
      <c r="C112" s="48">
        <v>92</v>
      </c>
      <c r="D112" s="76">
        <v>15.6</v>
      </c>
      <c r="E112" s="48">
        <v>23.5</v>
      </c>
      <c r="F112" s="48">
        <v>0.7</v>
      </c>
      <c r="G112" s="155" t="s">
        <v>171</v>
      </c>
      <c r="H112" s="81">
        <v>227</v>
      </c>
      <c r="I112" s="48">
        <v>2</v>
      </c>
      <c r="J112" s="154">
        <v>480</v>
      </c>
      <c r="K112" s="49">
        <v>2</v>
      </c>
      <c r="L112" s="48">
        <v>1</v>
      </c>
      <c r="M112" s="48">
        <v>1</v>
      </c>
      <c r="N112" s="192">
        <f t="shared" si="1"/>
        <v>620</v>
      </c>
      <c r="O112" s="149"/>
      <c r="P112" s="149"/>
      <c r="Q112" s="149"/>
      <c r="R112" s="149"/>
      <c r="S112" s="149"/>
      <c r="T112" s="149"/>
      <c r="U112" s="149"/>
      <c r="V112" s="149"/>
      <c r="W112" s="154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54"/>
      <c r="AZ112" s="149"/>
      <c r="BA112" s="149"/>
      <c r="BB112" s="149"/>
      <c r="BC112" s="149"/>
      <c r="BD112" s="149"/>
      <c r="BE112" s="154"/>
      <c r="BF112" s="149"/>
      <c r="BG112" s="149"/>
      <c r="BH112" s="149"/>
      <c r="BI112" s="154"/>
      <c r="BJ112" s="149"/>
      <c r="BK112" s="149"/>
      <c r="BL112" s="149"/>
      <c r="BM112" s="149"/>
      <c r="BN112" s="149"/>
      <c r="BO112" s="149"/>
      <c r="BP112" s="149"/>
      <c r="BQ112" s="149"/>
      <c r="BR112" s="149"/>
      <c r="BS112" s="149"/>
      <c r="BT112" s="149"/>
      <c r="BU112" s="149"/>
      <c r="BV112" s="149"/>
      <c r="BW112" s="149"/>
      <c r="BX112" s="149"/>
      <c r="BY112" s="149"/>
      <c r="BZ112" s="149"/>
      <c r="CA112" s="102">
        <v>1</v>
      </c>
      <c r="CB112" s="149"/>
      <c r="CC112" s="149"/>
      <c r="CD112" s="149"/>
      <c r="CE112" s="149"/>
      <c r="CF112" s="149"/>
      <c r="CG112" s="149"/>
      <c r="CH112" s="149"/>
      <c r="CI112" s="149"/>
      <c r="CJ112" s="149"/>
      <c r="CK112" s="149"/>
      <c r="CL112" s="149"/>
      <c r="CM112" s="149"/>
      <c r="CN112" s="149"/>
      <c r="CO112" s="149"/>
      <c r="CP112" s="149"/>
      <c r="CQ112" s="149"/>
      <c r="CR112" s="149"/>
      <c r="CS112" s="149"/>
      <c r="CT112" s="149"/>
      <c r="CU112" s="149"/>
      <c r="CV112" s="149"/>
      <c r="CW112" s="149"/>
      <c r="CX112" s="149"/>
      <c r="CY112" s="149"/>
      <c r="CZ112" s="149"/>
      <c r="DA112" s="149"/>
      <c r="DB112" s="149"/>
      <c r="DC112" s="149"/>
      <c r="DD112" s="149"/>
      <c r="DE112" s="149"/>
      <c r="DF112" s="149"/>
    </row>
    <row r="113" spans="1:110" x14ac:dyDescent="0.35">
      <c r="A113" s="55" t="s">
        <v>168</v>
      </c>
      <c r="B113" s="154">
        <v>1100</v>
      </c>
      <c r="C113" s="48">
        <v>79</v>
      </c>
      <c r="D113" s="76">
        <v>7.6</v>
      </c>
      <c r="E113" s="48">
        <v>25.4</v>
      </c>
      <c r="F113" s="48">
        <v>0</v>
      </c>
      <c r="G113" s="155" t="s">
        <v>171</v>
      </c>
      <c r="H113" s="81">
        <v>227</v>
      </c>
      <c r="I113" s="48">
        <v>100</v>
      </c>
      <c r="J113" s="48">
        <v>2000</v>
      </c>
      <c r="K113" s="49">
        <v>2</v>
      </c>
      <c r="L113" s="48">
        <v>2</v>
      </c>
      <c r="M113" s="48">
        <v>5</v>
      </c>
      <c r="N113" s="192">
        <f t="shared" si="1"/>
        <v>900</v>
      </c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54"/>
      <c r="AZ113" s="149"/>
      <c r="BA113" s="149"/>
      <c r="BB113" s="149"/>
      <c r="BC113" s="149"/>
      <c r="BD113" s="149"/>
      <c r="BE113" s="149"/>
      <c r="BF113" s="149"/>
      <c r="BG113" s="149"/>
      <c r="BH113" s="102">
        <v>1</v>
      </c>
      <c r="BI113" s="149"/>
      <c r="BJ113" s="149"/>
      <c r="BK113" s="149"/>
      <c r="BL113" s="149"/>
      <c r="BM113" s="149"/>
      <c r="BN113" s="149"/>
      <c r="BO113" s="149"/>
      <c r="BP113" s="149"/>
      <c r="BQ113" s="149"/>
      <c r="BR113" s="149"/>
      <c r="BS113" s="149"/>
      <c r="BT113" s="102">
        <v>4</v>
      </c>
      <c r="BU113" s="149"/>
      <c r="BV113" s="149"/>
      <c r="BW113" s="149"/>
      <c r="BX113" s="149"/>
      <c r="BY113" s="149"/>
      <c r="BZ113" s="149"/>
      <c r="CA113" s="149"/>
      <c r="CB113" s="149"/>
      <c r="CC113" s="149"/>
      <c r="CD113" s="149"/>
      <c r="CE113" s="149"/>
      <c r="CF113" s="149"/>
      <c r="CG113" s="149"/>
      <c r="CH113" s="149"/>
      <c r="CI113" s="149"/>
      <c r="CJ113" s="154"/>
      <c r="CK113" s="149"/>
      <c r="CL113" s="149"/>
      <c r="CM113" s="149"/>
      <c r="CN113" s="149"/>
      <c r="CO113" s="149"/>
      <c r="CP113" s="149"/>
      <c r="CQ113" s="149"/>
      <c r="CR113" s="149"/>
      <c r="CS113" s="149"/>
      <c r="CT113" s="149"/>
      <c r="CU113" s="149"/>
      <c r="CV113" s="149"/>
      <c r="CW113" s="154"/>
      <c r="CX113" s="149"/>
      <c r="CY113" s="149"/>
      <c r="CZ113" s="149"/>
      <c r="DA113" s="149"/>
      <c r="DB113" s="149"/>
      <c r="DC113" s="149"/>
      <c r="DD113" s="149"/>
      <c r="DE113" s="149"/>
      <c r="DF113" s="149"/>
    </row>
    <row r="114" spans="1:110" x14ac:dyDescent="0.35">
      <c r="A114" s="55" t="s">
        <v>168</v>
      </c>
      <c r="B114" s="154">
        <v>1250</v>
      </c>
      <c r="C114" s="48">
        <v>89</v>
      </c>
      <c r="D114" s="76">
        <v>1</v>
      </c>
      <c r="E114" s="48">
        <v>22.2</v>
      </c>
      <c r="F114" s="48">
        <v>0</v>
      </c>
      <c r="G114" s="85" t="s">
        <v>171</v>
      </c>
      <c r="H114" s="81">
        <v>227</v>
      </c>
      <c r="I114" s="48">
        <v>100</v>
      </c>
      <c r="J114" s="48">
        <v>1420</v>
      </c>
      <c r="K114" s="49">
        <v>3</v>
      </c>
      <c r="L114" s="48">
        <v>4</v>
      </c>
      <c r="M114" s="48">
        <v>4</v>
      </c>
      <c r="N114" s="192">
        <f t="shared" si="1"/>
        <v>170</v>
      </c>
      <c r="O114" s="149"/>
      <c r="P114" s="149"/>
      <c r="Q114" s="149"/>
      <c r="R114" s="149"/>
      <c r="S114" s="149"/>
      <c r="T114" s="149"/>
      <c r="U114" s="149"/>
      <c r="V114" s="149"/>
      <c r="W114" s="149"/>
      <c r="X114" s="102">
        <v>1</v>
      </c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50">
        <v>1</v>
      </c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  <c r="BN114" s="149"/>
      <c r="BO114" s="149"/>
      <c r="BP114" s="149"/>
      <c r="BQ114" s="149"/>
      <c r="BR114" s="149"/>
      <c r="BS114" s="149"/>
      <c r="BT114" s="149"/>
      <c r="BU114" s="149"/>
      <c r="BV114" s="149"/>
      <c r="BW114" s="149"/>
      <c r="BX114" s="149"/>
      <c r="BY114" s="149"/>
      <c r="BZ114" s="149"/>
      <c r="CA114" s="149"/>
      <c r="CB114" s="149"/>
      <c r="CC114" s="149"/>
      <c r="CD114" s="149"/>
      <c r="CE114" s="149"/>
      <c r="CF114" s="149"/>
      <c r="CG114" s="149"/>
      <c r="CH114" s="149"/>
      <c r="CI114" s="149"/>
      <c r="CJ114" s="102">
        <v>1</v>
      </c>
      <c r="CK114" s="149"/>
      <c r="CL114" s="149"/>
      <c r="CM114" s="149"/>
      <c r="CN114" s="149"/>
      <c r="CO114" s="149"/>
      <c r="CP114" s="149"/>
      <c r="CQ114" s="149"/>
      <c r="CR114" s="149"/>
      <c r="CS114" s="154"/>
      <c r="CT114" s="149"/>
      <c r="CU114" s="149"/>
      <c r="CV114" s="149"/>
      <c r="CW114" s="154"/>
      <c r="CX114" s="149"/>
      <c r="CY114" s="102">
        <v>1</v>
      </c>
      <c r="CZ114" s="149"/>
      <c r="DA114" s="149"/>
      <c r="DB114" s="149"/>
      <c r="DC114" s="149"/>
      <c r="DD114" s="149"/>
      <c r="DE114" s="149"/>
      <c r="DF114" s="149"/>
    </row>
    <row r="115" spans="1:110" x14ac:dyDescent="0.35">
      <c r="A115" s="55" t="s">
        <v>168</v>
      </c>
      <c r="B115" s="154">
        <v>1250</v>
      </c>
      <c r="C115" s="48">
        <v>72</v>
      </c>
      <c r="D115" s="154">
        <v>0.75</v>
      </c>
      <c r="E115" s="48">
        <v>25</v>
      </c>
      <c r="F115" s="48">
        <v>0.9</v>
      </c>
      <c r="G115" s="155" t="s">
        <v>171</v>
      </c>
      <c r="H115" s="81">
        <v>227</v>
      </c>
      <c r="I115" s="48">
        <v>100</v>
      </c>
      <c r="J115" s="48">
        <v>2000</v>
      </c>
      <c r="K115" s="49">
        <v>3</v>
      </c>
      <c r="L115" s="48">
        <v>2</v>
      </c>
      <c r="M115" s="48">
        <v>3</v>
      </c>
      <c r="N115" s="192">
        <f t="shared" si="1"/>
        <v>750</v>
      </c>
      <c r="O115" s="149"/>
      <c r="P115" s="149"/>
      <c r="Q115" s="149"/>
      <c r="R115" s="149"/>
      <c r="S115" s="102">
        <v>2</v>
      </c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54"/>
      <c r="AV115" s="149"/>
      <c r="AW115" s="149"/>
      <c r="AX115" s="149"/>
      <c r="AY115" s="150">
        <v>1</v>
      </c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54"/>
      <c r="BJ115" s="149"/>
      <c r="BK115" s="149"/>
      <c r="BL115" s="149"/>
      <c r="BM115" s="154"/>
      <c r="BN115" s="149"/>
      <c r="BO115" s="149"/>
      <c r="BP115" s="149"/>
      <c r="BQ115" s="149"/>
      <c r="BR115" s="149"/>
      <c r="BS115" s="154"/>
      <c r="BT115" s="149"/>
      <c r="BU115" s="149"/>
      <c r="BV115" s="149"/>
      <c r="BW115" s="149"/>
      <c r="BX115" s="149"/>
      <c r="BY115" s="149"/>
      <c r="BZ115" s="149"/>
      <c r="CA115" s="149"/>
      <c r="CB115" s="149"/>
      <c r="CC115" s="149"/>
      <c r="CD115" s="149"/>
      <c r="CE115" s="149"/>
      <c r="CF115" s="149"/>
      <c r="CG115" s="149"/>
      <c r="CH115" s="149"/>
      <c r="CI115" s="149"/>
      <c r="CJ115" s="154"/>
      <c r="CK115" s="149"/>
      <c r="CL115" s="149"/>
      <c r="CM115" s="149"/>
      <c r="CN115" s="149"/>
      <c r="CO115" s="149"/>
      <c r="CP115" s="149"/>
      <c r="CQ115" s="149"/>
      <c r="CR115" s="149"/>
      <c r="CS115" s="149"/>
      <c r="CT115" s="149"/>
      <c r="CU115" s="149"/>
      <c r="CV115" s="149"/>
      <c r="CW115" s="149"/>
      <c r="CX115" s="149"/>
      <c r="CY115" s="149"/>
      <c r="CZ115" s="149"/>
      <c r="DA115" s="149"/>
      <c r="DB115" s="154"/>
      <c r="DC115" s="149"/>
      <c r="DD115" s="149"/>
      <c r="DE115" s="149"/>
      <c r="DF115" s="149"/>
    </row>
    <row r="116" spans="1:110" x14ac:dyDescent="0.35">
      <c r="A116" s="55" t="s">
        <v>168</v>
      </c>
      <c r="B116" s="154">
        <v>1360</v>
      </c>
      <c r="C116" s="48">
        <v>60</v>
      </c>
      <c r="D116" s="76">
        <v>44</v>
      </c>
      <c r="E116" s="48">
        <v>32.6</v>
      </c>
      <c r="F116" s="48">
        <v>0</v>
      </c>
      <c r="G116" s="85" t="s">
        <v>171</v>
      </c>
      <c r="H116" s="81">
        <v>227</v>
      </c>
      <c r="I116" s="48">
        <v>85</v>
      </c>
      <c r="J116" s="48">
        <v>1420</v>
      </c>
      <c r="K116" s="49">
        <v>1</v>
      </c>
      <c r="L116" s="48">
        <v>2</v>
      </c>
      <c r="M116" s="48">
        <v>4</v>
      </c>
      <c r="N116" s="192">
        <f t="shared" si="1"/>
        <v>60</v>
      </c>
      <c r="O116" s="149"/>
      <c r="P116" s="149"/>
      <c r="Q116" s="149"/>
      <c r="R116" s="149"/>
      <c r="S116" s="149"/>
      <c r="T116" s="102">
        <v>1</v>
      </c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02">
        <v>3</v>
      </c>
      <c r="BN116" s="149"/>
      <c r="BO116" s="149"/>
      <c r="BP116" s="149"/>
      <c r="BQ116" s="149"/>
      <c r="BR116" s="149"/>
      <c r="BS116" s="149"/>
      <c r="BT116" s="149"/>
      <c r="BU116" s="149"/>
      <c r="BV116" s="149"/>
      <c r="BW116" s="149"/>
      <c r="BX116" s="149"/>
      <c r="BY116" s="149"/>
      <c r="BZ116" s="149"/>
      <c r="CA116" s="154"/>
      <c r="CB116" s="149"/>
      <c r="CC116" s="149"/>
      <c r="CD116" s="149"/>
      <c r="CE116" s="149"/>
      <c r="CF116" s="149"/>
      <c r="CG116" s="149"/>
      <c r="CH116" s="149"/>
      <c r="CI116" s="149"/>
      <c r="CJ116" s="149"/>
      <c r="CK116" s="149"/>
      <c r="CL116" s="149"/>
      <c r="CM116" s="149"/>
      <c r="CN116" s="149"/>
      <c r="CO116" s="149"/>
      <c r="CP116" s="149"/>
      <c r="CQ116" s="149"/>
      <c r="CR116" s="149"/>
      <c r="CS116" s="149"/>
      <c r="CT116" s="149"/>
      <c r="CU116" s="149"/>
      <c r="CV116" s="149"/>
      <c r="CW116" s="149"/>
      <c r="CX116" s="149"/>
      <c r="CY116" s="149"/>
      <c r="CZ116" s="149"/>
      <c r="DA116" s="149"/>
      <c r="DB116" s="154"/>
      <c r="DC116" s="149"/>
      <c r="DD116" s="149"/>
      <c r="DE116" s="149"/>
      <c r="DF116" s="149"/>
    </row>
    <row r="117" spans="1:110" x14ac:dyDescent="0.35">
      <c r="A117" s="55" t="s">
        <v>168</v>
      </c>
      <c r="B117" s="154">
        <v>1360</v>
      </c>
      <c r="C117" s="48">
        <v>79</v>
      </c>
      <c r="D117" s="76">
        <v>39.200000000000003</v>
      </c>
      <c r="E117" s="48">
        <v>31.4</v>
      </c>
      <c r="F117" s="48">
        <v>0</v>
      </c>
      <c r="G117" s="85" t="s">
        <v>171</v>
      </c>
      <c r="H117" s="81">
        <v>227</v>
      </c>
      <c r="I117" s="48">
        <v>100</v>
      </c>
      <c r="J117" s="48">
        <v>2000</v>
      </c>
      <c r="K117" s="49">
        <v>1</v>
      </c>
      <c r="L117" s="48">
        <v>0</v>
      </c>
      <c r="M117" s="48">
        <v>0</v>
      </c>
      <c r="N117" s="192">
        <f t="shared" si="1"/>
        <v>640</v>
      </c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  <c r="BN117" s="149"/>
      <c r="BO117" s="149"/>
      <c r="BP117" s="149"/>
      <c r="BQ117" s="149"/>
      <c r="BR117" s="149"/>
      <c r="BS117" s="149"/>
      <c r="BT117" s="149"/>
      <c r="BU117" s="149"/>
      <c r="BV117" s="149"/>
      <c r="BW117" s="149"/>
      <c r="BX117" s="149"/>
      <c r="BY117" s="149"/>
      <c r="BZ117" s="149"/>
      <c r="CA117" s="154"/>
      <c r="CB117" s="149"/>
      <c r="CC117" s="149"/>
      <c r="CD117" s="149"/>
      <c r="CE117" s="149"/>
      <c r="CF117" s="149"/>
      <c r="CG117" s="149"/>
      <c r="CH117" s="149"/>
      <c r="CI117" s="149"/>
      <c r="CJ117" s="149"/>
      <c r="CK117" s="149"/>
      <c r="CL117" s="149"/>
      <c r="CM117" s="149"/>
      <c r="CN117" s="149"/>
      <c r="CO117" s="149"/>
      <c r="CP117" s="149"/>
      <c r="CQ117" s="149"/>
      <c r="CR117" s="149"/>
      <c r="CS117" s="149"/>
      <c r="CT117" s="149"/>
      <c r="CU117" s="149"/>
      <c r="CV117" s="149"/>
      <c r="CW117" s="149"/>
      <c r="CX117" s="149"/>
      <c r="CY117" s="149"/>
      <c r="CZ117" s="149"/>
      <c r="DA117" s="149"/>
      <c r="DB117" s="149"/>
      <c r="DC117" s="149"/>
      <c r="DD117" s="149"/>
      <c r="DE117" s="149"/>
      <c r="DF117" s="149"/>
    </row>
    <row r="118" spans="1:110" s="177" customFormat="1" x14ac:dyDescent="0.35">
      <c r="A118" s="172" t="s">
        <v>168</v>
      </c>
      <c r="B118" s="176">
        <v>1420</v>
      </c>
      <c r="C118" s="176">
        <v>76</v>
      </c>
      <c r="D118" s="181">
        <v>1.53</v>
      </c>
      <c r="E118" s="176">
        <v>25.4</v>
      </c>
      <c r="F118" s="176">
        <v>0</v>
      </c>
      <c r="G118" s="182" t="s">
        <v>171</v>
      </c>
      <c r="H118" s="182">
        <v>227</v>
      </c>
      <c r="I118" s="176">
        <v>100</v>
      </c>
      <c r="J118" s="176">
        <v>1420</v>
      </c>
      <c r="K118" s="182">
        <v>6</v>
      </c>
      <c r="L118" s="176">
        <v>4</v>
      </c>
      <c r="M118" s="176">
        <v>5</v>
      </c>
      <c r="N118" s="192">
        <f t="shared" si="1"/>
        <v>0</v>
      </c>
      <c r="BH118" s="176"/>
      <c r="BT118" s="176"/>
      <c r="BZ118" s="183">
        <v>1</v>
      </c>
      <c r="CF118" s="183">
        <v>1</v>
      </c>
      <c r="DD118" s="183">
        <v>2</v>
      </c>
      <c r="DF118" s="183">
        <v>1</v>
      </c>
    </row>
    <row r="119" spans="1:110" s="177" customFormat="1" x14ac:dyDescent="0.35">
      <c r="A119" s="172" t="s">
        <v>168</v>
      </c>
      <c r="B119" s="172">
        <v>480</v>
      </c>
      <c r="C119" s="172">
        <v>92</v>
      </c>
      <c r="D119" s="174">
        <v>0.14000000000000001</v>
      </c>
      <c r="E119" s="172">
        <v>22.5</v>
      </c>
      <c r="F119" s="172">
        <v>0</v>
      </c>
      <c r="G119" s="175" t="s">
        <v>169</v>
      </c>
      <c r="H119" s="175">
        <v>228</v>
      </c>
      <c r="I119" s="172">
        <v>100</v>
      </c>
      <c r="J119" s="172">
        <v>480</v>
      </c>
      <c r="K119" s="175">
        <v>4</v>
      </c>
      <c r="L119" s="176">
        <v>6</v>
      </c>
      <c r="M119" s="176">
        <v>11</v>
      </c>
      <c r="N119" s="192">
        <f t="shared" si="1"/>
        <v>0</v>
      </c>
      <c r="AC119" s="184">
        <v>1</v>
      </c>
      <c r="AE119" s="183">
        <v>1</v>
      </c>
      <c r="AL119" s="172"/>
      <c r="AR119" s="184"/>
      <c r="AS119" s="184"/>
      <c r="AV119" s="184"/>
      <c r="AX119" s="184"/>
      <c r="AY119" s="172"/>
      <c r="BI119" s="183">
        <v>1</v>
      </c>
      <c r="BL119" s="184">
        <v>1</v>
      </c>
      <c r="BN119" s="176"/>
      <c r="BQ119" s="184"/>
      <c r="BS119" s="184"/>
      <c r="BT119" s="184">
        <v>2</v>
      </c>
      <c r="BX119" s="184"/>
      <c r="CI119" s="176"/>
      <c r="CJ119" s="176"/>
      <c r="CM119" s="183">
        <v>5</v>
      </c>
      <c r="CQ119" s="184"/>
      <c r="CR119" s="184"/>
      <c r="CW119" s="184"/>
      <c r="CX119" s="184"/>
      <c r="DB119" s="184"/>
      <c r="DD119" s="176"/>
      <c r="DF119" s="176"/>
    </row>
    <row r="120" spans="1:110" x14ac:dyDescent="0.35">
      <c r="A120" s="55" t="s">
        <v>168</v>
      </c>
      <c r="B120" s="156">
        <v>580</v>
      </c>
      <c r="C120" s="156">
        <v>97</v>
      </c>
      <c r="D120" s="159">
        <v>4.5999999999999996</v>
      </c>
      <c r="E120" s="156">
        <v>24.3</v>
      </c>
      <c r="F120" s="156">
        <v>0</v>
      </c>
      <c r="G120" s="158" t="s">
        <v>169</v>
      </c>
      <c r="H120" s="158">
        <v>228</v>
      </c>
      <c r="I120" s="156">
        <v>100</v>
      </c>
      <c r="J120" s="156">
        <v>480</v>
      </c>
      <c r="K120" s="158">
        <v>3</v>
      </c>
      <c r="L120" s="48">
        <v>17</v>
      </c>
      <c r="M120" s="48">
        <v>24</v>
      </c>
      <c r="N120" s="192">
        <f t="shared" si="1"/>
        <v>100</v>
      </c>
      <c r="O120" s="149"/>
      <c r="P120" s="149"/>
      <c r="Q120" s="149"/>
      <c r="R120" s="149"/>
      <c r="S120" s="149"/>
      <c r="T120" s="149"/>
      <c r="U120" s="149"/>
      <c r="V120" s="149"/>
      <c r="W120" s="149"/>
      <c r="X120" s="154"/>
      <c r="Y120" s="149"/>
      <c r="Z120" s="149"/>
      <c r="AA120" s="149"/>
      <c r="AB120" s="149"/>
      <c r="AC120" s="171">
        <v>1</v>
      </c>
      <c r="AD120" s="149"/>
      <c r="AE120" s="102">
        <v>1</v>
      </c>
      <c r="AF120" s="149"/>
      <c r="AG120" s="149"/>
      <c r="AH120" s="149"/>
      <c r="AI120" s="149"/>
      <c r="AJ120" s="149"/>
      <c r="AK120" s="149"/>
      <c r="AL120" s="171"/>
      <c r="AM120" s="149"/>
      <c r="AN120" s="149"/>
      <c r="AO120" s="149"/>
      <c r="AP120" s="149"/>
      <c r="AQ120" s="149"/>
      <c r="AR120" s="171"/>
      <c r="AS120" s="171"/>
      <c r="AT120" s="149"/>
      <c r="AU120" s="149"/>
      <c r="AV120" s="171"/>
      <c r="AW120" s="149"/>
      <c r="AX120" s="171"/>
      <c r="AY120" s="156">
        <v>1</v>
      </c>
      <c r="AZ120" s="102">
        <v>1</v>
      </c>
      <c r="BA120" s="149"/>
      <c r="BB120" s="149"/>
      <c r="BC120" s="149"/>
      <c r="BD120" s="149"/>
      <c r="BE120" s="149"/>
      <c r="BF120" s="149"/>
      <c r="BG120" s="149"/>
      <c r="BH120" s="149"/>
      <c r="BI120" s="102">
        <v>1</v>
      </c>
      <c r="BJ120" s="149"/>
      <c r="BK120" s="149"/>
      <c r="BL120" s="171">
        <v>2</v>
      </c>
      <c r="BM120" s="149"/>
      <c r="BN120" s="149"/>
      <c r="BO120" s="149"/>
      <c r="BP120" s="149"/>
      <c r="BQ120" s="171"/>
      <c r="BR120" s="149"/>
      <c r="BS120" s="171">
        <v>1</v>
      </c>
      <c r="BT120" s="171"/>
      <c r="BU120" s="149"/>
      <c r="BV120" s="102">
        <v>1</v>
      </c>
      <c r="BW120" s="149"/>
      <c r="BX120" s="171">
        <v>1</v>
      </c>
      <c r="BY120" s="149"/>
      <c r="BZ120" s="149"/>
      <c r="CA120" s="102">
        <v>1</v>
      </c>
      <c r="CB120" s="149"/>
      <c r="CC120" s="102">
        <v>2</v>
      </c>
      <c r="CD120" s="149"/>
      <c r="CE120" s="149"/>
      <c r="CF120" s="102">
        <v>1</v>
      </c>
      <c r="CG120" s="149"/>
      <c r="CH120" s="149"/>
      <c r="CI120" s="102">
        <v>1</v>
      </c>
      <c r="CJ120" s="154"/>
      <c r="CK120" s="149"/>
      <c r="CL120" s="149"/>
      <c r="CM120" s="102">
        <v>3</v>
      </c>
      <c r="CN120" s="149"/>
      <c r="CO120" s="149"/>
      <c r="CP120" s="149"/>
      <c r="CQ120" s="171"/>
      <c r="CR120" s="171"/>
      <c r="CS120" s="102">
        <v>1</v>
      </c>
      <c r="CT120" s="149"/>
      <c r="CU120" s="149"/>
      <c r="CV120" s="149"/>
      <c r="CW120" s="171">
        <v>1</v>
      </c>
      <c r="CX120" s="171"/>
      <c r="CY120" s="154"/>
      <c r="CZ120" s="149"/>
      <c r="DA120" s="149"/>
      <c r="DB120" s="171"/>
      <c r="DC120" s="102">
        <v>4</v>
      </c>
      <c r="DD120" s="149"/>
      <c r="DE120" s="149"/>
      <c r="DF120" s="149"/>
    </row>
    <row r="121" spans="1:110" x14ac:dyDescent="0.35">
      <c r="A121" s="55" t="s">
        <v>168</v>
      </c>
      <c r="B121" s="156">
        <v>700</v>
      </c>
      <c r="C121" s="156">
        <v>99</v>
      </c>
      <c r="D121" s="159">
        <v>24.2</v>
      </c>
      <c r="E121" s="156">
        <v>26.1</v>
      </c>
      <c r="F121" s="156">
        <v>0</v>
      </c>
      <c r="G121" s="158" t="s">
        <v>169</v>
      </c>
      <c r="H121" s="158">
        <v>228</v>
      </c>
      <c r="I121" s="156">
        <v>35</v>
      </c>
      <c r="J121" s="156">
        <v>480</v>
      </c>
      <c r="K121" s="158">
        <v>5</v>
      </c>
      <c r="L121" s="48">
        <v>11</v>
      </c>
      <c r="M121" s="48">
        <v>11</v>
      </c>
      <c r="N121" s="192">
        <f t="shared" si="1"/>
        <v>220</v>
      </c>
      <c r="O121" s="149"/>
      <c r="P121" s="149"/>
      <c r="Q121" s="149"/>
      <c r="R121" s="149"/>
      <c r="S121" s="154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71">
        <v>1</v>
      </c>
      <c r="AD121" s="149"/>
      <c r="AE121" s="102">
        <v>1</v>
      </c>
      <c r="AF121" s="149"/>
      <c r="AG121" s="149"/>
      <c r="AH121" s="149"/>
      <c r="AI121" s="149"/>
      <c r="AJ121" s="149"/>
      <c r="AK121" s="149"/>
      <c r="AL121" s="171"/>
      <c r="AM121" s="102">
        <v>1</v>
      </c>
      <c r="AN121" s="149"/>
      <c r="AO121" s="149"/>
      <c r="AP121" s="149"/>
      <c r="AQ121" s="149"/>
      <c r="AR121" s="171"/>
      <c r="AS121" s="171"/>
      <c r="AT121" s="149"/>
      <c r="AU121" s="149"/>
      <c r="AV121" s="171"/>
      <c r="AW121" s="149"/>
      <c r="AX121" s="171"/>
      <c r="AY121" s="156"/>
      <c r="AZ121" s="102">
        <v>1</v>
      </c>
      <c r="BA121" s="102">
        <v>1</v>
      </c>
      <c r="BB121" s="149"/>
      <c r="BC121" s="149"/>
      <c r="BD121" s="149"/>
      <c r="BE121" s="149"/>
      <c r="BF121" s="149"/>
      <c r="BG121" s="149"/>
      <c r="BH121" s="149"/>
      <c r="BI121" s="102">
        <v>1</v>
      </c>
      <c r="BJ121" s="149"/>
      <c r="BK121" s="149"/>
      <c r="BL121" s="171"/>
      <c r="BM121" s="149"/>
      <c r="BN121" s="149"/>
      <c r="BO121" s="149"/>
      <c r="BP121" s="149"/>
      <c r="BQ121" s="171"/>
      <c r="BR121" s="149"/>
      <c r="BS121" s="171"/>
      <c r="BT121" s="171"/>
      <c r="BU121" s="149"/>
      <c r="BV121" s="149"/>
      <c r="BW121" s="149"/>
      <c r="BX121" s="171"/>
      <c r="BY121" s="149"/>
      <c r="BZ121" s="149"/>
      <c r="CA121" s="149"/>
      <c r="CB121" s="149"/>
      <c r="CC121" s="149"/>
      <c r="CD121" s="149"/>
      <c r="CE121" s="149"/>
      <c r="CF121" s="102">
        <v>1</v>
      </c>
      <c r="CG121" s="149"/>
      <c r="CH121" s="149"/>
      <c r="CI121" s="149"/>
      <c r="CJ121" s="149"/>
      <c r="CK121" s="149"/>
      <c r="CL121" s="149"/>
      <c r="CM121" s="149"/>
      <c r="CN121" s="149"/>
      <c r="CO121" s="149"/>
      <c r="CP121" s="149"/>
      <c r="CQ121" s="171"/>
      <c r="CR121" s="171"/>
      <c r="CS121" s="102">
        <v>1</v>
      </c>
      <c r="CT121" s="102">
        <v>1</v>
      </c>
      <c r="CU121" s="149"/>
      <c r="CV121" s="149"/>
      <c r="CW121" s="171"/>
      <c r="CX121" s="171"/>
      <c r="CY121" s="102">
        <v>1</v>
      </c>
      <c r="CZ121" s="149"/>
      <c r="DA121" s="149"/>
      <c r="DB121" s="171"/>
      <c r="DC121" s="149"/>
      <c r="DD121" s="149"/>
      <c r="DE121" s="149"/>
      <c r="DF121" s="102">
        <v>1</v>
      </c>
    </row>
    <row r="122" spans="1:110" x14ac:dyDescent="0.35">
      <c r="A122" s="55" t="s">
        <v>168</v>
      </c>
      <c r="B122" s="156">
        <v>780</v>
      </c>
      <c r="C122" s="156">
        <v>97</v>
      </c>
      <c r="D122" s="159">
        <v>1.08</v>
      </c>
      <c r="E122" s="156">
        <v>25.4</v>
      </c>
      <c r="F122" s="156">
        <v>0</v>
      </c>
      <c r="G122" s="158" t="s">
        <v>169</v>
      </c>
      <c r="H122" s="158">
        <v>228</v>
      </c>
      <c r="I122" s="156">
        <v>65</v>
      </c>
      <c r="J122" s="156">
        <v>480</v>
      </c>
      <c r="K122" s="158">
        <v>5</v>
      </c>
      <c r="L122" s="48">
        <v>9</v>
      </c>
      <c r="M122" s="48">
        <v>9</v>
      </c>
      <c r="N122" s="192">
        <f t="shared" si="1"/>
        <v>300</v>
      </c>
      <c r="O122" s="149"/>
      <c r="P122" s="149"/>
      <c r="Q122" s="149"/>
      <c r="R122" s="149"/>
      <c r="S122" s="149"/>
      <c r="T122" s="154"/>
      <c r="U122" s="149"/>
      <c r="V122" s="149"/>
      <c r="W122" s="149"/>
      <c r="X122" s="149"/>
      <c r="Y122" s="149"/>
      <c r="Z122" s="149"/>
      <c r="AA122" s="149"/>
      <c r="AB122" s="149"/>
      <c r="AC122" s="171"/>
      <c r="AD122" s="149"/>
      <c r="AE122" s="149"/>
      <c r="AF122" s="149"/>
      <c r="AG122" s="149"/>
      <c r="AH122" s="149"/>
      <c r="AI122" s="149"/>
      <c r="AJ122" s="149"/>
      <c r="AK122" s="149"/>
      <c r="AL122" s="171">
        <v>1</v>
      </c>
      <c r="AM122" s="149"/>
      <c r="AN122" s="149"/>
      <c r="AO122" s="149"/>
      <c r="AP122" s="149"/>
      <c r="AQ122" s="149"/>
      <c r="AR122" s="171"/>
      <c r="AS122" s="171"/>
      <c r="AT122" s="149"/>
      <c r="AU122" s="149"/>
      <c r="AV122" s="171"/>
      <c r="AW122" s="149"/>
      <c r="AX122" s="171"/>
      <c r="AY122" s="171"/>
      <c r="AZ122" s="102">
        <v>1</v>
      </c>
      <c r="BA122" s="149"/>
      <c r="BB122" s="149"/>
      <c r="BC122" s="149"/>
      <c r="BD122" s="149"/>
      <c r="BE122" s="149"/>
      <c r="BF122" s="149"/>
      <c r="BG122" s="149"/>
      <c r="BH122" s="149"/>
      <c r="BI122" s="102">
        <v>1</v>
      </c>
      <c r="BJ122" s="149"/>
      <c r="BK122" s="149"/>
      <c r="BL122" s="171"/>
      <c r="BM122" s="154"/>
      <c r="BN122" s="149"/>
      <c r="BO122" s="149"/>
      <c r="BP122" s="149"/>
      <c r="BQ122" s="171"/>
      <c r="BR122" s="149"/>
      <c r="BS122" s="171">
        <v>1</v>
      </c>
      <c r="BT122" s="171"/>
      <c r="BU122" s="149"/>
      <c r="BV122" s="149"/>
      <c r="BW122" s="149"/>
      <c r="BX122" s="171"/>
      <c r="BY122" s="149"/>
      <c r="BZ122" s="149"/>
      <c r="CA122" s="149"/>
      <c r="CB122" s="149"/>
      <c r="CC122" s="149"/>
      <c r="CD122" s="149"/>
      <c r="CE122" s="149"/>
      <c r="CF122" s="102">
        <v>1</v>
      </c>
      <c r="CG122" s="149"/>
      <c r="CH122" s="102">
        <v>1</v>
      </c>
      <c r="CI122" s="149"/>
      <c r="CJ122" s="149"/>
      <c r="CK122" s="149"/>
      <c r="CL122" s="149"/>
      <c r="CM122" s="149"/>
      <c r="CN122" s="149"/>
      <c r="CO122" s="149"/>
      <c r="CP122" s="149"/>
      <c r="CQ122" s="171"/>
      <c r="CR122" s="171"/>
      <c r="CS122" s="102">
        <v>1</v>
      </c>
      <c r="CT122" s="149"/>
      <c r="CU122" s="149"/>
      <c r="CV122" s="149"/>
      <c r="CW122" s="171"/>
      <c r="CX122" s="171"/>
      <c r="CY122" s="102">
        <v>1</v>
      </c>
      <c r="CZ122" s="102">
        <v>1</v>
      </c>
      <c r="DA122" s="149"/>
      <c r="DB122" s="171"/>
      <c r="DC122" s="149"/>
      <c r="DD122" s="149"/>
      <c r="DE122" s="149"/>
      <c r="DF122" s="149"/>
    </row>
    <row r="123" spans="1:110" x14ac:dyDescent="0.35">
      <c r="A123" s="55" t="s">
        <v>168</v>
      </c>
      <c r="B123" s="154">
        <v>870</v>
      </c>
      <c r="C123" s="48">
        <v>87</v>
      </c>
      <c r="D123" s="76">
        <v>9.8000000000000007</v>
      </c>
      <c r="E123" s="48">
        <v>34.5</v>
      </c>
      <c r="F123" s="48">
        <v>0</v>
      </c>
      <c r="G123" s="158" t="s">
        <v>169</v>
      </c>
      <c r="H123" s="81">
        <v>228</v>
      </c>
      <c r="I123" s="48">
        <v>0</v>
      </c>
      <c r="J123" s="48">
        <v>480</v>
      </c>
      <c r="K123" s="49">
        <v>3</v>
      </c>
      <c r="L123" s="48">
        <v>3</v>
      </c>
      <c r="M123" s="48">
        <v>3</v>
      </c>
      <c r="N123" s="192">
        <f t="shared" si="1"/>
        <v>390</v>
      </c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02">
        <v>1</v>
      </c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  <c r="BN123" s="149"/>
      <c r="BO123" s="149"/>
      <c r="BP123" s="149"/>
      <c r="BQ123" s="149"/>
      <c r="BR123" s="149"/>
      <c r="BS123" s="149"/>
      <c r="BT123" s="149"/>
      <c r="BU123" s="149"/>
      <c r="BV123" s="149"/>
      <c r="BW123" s="149"/>
      <c r="BX123" s="149"/>
      <c r="BY123" s="149"/>
      <c r="BZ123" s="149"/>
      <c r="CA123" s="149"/>
      <c r="CB123" s="149"/>
      <c r="CC123" s="149"/>
      <c r="CD123" s="149"/>
      <c r="CE123" s="149"/>
      <c r="CF123" s="149"/>
      <c r="CG123" s="149"/>
      <c r="CH123" s="149"/>
      <c r="CI123" s="149"/>
      <c r="CJ123" s="102">
        <v>1</v>
      </c>
      <c r="CK123" s="149"/>
      <c r="CL123" s="149"/>
      <c r="CM123" s="149"/>
      <c r="CN123" s="149"/>
      <c r="CO123" s="149"/>
      <c r="CP123" s="149"/>
      <c r="CQ123" s="149"/>
      <c r="CR123" s="149"/>
      <c r="CS123" s="149"/>
      <c r="CT123" s="149"/>
      <c r="CU123" s="149"/>
      <c r="CV123" s="149"/>
      <c r="CW123" s="102">
        <v>1</v>
      </c>
      <c r="CX123" s="149"/>
      <c r="CY123" s="149"/>
      <c r="CZ123" s="149"/>
      <c r="DA123" s="149"/>
      <c r="DB123" s="149"/>
      <c r="DC123" s="149"/>
      <c r="DD123" s="149"/>
      <c r="DE123" s="149"/>
      <c r="DF123" s="149"/>
    </row>
    <row r="124" spans="1:110" x14ac:dyDescent="0.35">
      <c r="A124" s="55" t="s">
        <v>168</v>
      </c>
      <c r="B124" s="154">
        <v>1000</v>
      </c>
      <c r="C124" s="48">
        <v>81</v>
      </c>
      <c r="D124" s="76">
        <v>36.6</v>
      </c>
      <c r="E124" s="48">
        <v>31.4</v>
      </c>
      <c r="F124" s="48">
        <v>0.8</v>
      </c>
      <c r="G124" s="158" t="s">
        <v>169</v>
      </c>
      <c r="H124" s="81">
        <v>228</v>
      </c>
      <c r="I124" s="48">
        <v>96</v>
      </c>
      <c r="J124" s="48">
        <v>480</v>
      </c>
      <c r="K124" s="49">
        <v>3</v>
      </c>
      <c r="L124" s="48">
        <v>7</v>
      </c>
      <c r="M124" s="48">
        <v>7</v>
      </c>
      <c r="N124" s="192">
        <f t="shared" si="1"/>
        <v>520</v>
      </c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02">
        <v>1</v>
      </c>
      <c r="AV124" s="149"/>
      <c r="AW124" s="149"/>
      <c r="AX124" s="149"/>
      <c r="AY124" s="102">
        <v>1</v>
      </c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02">
        <v>1</v>
      </c>
      <c r="BJ124" s="149"/>
      <c r="BK124" s="149"/>
      <c r="BL124" s="149"/>
      <c r="BM124" s="102">
        <v>1</v>
      </c>
      <c r="BN124" s="149"/>
      <c r="BO124" s="149"/>
      <c r="BP124" s="149"/>
      <c r="BQ124" s="149"/>
      <c r="BR124" s="149"/>
      <c r="BS124" s="102">
        <v>1</v>
      </c>
      <c r="BT124" s="149"/>
      <c r="BU124" s="149"/>
      <c r="BV124" s="149"/>
      <c r="BW124" s="149"/>
      <c r="BX124" s="149"/>
      <c r="BY124" s="149"/>
      <c r="BZ124" s="154"/>
      <c r="CA124" s="149"/>
      <c r="CB124" s="149"/>
      <c r="CC124" s="149"/>
      <c r="CD124" s="149"/>
      <c r="CE124" s="149"/>
      <c r="CF124" s="154"/>
      <c r="CG124" s="149"/>
      <c r="CH124" s="149"/>
      <c r="CI124" s="149"/>
      <c r="CJ124" s="102">
        <v>1</v>
      </c>
      <c r="CK124" s="149"/>
      <c r="CL124" s="149"/>
      <c r="CM124" s="149"/>
      <c r="CN124" s="149"/>
      <c r="CO124" s="149"/>
      <c r="CP124" s="149"/>
      <c r="CQ124" s="149"/>
      <c r="CR124" s="149"/>
      <c r="CS124" s="149"/>
      <c r="CT124" s="149"/>
      <c r="CU124" s="149"/>
      <c r="CV124" s="149"/>
      <c r="CW124" s="149"/>
      <c r="CX124" s="149"/>
      <c r="CY124" s="149"/>
      <c r="CZ124" s="149"/>
      <c r="DA124" s="149"/>
      <c r="DB124" s="102">
        <v>1</v>
      </c>
      <c r="DC124" s="149"/>
      <c r="DD124" s="154"/>
      <c r="DE124" s="149"/>
      <c r="DF124" s="154"/>
    </row>
    <row r="125" spans="1:110" x14ac:dyDescent="0.35">
      <c r="A125" s="48" t="s">
        <v>172</v>
      </c>
      <c r="B125" s="154">
        <v>480</v>
      </c>
      <c r="C125" s="48">
        <v>81</v>
      </c>
      <c r="D125" s="76">
        <v>1.6</v>
      </c>
      <c r="E125" s="48">
        <v>26.5</v>
      </c>
      <c r="F125" s="48">
        <v>0</v>
      </c>
      <c r="G125" s="100">
        <v>45111</v>
      </c>
      <c r="H125" s="85">
        <v>250</v>
      </c>
      <c r="I125" s="48">
        <v>30</v>
      </c>
      <c r="J125" s="48">
        <v>2000</v>
      </c>
      <c r="K125" s="49">
        <v>4</v>
      </c>
      <c r="L125" s="48">
        <v>12</v>
      </c>
      <c r="M125" s="48">
        <v>18</v>
      </c>
      <c r="N125" s="192">
        <f t="shared" si="1"/>
        <v>1520</v>
      </c>
      <c r="O125" s="152"/>
      <c r="P125" s="152"/>
      <c r="Q125" s="152"/>
      <c r="R125" s="153">
        <v>3</v>
      </c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3">
        <v>1</v>
      </c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3">
        <v>1</v>
      </c>
      <c r="AW125" s="152"/>
      <c r="AX125" s="152"/>
      <c r="AY125" s="153">
        <v>1</v>
      </c>
      <c r="AZ125" s="152"/>
      <c r="BA125" s="153">
        <v>1</v>
      </c>
      <c r="BB125" s="153">
        <v>1</v>
      </c>
      <c r="BC125" s="152"/>
      <c r="BD125" s="152"/>
      <c r="BE125" s="152"/>
      <c r="BF125" s="152"/>
      <c r="BG125" s="152"/>
      <c r="BH125" s="152"/>
      <c r="BI125" s="152"/>
      <c r="BJ125" s="152"/>
      <c r="BK125" s="152"/>
      <c r="BL125" s="153">
        <v>1</v>
      </c>
      <c r="BM125" s="152"/>
      <c r="BN125" s="152"/>
      <c r="BO125" s="152"/>
      <c r="BP125" s="152"/>
      <c r="BQ125" s="152"/>
      <c r="BR125" s="152"/>
      <c r="BS125" s="152"/>
      <c r="BT125" s="152"/>
      <c r="BU125" s="152"/>
      <c r="BV125" s="152"/>
      <c r="BW125" s="152"/>
      <c r="BX125" s="152"/>
      <c r="BY125" s="153">
        <v>1</v>
      </c>
      <c r="BZ125" s="152"/>
      <c r="CA125" s="152"/>
      <c r="CB125" s="152"/>
      <c r="CC125" s="152"/>
      <c r="CD125" s="152"/>
      <c r="CE125" s="152"/>
      <c r="CF125" s="152"/>
      <c r="CG125" s="152"/>
      <c r="CH125" s="152"/>
      <c r="CI125" s="153">
        <v>1</v>
      </c>
      <c r="CJ125" s="153">
        <v>1</v>
      </c>
      <c r="CK125" s="152"/>
      <c r="CL125" s="152"/>
      <c r="CM125" s="152"/>
      <c r="CN125" s="152"/>
      <c r="CO125" s="152"/>
      <c r="CP125" s="152"/>
      <c r="CQ125" s="152"/>
      <c r="CR125" s="152"/>
      <c r="CS125" s="152"/>
      <c r="CT125" s="152"/>
      <c r="CU125" s="152"/>
      <c r="CV125" s="153">
        <v>1</v>
      </c>
      <c r="CW125" s="152"/>
      <c r="CX125" s="152"/>
      <c r="CY125" s="152"/>
      <c r="CZ125" s="152"/>
      <c r="DA125" s="153">
        <v>5</v>
      </c>
      <c r="DB125" s="152"/>
      <c r="DC125" s="152"/>
      <c r="DD125" s="152"/>
      <c r="DE125" s="152"/>
      <c r="DF125" s="152"/>
    </row>
    <row r="126" spans="1:110" x14ac:dyDescent="0.35">
      <c r="A126" s="48" t="s">
        <v>172</v>
      </c>
      <c r="B126" s="154">
        <v>580</v>
      </c>
      <c r="C126" s="48">
        <v>96</v>
      </c>
      <c r="D126" s="76">
        <v>1.1299999999999999</v>
      </c>
      <c r="E126" s="48">
        <v>26.4</v>
      </c>
      <c r="F126" s="48">
        <v>0</v>
      </c>
      <c r="G126" s="100">
        <v>45111</v>
      </c>
      <c r="H126" s="85">
        <v>250</v>
      </c>
      <c r="I126" s="48">
        <v>100</v>
      </c>
      <c r="J126" s="48">
        <v>2000</v>
      </c>
      <c r="K126" s="49">
        <v>3</v>
      </c>
      <c r="L126" s="48">
        <v>5</v>
      </c>
      <c r="M126" s="48">
        <v>5</v>
      </c>
      <c r="N126" s="192">
        <f t="shared" si="1"/>
        <v>1420</v>
      </c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3">
        <v>1</v>
      </c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3">
        <v>1</v>
      </c>
      <c r="AY126" s="153">
        <v>1</v>
      </c>
      <c r="AZ126" s="152"/>
      <c r="BA126" s="152"/>
      <c r="BB126" s="152"/>
      <c r="BC126" s="152"/>
      <c r="BD126" s="152"/>
      <c r="BE126" s="152"/>
      <c r="BF126" s="152"/>
      <c r="BG126" s="152"/>
      <c r="BH126" s="152"/>
      <c r="BI126" s="152"/>
      <c r="BJ126" s="152"/>
      <c r="BK126" s="152"/>
      <c r="BL126" s="153">
        <v>1</v>
      </c>
      <c r="BM126" s="152"/>
      <c r="BN126" s="152"/>
      <c r="BO126" s="152"/>
      <c r="BP126" s="152"/>
      <c r="BQ126" s="152"/>
      <c r="BR126" s="152"/>
      <c r="BS126" s="152"/>
      <c r="BT126" s="152"/>
      <c r="BU126" s="152"/>
      <c r="BV126" s="152"/>
      <c r="BW126" s="152"/>
      <c r="BX126" s="152"/>
      <c r="BY126" s="152"/>
      <c r="BZ126" s="152"/>
      <c r="CA126" s="152"/>
      <c r="CB126" s="152"/>
      <c r="CC126" s="152"/>
      <c r="CD126" s="152"/>
      <c r="CE126" s="152"/>
      <c r="CF126" s="152"/>
      <c r="CG126" s="152"/>
      <c r="CH126" s="153">
        <v>1</v>
      </c>
      <c r="CI126" s="152"/>
      <c r="CJ126" s="152"/>
      <c r="CK126" s="152"/>
      <c r="CL126" s="152"/>
      <c r="CM126" s="152"/>
      <c r="CN126" s="152"/>
      <c r="CO126" s="152"/>
      <c r="CP126" s="152"/>
      <c r="CQ126" s="152"/>
      <c r="CR126" s="152"/>
      <c r="CS126" s="152"/>
      <c r="CT126" s="152"/>
      <c r="CU126" s="152"/>
      <c r="CV126" s="152"/>
      <c r="CW126" s="152"/>
      <c r="CX126" s="152"/>
      <c r="CY126" s="152"/>
      <c r="CZ126" s="152"/>
      <c r="DA126" s="152"/>
      <c r="DB126" s="152"/>
      <c r="DC126" s="152"/>
      <c r="DD126" s="152"/>
      <c r="DE126" s="152"/>
      <c r="DF126" s="152"/>
    </row>
    <row r="127" spans="1:110" x14ac:dyDescent="0.35">
      <c r="A127" s="48" t="s">
        <v>172</v>
      </c>
      <c r="B127" s="154">
        <v>700</v>
      </c>
      <c r="C127" s="48">
        <v>99</v>
      </c>
      <c r="D127" s="76">
        <v>0.28000000000000003</v>
      </c>
      <c r="E127" s="48">
        <v>23.5</v>
      </c>
      <c r="F127" s="48">
        <v>0</v>
      </c>
      <c r="G127" s="100">
        <v>45142</v>
      </c>
      <c r="H127" s="85">
        <v>251</v>
      </c>
      <c r="I127" s="48">
        <v>100</v>
      </c>
      <c r="J127" s="48">
        <v>650</v>
      </c>
      <c r="K127" s="49">
        <v>5</v>
      </c>
      <c r="L127" s="48">
        <v>7</v>
      </c>
      <c r="M127" s="48">
        <v>10</v>
      </c>
      <c r="N127" s="192">
        <f t="shared" si="1"/>
        <v>50</v>
      </c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3">
        <v>1</v>
      </c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>
        <v>2</v>
      </c>
      <c r="AZ127" s="153">
        <v>1</v>
      </c>
      <c r="BA127" s="152"/>
      <c r="BB127" s="153">
        <v>1</v>
      </c>
      <c r="BC127" s="152"/>
      <c r="BD127" s="152"/>
      <c r="BE127" s="152"/>
      <c r="BF127" s="152"/>
      <c r="BG127" s="152"/>
      <c r="BH127" s="152"/>
      <c r="BI127" s="153">
        <v>1</v>
      </c>
      <c r="BJ127" s="152"/>
      <c r="BK127" s="152"/>
      <c r="BL127" s="152"/>
      <c r="BM127" s="152"/>
      <c r="BN127" s="152"/>
      <c r="BO127" s="152"/>
      <c r="BP127" s="152"/>
      <c r="BQ127" s="152"/>
      <c r="BR127" s="152"/>
      <c r="BS127" s="153">
        <v>1</v>
      </c>
      <c r="BT127" s="152"/>
      <c r="BU127" s="152"/>
      <c r="BV127" s="152"/>
      <c r="BW127" s="152"/>
      <c r="BX127" s="152"/>
      <c r="BY127" s="152"/>
      <c r="BZ127" s="152"/>
      <c r="CA127" s="152"/>
      <c r="CB127" s="152"/>
      <c r="CC127" s="152"/>
      <c r="CD127" s="152"/>
      <c r="CE127" s="152"/>
      <c r="CF127" s="152"/>
      <c r="CG127" s="152"/>
      <c r="CH127" s="152"/>
      <c r="CI127" s="153">
        <v>3</v>
      </c>
      <c r="CJ127" s="152"/>
      <c r="CK127" s="152"/>
      <c r="CL127" s="152"/>
      <c r="CM127" s="152"/>
      <c r="CN127" s="152"/>
      <c r="CO127" s="152"/>
      <c r="CP127" s="152"/>
      <c r="CQ127" s="152"/>
      <c r="CR127" s="152"/>
      <c r="CS127" s="152"/>
      <c r="CT127" s="152"/>
      <c r="CU127" s="152"/>
      <c r="CV127" s="152"/>
      <c r="CW127" s="152"/>
      <c r="CX127" s="152"/>
      <c r="CY127" s="152"/>
      <c r="CZ127" s="152"/>
      <c r="DA127" s="152"/>
      <c r="DB127" s="152"/>
      <c r="DC127" s="152"/>
      <c r="DD127" s="152"/>
      <c r="DE127" s="152"/>
      <c r="DF127" s="152"/>
    </row>
    <row r="128" spans="1:110" x14ac:dyDescent="0.35">
      <c r="A128" s="48" t="s">
        <v>172</v>
      </c>
      <c r="B128" s="154">
        <v>780</v>
      </c>
      <c r="C128" s="48">
        <v>96</v>
      </c>
      <c r="D128" s="76">
        <v>0.64</v>
      </c>
      <c r="E128" s="48">
        <v>24.9</v>
      </c>
      <c r="F128" s="48">
        <v>0</v>
      </c>
      <c r="G128" s="100">
        <v>45142</v>
      </c>
      <c r="H128" s="85">
        <v>251</v>
      </c>
      <c r="I128" s="48">
        <v>100</v>
      </c>
      <c r="J128" s="48">
        <v>650</v>
      </c>
      <c r="K128" s="49">
        <v>5</v>
      </c>
      <c r="L128" s="48">
        <v>9</v>
      </c>
      <c r="M128" s="48">
        <v>9</v>
      </c>
      <c r="N128" s="192">
        <f t="shared" si="1"/>
        <v>130</v>
      </c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3">
        <v>1</v>
      </c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3">
        <v>1</v>
      </c>
      <c r="AZ128" s="153">
        <v>1</v>
      </c>
      <c r="BA128" s="152"/>
      <c r="BB128" s="152"/>
      <c r="BC128" s="152"/>
      <c r="BD128" s="152"/>
      <c r="BE128" s="152"/>
      <c r="BF128" s="152"/>
      <c r="BG128" s="152"/>
      <c r="BH128" s="152"/>
      <c r="BI128" s="152"/>
      <c r="BJ128" s="152"/>
      <c r="BK128" s="152"/>
      <c r="BL128" s="153">
        <v>1</v>
      </c>
      <c r="BM128" s="152"/>
      <c r="BN128" s="152"/>
      <c r="BO128" s="152"/>
      <c r="BP128" s="152"/>
      <c r="BQ128" s="152"/>
      <c r="BR128" s="152"/>
      <c r="BS128" s="152"/>
      <c r="BT128" s="152"/>
      <c r="BU128" s="152"/>
      <c r="BV128" s="152"/>
      <c r="BW128" s="152"/>
      <c r="BX128" s="152"/>
      <c r="BY128" s="152"/>
      <c r="BZ128" s="152"/>
      <c r="CA128" s="152"/>
      <c r="CB128" s="152"/>
      <c r="CC128" s="152"/>
      <c r="CD128" s="152"/>
      <c r="CE128" s="152"/>
      <c r="CF128" s="152"/>
      <c r="CG128" s="152"/>
      <c r="CH128" s="153">
        <v>1</v>
      </c>
      <c r="CI128" s="153">
        <v>1</v>
      </c>
      <c r="CJ128" s="152"/>
      <c r="CK128" s="152"/>
      <c r="CL128" s="152"/>
      <c r="CM128" s="152"/>
      <c r="CN128" s="152"/>
      <c r="CO128" s="152"/>
      <c r="CP128" s="152"/>
      <c r="CQ128" s="152"/>
      <c r="CR128" s="152"/>
      <c r="CS128" s="153">
        <v>1</v>
      </c>
      <c r="CT128" s="152"/>
      <c r="CU128" s="153">
        <v>1</v>
      </c>
      <c r="CV128" s="152"/>
      <c r="CW128" s="153">
        <v>1</v>
      </c>
      <c r="CX128" s="152"/>
      <c r="CY128" s="152"/>
      <c r="CZ128" s="152"/>
      <c r="DA128" s="152"/>
      <c r="DB128" s="152"/>
      <c r="DC128" s="152"/>
      <c r="DD128" s="152"/>
      <c r="DE128" s="152"/>
      <c r="DF128" s="152"/>
    </row>
    <row r="129" spans="1:110" x14ac:dyDescent="0.35">
      <c r="A129" s="48" t="s">
        <v>172</v>
      </c>
      <c r="B129" s="154">
        <v>870</v>
      </c>
      <c r="C129" s="48">
        <v>98</v>
      </c>
      <c r="D129" s="76">
        <v>2.2799999999999998</v>
      </c>
      <c r="E129" s="48">
        <v>23.7</v>
      </c>
      <c r="F129" s="48">
        <v>0</v>
      </c>
      <c r="G129" s="100">
        <v>45142</v>
      </c>
      <c r="H129" s="85">
        <v>251</v>
      </c>
      <c r="I129" s="48">
        <v>100</v>
      </c>
      <c r="J129" s="48">
        <v>650</v>
      </c>
      <c r="K129" s="49">
        <v>3</v>
      </c>
      <c r="L129" s="48">
        <v>4</v>
      </c>
      <c r="M129" s="48">
        <v>4</v>
      </c>
      <c r="N129" s="192">
        <f t="shared" si="1"/>
        <v>220</v>
      </c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3">
        <v>1</v>
      </c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3">
        <v>1</v>
      </c>
      <c r="AZ129" s="152"/>
      <c r="BA129" s="152"/>
      <c r="BB129" s="152"/>
      <c r="BC129" s="152"/>
      <c r="BD129" s="152"/>
      <c r="BE129" s="152"/>
      <c r="BF129" s="152"/>
      <c r="BG129" s="152"/>
      <c r="BH129" s="152"/>
      <c r="BI129" s="152"/>
      <c r="BJ129" s="152"/>
      <c r="BK129" s="152"/>
      <c r="BL129" s="152"/>
      <c r="BM129" s="152"/>
      <c r="BN129" s="152"/>
      <c r="BO129" s="152"/>
      <c r="BP129" s="152"/>
      <c r="BQ129" s="152"/>
      <c r="BR129" s="152"/>
      <c r="BS129" s="152"/>
      <c r="BT129" s="152"/>
      <c r="BU129" s="152"/>
      <c r="BV129" s="152"/>
      <c r="BW129" s="152"/>
      <c r="BX129" s="152"/>
      <c r="BY129" s="152"/>
      <c r="BZ129" s="152"/>
      <c r="CA129" s="152"/>
      <c r="CB129" s="152"/>
      <c r="CC129" s="152"/>
      <c r="CD129" s="152"/>
      <c r="CE129" s="152"/>
      <c r="CF129" s="152"/>
      <c r="CG129" s="153">
        <v>1</v>
      </c>
      <c r="CH129" s="152"/>
      <c r="CI129" s="152"/>
      <c r="CJ129" s="152"/>
      <c r="CK129" s="152"/>
      <c r="CL129" s="152"/>
      <c r="CM129" s="152"/>
      <c r="CN129" s="152"/>
      <c r="CO129" s="152"/>
      <c r="CP129" s="152"/>
      <c r="CQ129" s="152"/>
      <c r="CR129" s="152"/>
      <c r="CS129" s="152"/>
      <c r="CT129" s="152"/>
      <c r="CU129" s="152"/>
      <c r="CV129" s="152"/>
      <c r="CW129" s="153">
        <v>1</v>
      </c>
      <c r="CX129" s="152"/>
      <c r="CY129" s="152"/>
      <c r="CZ129" s="152"/>
      <c r="DA129" s="152"/>
      <c r="DB129" s="152"/>
      <c r="DC129" s="152"/>
      <c r="DD129" s="152"/>
      <c r="DE129" s="152"/>
      <c r="DF129" s="152"/>
    </row>
    <row r="130" spans="1:110" x14ac:dyDescent="0.35">
      <c r="A130" s="48" t="s">
        <v>172</v>
      </c>
      <c r="B130" s="154">
        <v>1000</v>
      </c>
      <c r="C130" s="48">
        <v>99</v>
      </c>
      <c r="D130" s="76">
        <v>7.2350000000000003</v>
      </c>
      <c r="E130" s="48">
        <v>24.6</v>
      </c>
      <c r="F130" s="48">
        <v>1.4</v>
      </c>
      <c r="G130" s="100">
        <v>45142</v>
      </c>
      <c r="H130" s="85">
        <v>251</v>
      </c>
      <c r="I130" s="48">
        <v>100</v>
      </c>
      <c r="J130" s="48">
        <v>650</v>
      </c>
      <c r="K130" s="49">
        <v>3</v>
      </c>
      <c r="L130" s="48">
        <v>10</v>
      </c>
      <c r="M130" s="48">
        <v>16</v>
      </c>
      <c r="N130" s="192">
        <f t="shared" si="1"/>
        <v>350</v>
      </c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3">
        <v>1</v>
      </c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3">
        <v>1</v>
      </c>
      <c r="AZ130" s="152"/>
      <c r="BA130" s="152"/>
      <c r="BB130" s="152"/>
      <c r="BC130" s="152"/>
      <c r="BD130" s="152"/>
      <c r="BE130" s="152"/>
      <c r="BF130" s="152"/>
      <c r="BG130" s="152"/>
      <c r="BH130" s="152"/>
      <c r="BI130" s="153">
        <v>1</v>
      </c>
      <c r="BJ130" s="152"/>
      <c r="BK130" s="152"/>
      <c r="BL130" s="152"/>
      <c r="BM130" s="153">
        <v>1</v>
      </c>
      <c r="BN130" s="152"/>
      <c r="BO130" s="152"/>
      <c r="BP130" s="152"/>
      <c r="BQ130" s="152"/>
      <c r="BR130" s="152"/>
      <c r="BS130" s="153">
        <v>3</v>
      </c>
      <c r="BT130" s="153">
        <v>3</v>
      </c>
      <c r="BU130" s="152"/>
      <c r="BV130" s="152"/>
      <c r="BW130" s="152"/>
      <c r="BX130" s="153">
        <v>2</v>
      </c>
      <c r="BY130" s="152"/>
      <c r="BZ130" s="152"/>
      <c r="CA130" s="152"/>
      <c r="CB130" s="152"/>
      <c r="CC130" s="152"/>
      <c r="CD130" s="152"/>
      <c r="CE130" s="152"/>
      <c r="CF130" s="152"/>
      <c r="CG130" s="152"/>
      <c r="CH130" s="152"/>
      <c r="CI130" s="153">
        <v>1</v>
      </c>
      <c r="CJ130" s="153">
        <v>1</v>
      </c>
      <c r="CK130" s="152"/>
      <c r="CL130" s="152"/>
      <c r="CM130" s="152"/>
      <c r="CN130" s="152"/>
      <c r="CO130" s="152"/>
      <c r="CP130" s="152"/>
      <c r="CQ130" s="152"/>
      <c r="CR130" s="152"/>
      <c r="CS130" s="152"/>
      <c r="CT130" s="152"/>
      <c r="CU130" s="152"/>
      <c r="CV130" s="152"/>
      <c r="CW130" s="153">
        <v>2</v>
      </c>
      <c r="CX130" s="152"/>
      <c r="CY130" s="152"/>
      <c r="CZ130" s="152"/>
      <c r="DA130" s="152"/>
      <c r="DB130" s="152"/>
      <c r="DC130" s="152"/>
      <c r="DD130" s="152"/>
      <c r="DE130" s="152"/>
      <c r="DF130" s="152"/>
    </row>
    <row r="131" spans="1:110" x14ac:dyDescent="0.35">
      <c r="A131" s="48" t="s">
        <v>172</v>
      </c>
      <c r="B131" s="154">
        <v>1100</v>
      </c>
      <c r="C131" s="48">
        <v>78</v>
      </c>
      <c r="D131" s="76">
        <v>17.850000000000001</v>
      </c>
      <c r="E131" s="48">
        <v>26.8</v>
      </c>
      <c r="F131" s="48">
        <v>0.7</v>
      </c>
      <c r="G131" s="100">
        <v>45142</v>
      </c>
      <c r="H131" s="85">
        <v>251</v>
      </c>
      <c r="I131" s="48">
        <v>100</v>
      </c>
      <c r="J131" s="48">
        <v>650</v>
      </c>
      <c r="K131" s="49">
        <v>2</v>
      </c>
      <c r="L131" s="48">
        <v>3</v>
      </c>
      <c r="M131" s="48">
        <v>3</v>
      </c>
      <c r="N131" s="192">
        <f t="shared" ref="N131:N133" si="2">ABS(B131-J131)</f>
        <v>450</v>
      </c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3">
        <v>1</v>
      </c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  <c r="BG131" s="152"/>
      <c r="BH131" s="152"/>
      <c r="BI131" s="152"/>
      <c r="BJ131" s="152"/>
      <c r="BK131" s="152"/>
      <c r="BL131" s="152"/>
      <c r="BM131" s="152"/>
      <c r="BN131" s="152"/>
      <c r="BO131" s="152"/>
      <c r="BP131" s="152"/>
      <c r="BQ131" s="152"/>
      <c r="BR131" s="152"/>
      <c r="BS131" s="152"/>
      <c r="BT131" s="152"/>
      <c r="BU131" s="152"/>
      <c r="BV131" s="152"/>
      <c r="BW131" s="152"/>
      <c r="BX131" s="152"/>
      <c r="BY131" s="152"/>
      <c r="BZ131" s="153">
        <v>1</v>
      </c>
      <c r="CA131" s="152"/>
      <c r="CB131" s="152"/>
      <c r="CC131" s="152"/>
      <c r="CD131" s="152"/>
      <c r="CE131" s="152"/>
      <c r="CF131" s="152"/>
      <c r="CG131" s="152"/>
      <c r="CH131" s="152"/>
      <c r="CI131" s="152"/>
      <c r="CJ131" s="152"/>
      <c r="CK131" s="152"/>
      <c r="CL131" s="152"/>
      <c r="CM131" s="152"/>
      <c r="CN131" s="152"/>
      <c r="CO131" s="152"/>
      <c r="CP131" s="152"/>
      <c r="CQ131" s="152"/>
      <c r="CR131" s="152"/>
      <c r="CS131" s="152"/>
      <c r="CT131" s="152"/>
      <c r="CU131" s="152"/>
      <c r="CV131" s="152"/>
      <c r="CW131" s="152"/>
      <c r="CX131" s="152"/>
      <c r="CY131" s="153">
        <v>1</v>
      </c>
      <c r="CZ131" s="152"/>
      <c r="DA131" s="152"/>
      <c r="DB131" s="152"/>
      <c r="DC131" s="152"/>
      <c r="DD131" s="152"/>
      <c r="DE131" s="152"/>
      <c r="DF131" s="152"/>
    </row>
    <row r="132" spans="1:110" x14ac:dyDescent="0.35">
      <c r="A132" s="48" t="s">
        <v>172</v>
      </c>
      <c r="B132" s="154">
        <v>1250</v>
      </c>
      <c r="C132" s="48">
        <v>84</v>
      </c>
      <c r="D132" s="76">
        <v>0.5</v>
      </c>
      <c r="E132" s="48">
        <v>25.9</v>
      </c>
      <c r="F132" s="48">
        <v>0</v>
      </c>
      <c r="G132" s="100">
        <v>45173</v>
      </c>
      <c r="H132" s="85">
        <v>252</v>
      </c>
      <c r="I132" s="48">
        <v>100</v>
      </c>
      <c r="J132" s="48">
        <v>2000</v>
      </c>
      <c r="K132" s="49">
        <v>3</v>
      </c>
      <c r="L132" s="48">
        <v>4</v>
      </c>
      <c r="M132" s="48">
        <v>4</v>
      </c>
      <c r="N132" s="192">
        <f t="shared" si="2"/>
        <v>750</v>
      </c>
      <c r="O132" s="152"/>
      <c r="P132" s="152"/>
      <c r="Q132" s="152"/>
      <c r="R132" s="152"/>
      <c r="S132" s="152"/>
      <c r="T132" s="152"/>
      <c r="U132" s="152"/>
      <c r="V132" s="152"/>
      <c r="W132" s="152"/>
      <c r="X132" s="153">
        <v>1</v>
      </c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3">
        <v>1</v>
      </c>
      <c r="AZ132" s="152"/>
      <c r="BA132" s="152"/>
      <c r="BB132" s="152"/>
      <c r="BC132" s="152"/>
      <c r="BD132" s="152"/>
      <c r="BE132" s="152"/>
      <c r="BF132" s="152"/>
      <c r="BG132" s="152"/>
      <c r="BH132" s="152"/>
      <c r="BI132" s="152"/>
      <c r="BJ132" s="152"/>
      <c r="BK132" s="152"/>
      <c r="BL132" s="152"/>
      <c r="BM132" s="152"/>
      <c r="BN132" s="152"/>
      <c r="BO132" s="152"/>
      <c r="BP132" s="152"/>
      <c r="BQ132" s="152"/>
      <c r="BR132" s="152"/>
      <c r="BS132" s="152"/>
      <c r="BT132" s="152"/>
      <c r="BU132" s="152"/>
      <c r="BV132" s="152"/>
      <c r="BW132" s="152"/>
      <c r="BX132" s="152"/>
      <c r="BY132" s="152"/>
      <c r="BZ132" s="152"/>
      <c r="CA132" s="152"/>
      <c r="CB132" s="152"/>
      <c r="CC132" s="152"/>
      <c r="CD132" s="153">
        <v>1</v>
      </c>
      <c r="CE132" s="152"/>
      <c r="CF132" s="152"/>
      <c r="CG132" s="152"/>
      <c r="CH132" s="152"/>
      <c r="CI132" s="152"/>
      <c r="CJ132" s="152"/>
      <c r="CK132" s="152"/>
      <c r="CL132" s="152"/>
      <c r="CM132" s="152"/>
      <c r="CN132" s="152"/>
      <c r="CO132" s="152"/>
      <c r="CP132" s="152"/>
      <c r="CQ132" s="152"/>
      <c r="CR132" s="152"/>
      <c r="CS132" s="152"/>
      <c r="CT132" s="152"/>
      <c r="CU132" s="152"/>
      <c r="CV132" s="152"/>
      <c r="CW132" s="153">
        <v>1</v>
      </c>
      <c r="CX132" s="152"/>
      <c r="CY132" s="152"/>
      <c r="CZ132" s="152"/>
      <c r="DA132" s="152"/>
      <c r="DB132" s="152"/>
      <c r="DC132" s="152"/>
      <c r="DD132" s="152"/>
      <c r="DE132" s="152"/>
      <c r="DF132" s="152"/>
    </row>
    <row r="133" spans="1:110" x14ac:dyDescent="0.35">
      <c r="A133" s="48" t="s">
        <v>172</v>
      </c>
      <c r="B133" s="154">
        <v>1420</v>
      </c>
      <c r="C133" s="48">
        <v>83</v>
      </c>
      <c r="D133" s="76">
        <v>1.1299999999999999</v>
      </c>
      <c r="E133" s="48">
        <v>25.5</v>
      </c>
      <c r="F133" s="48">
        <v>0</v>
      </c>
      <c r="G133" s="100">
        <v>45173</v>
      </c>
      <c r="H133" s="85">
        <v>252</v>
      </c>
      <c r="I133" s="48">
        <v>100</v>
      </c>
      <c r="J133" s="48">
        <v>2000</v>
      </c>
      <c r="K133" s="49">
        <v>6</v>
      </c>
      <c r="L133" s="48">
        <v>9</v>
      </c>
      <c r="M133" s="48">
        <v>19</v>
      </c>
      <c r="N133" s="192">
        <f t="shared" si="2"/>
        <v>580</v>
      </c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3">
        <v>5</v>
      </c>
      <c r="AS133" s="152"/>
      <c r="AT133" s="152"/>
      <c r="AU133" s="152"/>
      <c r="AV133" s="152"/>
      <c r="AW133" s="152"/>
      <c r="AX133" s="152"/>
      <c r="AY133" s="153">
        <v>1</v>
      </c>
      <c r="AZ133" s="152"/>
      <c r="BA133" s="152"/>
      <c r="BB133" s="152"/>
      <c r="BC133" s="152"/>
      <c r="BD133" s="152"/>
      <c r="BE133" s="152"/>
      <c r="BF133" s="153">
        <v>2</v>
      </c>
      <c r="BG133" s="152"/>
      <c r="BH133" s="152"/>
      <c r="BI133" s="152"/>
      <c r="BJ133" s="152"/>
      <c r="BK133" s="152"/>
      <c r="BL133" s="152"/>
      <c r="BM133" s="152"/>
      <c r="BN133" s="153">
        <v>2</v>
      </c>
      <c r="BO133" s="153">
        <v>3</v>
      </c>
      <c r="BP133" s="152"/>
      <c r="BQ133" s="152"/>
      <c r="BR133" s="153">
        <v>2</v>
      </c>
      <c r="BS133" s="152"/>
      <c r="BT133" s="152"/>
      <c r="BU133" s="152"/>
      <c r="BV133" s="152"/>
      <c r="BW133" s="152"/>
      <c r="BX133" s="152"/>
      <c r="BY133" s="152"/>
      <c r="BZ133" s="152"/>
      <c r="CA133" s="152"/>
      <c r="CB133" s="152"/>
      <c r="CC133" s="152"/>
      <c r="CD133" s="153" t="s">
        <v>173</v>
      </c>
      <c r="CE133" s="152"/>
      <c r="CF133" s="152"/>
      <c r="CG133" s="152"/>
      <c r="CH133" s="152"/>
      <c r="CI133" s="152"/>
      <c r="CJ133" s="152"/>
      <c r="CK133" s="152"/>
      <c r="CL133" s="152"/>
      <c r="CM133" s="152"/>
      <c r="CN133" s="152"/>
      <c r="CO133" s="152"/>
      <c r="CP133" s="152"/>
      <c r="CQ133" s="152"/>
      <c r="CR133" s="152"/>
      <c r="CS133" s="153">
        <v>1</v>
      </c>
      <c r="CT133" s="152"/>
      <c r="CU133" s="152"/>
      <c r="CV133" s="152"/>
      <c r="CW133" s="152"/>
      <c r="CX133" s="153">
        <v>1</v>
      </c>
      <c r="CY133" s="152"/>
      <c r="CZ133" s="152"/>
      <c r="DA133" s="152"/>
      <c r="DB133" s="152"/>
      <c r="DC133" s="152"/>
      <c r="DD133" s="152"/>
      <c r="DE133" s="152"/>
      <c r="DF133" s="153">
        <v>2</v>
      </c>
    </row>
  </sheetData>
  <autoFilter ref="A1:DF1">
    <sortState ref="A2:DH134">
      <sortCondition ref="H1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topLeftCell="A103" workbookViewId="0">
      <selection activeCell="A42" sqref="A42:XFD42"/>
    </sheetView>
  </sheetViews>
  <sheetFormatPr defaultRowHeight="14.5" x14ac:dyDescent="0.35"/>
  <cols>
    <col min="1" max="1" width="8.7265625" style="83"/>
    <col min="2" max="2" width="13.54296875" style="83" customWidth="1"/>
    <col min="3" max="6" width="8.7265625" style="83"/>
    <col min="7" max="7" width="11.1796875" style="101" customWidth="1"/>
    <col min="8" max="16384" width="8.7265625" style="83"/>
  </cols>
  <sheetData>
    <row r="1" spans="1:13" ht="120" x14ac:dyDescent="0.35">
      <c r="A1" s="87" t="s">
        <v>196</v>
      </c>
      <c r="B1" s="87" t="s">
        <v>187</v>
      </c>
      <c r="C1" s="88" t="s">
        <v>188</v>
      </c>
      <c r="D1" s="89" t="s">
        <v>189</v>
      </c>
      <c r="E1" s="88" t="s">
        <v>190</v>
      </c>
      <c r="F1" s="88" t="s">
        <v>191</v>
      </c>
      <c r="G1" s="88" t="s">
        <v>10</v>
      </c>
      <c r="H1" s="88" t="s">
        <v>201</v>
      </c>
      <c r="I1" s="88" t="s">
        <v>192</v>
      </c>
      <c r="J1" s="88" t="s">
        <v>197</v>
      </c>
      <c r="K1" s="90" t="s">
        <v>194</v>
      </c>
      <c r="L1" s="84" t="s">
        <v>195</v>
      </c>
      <c r="M1" s="84" t="s">
        <v>175</v>
      </c>
    </row>
    <row r="2" spans="1:13" x14ac:dyDescent="0.35">
      <c r="A2" s="91" t="s">
        <v>146</v>
      </c>
      <c r="B2" s="95" t="s">
        <v>200</v>
      </c>
      <c r="C2" s="91">
        <v>94</v>
      </c>
      <c r="D2" s="96">
        <v>0.5</v>
      </c>
      <c r="E2" s="91">
        <v>24.8</v>
      </c>
      <c r="F2" s="91">
        <v>0</v>
      </c>
      <c r="G2" s="93" t="s">
        <v>149</v>
      </c>
      <c r="H2" s="93">
        <v>105</v>
      </c>
      <c r="I2" s="91">
        <v>100</v>
      </c>
      <c r="J2" s="91">
        <v>870</v>
      </c>
      <c r="K2" s="93">
        <v>5</v>
      </c>
      <c r="L2" s="84">
        <v>2</v>
      </c>
      <c r="M2" s="84">
        <v>6</v>
      </c>
    </row>
    <row r="3" spans="1:13" s="177" customFormat="1" x14ac:dyDescent="0.35">
      <c r="A3" s="172" t="s">
        <v>146</v>
      </c>
      <c r="B3" s="173" t="s">
        <v>181</v>
      </c>
      <c r="C3" s="172">
        <v>99</v>
      </c>
      <c r="D3" s="174">
        <v>7.59</v>
      </c>
      <c r="E3" s="172">
        <v>23.9</v>
      </c>
      <c r="F3" s="172">
        <v>0</v>
      </c>
      <c r="G3" s="175" t="s">
        <v>149</v>
      </c>
      <c r="H3" s="175">
        <v>105</v>
      </c>
      <c r="I3" s="172">
        <v>100</v>
      </c>
      <c r="J3" s="172">
        <v>870</v>
      </c>
      <c r="K3" s="175">
        <v>3</v>
      </c>
      <c r="L3" s="176">
        <v>5</v>
      </c>
      <c r="M3" s="176">
        <v>6</v>
      </c>
    </row>
    <row r="4" spans="1:13" x14ac:dyDescent="0.35">
      <c r="A4" s="91" t="s">
        <v>146</v>
      </c>
      <c r="B4" s="95" t="s">
        <v>198</v>
      </c>
      <c r="C4" s="111">
        <v>99</v>
      </c>
      <c r="D4" s="114">
        <v>13.05</v>
      </c>
      <c r="E4" s="91">
        <v>25.9</v>
      </c>
      <c r="F4" s="91">
        <v>0.45</v>
      </c>
      <c r="G4" s="93" t="s">
        <v>149</v>
      </c>
      <c r="H4" s="93">
        <v>105</v>
      </c>
      <c r="I4" s="91">
        <v>100</v>
      </c>
      <c r="J4" s="91">
        <v>870</v>
      </c>
      <c r="K4" s="93">
        <v>3</v>
      </c>
      <c r="L4" s="84">
        <v>4</v>
      </c>
      <c r="M4" s="84">
        <v>4</v>
      </c>
    </row>
    <row r="5" spans="1:13" x14ac:dyDescent="0.35">
      <c r="A5" s="91" t="s">
        <v>146</v>
      </c>
      <c r="B5" s="95" t="s">
        <v>199</v>
      </c>
      <c r="C5" s="111">
        <v>93</v>
      </c>
      <c r="D5" s="114">
        <v>6.64</v>
      </c>
      <c r="E5" s="91">
        <v>26</v>
      </c>
      <c r="F5" s="91">
        <v>0</v>
      </c>
      <c r="G5" s="93" t="s">
        <v>149</v>
      </c>
      <c r="H5" s="93">
        <v>105</v>
      </c>
      <c r="I5" s="91">
        <v>100</v>
      </c>
      <c r="J5" s="91">
        <v>870</v>
      </c>
      <c r="K5" s="93">
        <v>2</v>
      </c>
      <c r="L5" s="84">
        <v>7</v>
      </c>
      <c r="M5" s="84">
        <v>13</v>
      </c>
    </row>
    <row r="6" spans="1:13" x14ac:dyDescent="0.35">
      <c r="A6" s="91" t="s">
        <v>146</v>
      </c>
      <c r="B6" s="95" t="s">
        <v>186</v>
      </c>
      <c r="C6" s="91">
        <v>96</v>
      </c>
      <c r="D6" s="94">
        <v>15.05</v>
      </c>
      <c r="E6" s="91">
        <v>30.2</v>
      </c>
      <c r="F6" s="91">
        <v>0</v>
      </c>
      <c r="G6" s="93" t="s">
        <v>149</v>
      </c>
      <c r="H6" s="93">
        <v>105</v>
      </c>
      <c r="I6" s="91">
        <v>100</v>
      </c>
      <c r="J6" s="91">
        <v>2000</v>
      </c>
      <c r="K6" s="93">
        <v>6</v>
      </c>
      <c r="L6" s="84">
        <v>2</v>
      </c>
      <c r="M6" s="84">
        <v>6</v>
      </c>
    </row>
    <row r="7" spans="1:13" x14ac:dyDescent="0.35">
      <c r="A7" s="91" t="s">
        <v>146</v>
      </c>
      <c r="B7" s="95" t="s">
        <v>200</v>
      </c>
      <c r="C7" s="115">
        <v>94</v>
      </c>
      <c r="D7" s="117">
        <v>0.5</v>
      </c>
      <c r="E7" s="91">
        <v>23</v>
      </c>
      <c r="F7" s="91">
        <v>0</v>
      </c>
      <c r="G7" s="93" t="s">
        <v>150</v>
      </c>
      <c r="H7" s="93">
        <v>108</v>
      </c>
      <c r="I7" s="91">
        <v>100</v>
      </c>
      <c r="J7" s="91">
        <v>2000</v>
      </c>
      <c r="K7" s="93">
        <v>5</v>
      </c>
      <c r="L7" s="84">
        <v>5</v>
      </c>
      <c r="M7" s="84">
        <v>5</v>
      </c>
    </row>
    <row r="8" spans="1:13" x14ac:dyDescent="0.35">
      <c r="A8" s="91" t="s">
        <v>146</v>
      </c>
      <c r="B8" s="95" t="s">
        <v>200</v>
      </c>
      <c r="C8" s="115">
        <v>94</v>
      </c>
      <c r="D8" s="117">
        <v>0.5</v>
      </c>
      <c r="E8" s="91">
        <v>22</v>
      </c>
      <c r="F8" s="91">
        <v>0</v>
      </c>
      <c r="G8" s="93" t="s">
        <v>151</v>
      </c>
      <c r="H8" s="93">
        <v>111</v>
      </c>
      <c r="I8" s="91">
        <v>100</v>
      </c>
      <c r="J8" s="91">
        <v>2000</v>
      </c>
      <c r="K8" s="93">
        <v>5</v>
      </c>
      <c r="L8" s="84">
        <v>1</v>
      </c>
      <c r="M8" s="84">
        <v>1</v>
      </c>
    </row>
    <row r="9" spans="1:13" x14ac:dyDescent="0.35">
      <c r="A9" s="91" t="s">
        <v>146</v>
      </c>
      <c r="B9" s="95" t="s">
        <v>176</v>
      </c>
      <c r="C9" s="91">
        <v>99</v>
      </c>
      <c r="D9" s="117">
        <v>0.27700000000000002</v>
      </c>
      <c r="E9" s="91">
        <v>26.4</v>
      </c>
      <c r="F9" s="91">
        <v>0</v>
      </c>
      <c r="G9" s="93" t="s">
        <v>147</v>
      </c>
      <c r="H9" s="93">
        <v>117</v>
      </c>
      <c r="I9" s="91">
        <v>100</v>
      </c>
      <c r="J9" s="91">
        <v>2000</v>
      </c>
      <c r="K9" s="93">
        <v>4</v>
      </c>
      <c r="L9" s="84">
        <v>6</v>
      </c>
      <c r="M9" s="84">
        <v>22</v>
      </c>
    </row>
    <row r="10" spans="1:13" x14ac:dyDescent="0.35">
      <c r="A10" s="91" t="s">
        <v>146</v>
      </c>
      <c r="B10" s="95" t="s">
        <v>199</v>
      </c>
      <c r="C10" s="91">
        <v>59</v>
      </c>
      <c r="D10" s="94">
        <v>39.5</v>
      </c>
      <c r="E10" s="91">
        <v>31.13</v>
      </c>
      <c r="F10" s="91">
        <v>2.1</v>
      </c>
      <c r="G10" s="93" t="s">
        <v>152</v>
      </c>
      <c r="H10" s="93">
        <v>118</v>
      </c>
      <c r="I10" s="91">
        <v>100</v>
      </c>
      <c r="J10" s="91">
        <v>2000</v>
      </c>
      <c r="K10" s="93">
        <v>2</v>
      </c>
      <c r="L10" s="84">
        <v>4</v>
      </c>
      <c r="M10" s="84">
        <v>9</v>
      </c>
    </row>
    <row r="11" spans="1:13" x14ac:dyDescent="0.35">
      <c r="A11" s="91" t="s">
        <v>146</v>
      </c>
      <c r="B11" s="95" t="s">
        <v>199</v>
      </c>
      <c r="C11" s="91">
        <v>80</v>
      </c>
      <c r="D11" s="94">
        <v>6.56</v>
      </c>
      <c r="E11" s="91">
        <v>23.9</v>
      </c>
      <c r="F11" s="91">
        <v>0</v>
      </c>
      <c r="G11" s="93" t="s">
        <v>152</v>
      </c>
      <c r="H11" s="93">
        <v>118</v>
      </c>
      <c r="I11" s="91">
        <v>100</v>
      </c>
      <c r="J11" s="91">
        <v>2000</v>
      </c>
      <c r="K11" s="93">
        <v>2</v>
      </c>
      <c r="L11" s="84">
        <v>0</v>
      </c>
      <c r="M11" s="84">
        <v>0</v>
      </c>
    </row>
    <row r="12" spans="1:13" x14ac:dyDescent="0.35">
      <c r="A12" s="91" t="s">
        <v>146</v>
      </c>
      <c r="B12" s="95" t="s">
        <v>183</v>
      </c>
      <c r="C12" s="91">
        <v>79</v>
      </c>
      <c r="D12" s="94">
        <v>15.5</v>
      </c>
      <c r="E12" s="91">
        <v>28.3</v>
      </c>
      <c r="F12" s="91">
        <v>0</v>
      </c>
      <c r="G12" s="93" t="s">
        <v>152</v>
      </c>
      <c r="H12" s="93">
        <v>118</v>
      </c>
      <c r="I12" s="91">
        <v>100</v>
      </c>
      <c r="J12" s="91">
        <v>1360</v>
      </c>
      <c r="K12" s="93">
        <v>3</v>
      </c>
      <c r="L12" s="84">
        <v>3</v>
      </c>
      <c r="M12" s="84">
        <v>3</v>
      </c>
    </row>
    <row r="13" spans="1:13" x14ac:dyDescent="0.35">
      <c r="A13" s="91" t="s">
        <v>146</v>
      </c>
      <c r="B13" s="95" t="s">
        <v>183</v>
      </c>
      <c r="C13" s="91">
        <v>79</v>
      </c>
      <c r="D13" s="94">
        <v>4.87</v>
      </c>
      <c r="E13" s="91">
        <v>25.2</v>
      </c>
      <c r="F13" s="91">
        <v>0</v>
      </c>
      <c r="G13" s="93" t="s">
        <v>152</v>
      </c>
      <c r="H13" s="93">
        <v>118</v>
      </c>
      <c r="I13" s="91">
        <v>100</v>
      </c>
      <c r="J13" s="91">
        <v>2000</v>
      </c>
      <c r="K13" s="93">
        <v>3</v>
      </c>
      <c r="L13" s="84">
        <v>0</v>
      </c>
      <c r="M13" s="84">
        <v>0</v>
      </c>
    </row>
    <row r="14" spans="1:13" s="177" customFormat="1" x14ac:dyDescent="0.35">
      <c r="A14" s="172" t="s">
        <v>146</v>
      </c>
      <c r="B14" s="173" t="s">
        <v>185</v>
      </c>
      <c r="C14" s="172">
        <v>86</v>
      </c>
      <c r="D14" s="174">
        <v>19.5</v>
      </c>
      <c r="E14" s="172">
        <v>27.4</v>
      </c>
      <c r="F14" s="172">
        <v>2.9</v>
      </c>
      <c r="G14" s="175" t="s">
        <v>152</v>
      </c>
      <c r="H14" s="175">
        <v>118</v>
      </c>
      <c r="I14" s="172">
        <v>100</v>
      </c>
      <c r="J14" s="172">
        <v>1360</v>
      </c>
      <c r="K14" s="175">
        <v>1</v>
      </c>
      <c r="L14" s="176">
        <v>3</v>
      </c>
      <c r="M14" s="176">
        <v>5</v>
      </c>
    </row>
    <row r="15" spans="1:13" x14ac:dyDescent="0.35">
      <c r="A15" s="91" t="s">
        <v>146</v>
      </c>
      <c r="B15" s="95" t="s">
        <v>186</v>
      </c>
      <c r="C15" s="91">
        <v>79</v>
      </c>
      <c r="D15" s="94">
        <v>0.56999999999999995</v>
      </c>
      <c r="E15" s="91">
        <v>24.8</v>
      </c>
      <c r="F15" s="91">
        <v>0</v>
      </c>
      <c r="G15" s="93" t="s">
        <v>152</v>
      </c>
      <c r="H15" s="93">
        <v>118</v>
      </c>
      <c r="I15" s="91">
        <v>100</v>
      </c>
      <c r="J15" s="91">
        <v>1360</v>
      </c>
      <c r="K15" s="93">
        <v>6</v>
      </c>
      <c r="L15" s="84">
        <v>3</v>
      </c>
      <c r="M15" s="84">
        <v>4</v>
      </c>
    </row>
    <row r="16" spans="1:13" x14ac:dyDescent="0.35">
      <c r="A16" s="91" t="s">
        <v>146</v>
      </c>
      <c r="B16" s="91" t="s">
        <v>186</v>
      </c>
      <c r="C16" s="91">
        <v>57</v>
      </c>
      <c r="D16" s="94">
        <v>153.19999999999999</v>
      </c>
      <c r="E16" s="91">
        <v>30.2</v>
      </c>
      <c r="F16" s="91">
        <v>0.4</v>
      </c>
      <c r="G16" s="93" t="s">
        <v>152</v>
      </c>
      <c r="H16" s="93">
        <v>118</v>
      </c>
      <c r="I16" s="91">
        <v>100</v>
      </c>
      <c r="J16" s="91">
        <v>2000</v>
      </c>
      <c r="K16" s="93">
        <v>6</v>
      </c>
      <c r="L16" s="84">
        <v>2</v>
      </c>
      <c r="M16" s="84">
        <v>3</v>
      </c>
    </row>
    <row r="17" spans="1:13" x14ac:dyDescent="0.35">
      <c r="A17" s="91" t="s">
        <v>153</v>
      </c>
      <c r="B17" s="95" t="s">
        <v>176</v>
      </c>
      <c r="C17" s="91">
        <v>98</v>
      </c>
      <c r="D17" s="94">
        <v>7.54</v>
      </c>
      <c r="E17" s="91">
        <v>25.8</v>
      </c>
      <c r="F17" s="91">
        <v>0</v>
      </c>
      <c r="G17" s="97">
        <v>44877</v>
      </c>
      <c r="H17" s="93">
        <v>133</v>
      </c>
      <c r="I17" s="91">
        <v>100</v>
      </c>
      <c r="J17" s="91">
        <v>2000</v>
      </c>
      <c r="K17" s="93">
        <v>4</v>
      </c>
      <c r="L17" s="84">
        <v>5</v>
      </c>
      <c r="M17" s="84">
        <v>7</v>
      </c>
    </row>
    <row r="18" spans="1:13" x14ac:dyDescent="0.35">
      <c r="A18" s="91" t="s">
        <v>153</v>
      </c>
      <c r="B18" s="95" t="s">
        <v>180</v>
      </c>
      <c r="C18" s="91">
        <v>61</v>
      </c>
      <c r="D18" s="94">
        <v>4.78</v>
      </c>
      <c r="E18" s="91">
        <v>28.7</v>
      </c>
      <c r="F18" s="91">
        <v>0</v>
      </c>
      <c r="G18" s="118">
        <v>44877</v>
      </c>
      <c r="H18" s="93">
        <v>133</v>
      </c>
      <c r="I18" s="91">
        <v>100</v>
      </c>
      <c r="J18" s="91">
        <v>2000</v>
      </c>
      <c r="K18" s="93">
        <v>5</v>
      </c>
      <c r="L18" s="84">
        <v>0</v>
      </c>
      <c r="M18" s="84">
        <v>0</v>
      </c>
    </row>
    <row r="19" spans="1:13" x14ac:dyDescent="0.35">
      <c r="A19" s="91" t="s">
        <v>153</v>
      </c>
      <c r="B19" s="95" t="s">
        <v>181</v>
      </c>
      <c r="C19" s="91">
        <v>55</v>
      </c>
      <c r="D19" s="94">
        <v>55.3</v>
      </c>
      <c r="E19" s="91">
        <v>30.2</v>
      </c>
      <c r="F19" s="91">
        <v>0</v>
      </c>
      <c r="G19" s="118">
        <v>44877</v>
      </c>
      <c r="H19" s="93">
        <v>133</v>
      </c>
      <c r="I19" s="91">
        <v>100</v>
      </c>
      <c r="J19" s="91">
        <v>2000</v>
      </c>
      <c r="K19" s="93">
        <v>3</v>
      </c>
      <c r="L19" s="84">
        <v>0</v>
      </c>
      <c r="M19" s="84">
        <v>0</v>
      </c>
    </row>
    <row r="20" spans="1:13" x14ac:dyDescent="0.35">
      <c r="A20" s="91" t="s">
        <v>153</v>
      </c>
      <c r="B20" s="112" t="s">
        <v>198</v>
      </c>
      <c r="C20" s="91">
        <v>58</v>
      </c>
      <c r="D20" s="94">
        <v>30.1</v>
      </c>
      <c r="E20" s="91">
        <v>29.1</v>
      </c>
      <c r="F20" s="91">
        <v>0</v>
      </c>
      <c r="G20" s="97">
        <v>44877</v>
      </c>
      <c r="H20" s="93">
        <v>133</v>
      </c>
      <c r="I20" s="91">
        <v>98.75</v>
      </c>
      <c r="J20" s="91">
        <v>2000</v>
      </c>
      <c r="K20" s="93">
        <v>3</v>
      </c>
      <c r="L20" s="84">
        <v>2</v>
      </c>
      <c r="M20" s="84">
        <v>2</v>
      </c>
    </row>
    <row r="21" spans="1:13" s="177" customFormat="1" x14ac:dyDescent="0.35">
      <c r="A21" s="172" t="s">
        <v>153</v>
      </c>
      <c r="B21" s="173" t="s">
        <v>199</v>
      </c>
      <c r="C21" s="172">
        <v>77</v>
      </c>
      <c r="D21" s="178">
        <v>1.79</v>
      </c>
      <c r="E21" s="172">
        <v>23.98</v>
      </c>
      <c r="F21" s="172">
        <v>0.83</v>
      </c>
      <c r="G21" s="179" t="s">
        <v>157</v>
      </c>
      <c r="H21" s="175">
        <v>143</v>
      </c>
      <c r="I21" s="172">
        <v>100</v>
      </c>
      <c r="J21" s="172">
        <v>1100</v>
      </c>
      <c r="K21" s="175">
        <v>2</v>
      </c>
      <c r="L21" s="176">
        <v>3</v>
      </c>
      <c r="M21" s="176">
        <v>3</v>
      </c>
    </row>
    <row r="22" spans="1:13" x14ac:dyDescent="0.35">
      <c r="A22" s="91" t="s">
        <v>153</v>
      </c>
      <c r="B22" s="95" t="s">
        <v>199</v>
      </c>
      <c r="C22" s="91">
        <v>98</v>
      </c>
      <c r="D22" s="96">
        <v>3.05</v>
      </c>
      <c r="E22" s="91">
        <v>21.7</v>
      </c>
      <c r="F22" s="91">
        <v>0.9</v>
      </c>
      <c r="G22" s="97" t="s">
        <v>157</v>
      </c>
      <c r="H22" s="93">
        <v>143</v>
      </c>
      <c r="I22" s="91">
        <v>100</v>
      </c>
      <c r="J22" s="91">
        <v>2000</v>
      </c>
      <c r="K22" s="93">
        <v>2</v>
      </c>
      <c r="L22" s="84">
        <v>1</v>
      </c>
      <c r="M22" s="84">
        <v>1</v>
      </c>
    </row>
    <row r="23" spans="1:13" x14ac:dyDescent="0.35">
      <c r="A23" s="91" t="s">
        <v>153</v>
      </c>
      <c r="B23" s="95" t="s">
        <v>183</v>
      </c>
      <c r="C23" s="91">
        <v>95</v>
      </c>
      <c r="D23" s="94">
        <v>10.69</v>
      </c>
      <c r="E23" s="91">
        <v>22.8</v>
      </c>
      <c r="F23" s="91">
        <v>1.2</v>
      </c>
      <c r="G23" s="118" t="s">
        <v>157</v>
      </c>
      <c r="H23" s="93">
        <v>143</v>
      </c>
      <c r="I23" s="91">
        <v>100</v>
      </c>
      <c r="J23" s="91">
        <v>1100</v>
      </c>
      <c r="K23" s="93">
        <v>3</v>
      </c>
      <c r="L23" s="84">
        <v>4</v>
      </c>
      <c r="M23" s="84">
        <v>7</v>
      </c>
    </row>
    <row r="24" spans="1:13" x14ac:dyDescent="0.35">
      <c r="A24" s="91" t="s">
        <v>153</v>
      </c>
      <c r="B24" s="112" t="s">
        <v>183</v>
      </c>
      <c r="C24" s="91">
        <v>98</v>
      </c>
      <c r="D24" s="94">
        <v>3.61</v>
      </c>
      <c r="E24" s="91">
        <v>23</v>
      </c>
      <c r="F24" s="91">
        <v>0</v>
      </c>
      <c r="G24" s="97" t="s">
        <v>157</v>
      </c>
      <c r="H24" s="93">
        <v>143</v>
      </c>
      <c r="I24" s="91">
        <v>100</v>
      </c>
      <c r="J24" s="91">
        <v>2000</v>
      </c>
      <c r="K24" s="93">
        <v>3</v>
      </c>
      <c r="L24" s="84">
        <v>0</v>
      </c>
      <c r="M24" s="84">
        <v>0</v>
      </c>
    </row>
    <row r="25" spans="1:13" x14ac:dyDescent="0.35">
      <c r="A25" s="91" t="s">
        <v>153</v>
      </c>
      <c r="B25" s="95" t="s">
        <v>185</v>
      </c>
      <c r="C25" s="91">
        <v>80</v>
      </c>
      <c r="D25" s="96">
        <v>14.7</v>
      </c>
      <c r="E25" s="91">
        <v>24.13</v>
      </c>
      <c r="F25" s="91">
        <v>2.1</v>
      </c>
      <c r="G25" s="97" t="s">
        <v>157</v>
      </c>
      <c r="H25" s="93">
        <v>143</v>
      </c>
      <c r="I25" s="91">
        <v>100</v>
      </c>
      <c r="J25" s="91">
        <v>1420</v>
      </c>
      <c r="K25" s="93">
        <v>1</v>
      </c>
      <c r="L25" s="84">
        <v>3</v>
      </c>
      <c r="M25" s="84">
        <v>11</v>
      </c>
    </row>
    <row r="26" spans="1:13" x14ac:dyDescent="0.35">
      <c r="A26" s="91" t="s">
        <v>153</v>
      </c>
      <c r="B26" s="112" t="s">
        <v>185</v>
      </c>
      <c r="C26" s="91">
        <v>99</v>
      </c>
      <c r="D26" s="94">
        <v>8.2799999999999994</v>
      </c>
      <c r="E26" s="91">
        <v>24.2</v>
      </c>
      <c r="F26" s="91">
        <v>0</v>
      </c>
      <c r="G26" s="118" t="s">
        <v>157</v>
      </c>
      <c r="H26" s="93">
        <v>143</v>
      </c>
      <c r="I26" s="91">
        <v>100</v>
      </c>
      <c r="J26" s="91">
        <v>2000</v>
      </c>
      <c r="K26" s="93">
        <v>1</v>
      </c>
      <c r="L26" s="84">
        <v>0</v>
      </c>
      <c r="M26" s="84">
        <v>0</v>
      </c>
    </row>
    <row r="27" spans="1:13" s="177" customFormat="1" x14ac:dyDescent="0.35">
      <c r="A27" s="172" t="s">
        <v>153</v>
      </c>
      <c r="B27" s="173" t="s">
        <v>186</v>
      </c>
      <c r="C27" s="172">
        <v>95</v>
      </c>
      <c r="D27" s="174">
        <v>1.44</v>
      </c>
      <c r="E27" s="172">
        <v>25.1</v>
      </c>
      <c r="F27" s="172">
        <v>0</v>
      </c>
      <c r="G27" s="179" t="s">
        <v>157</v>
      </c>
      <c r="H27" s="175">
        <v>143</v>
      </c>
      <c r="I27" s="172">
        <v>100</v>
      </c>
      <c r="J27" s="172">
        <v>1420</v>
      </c>
      <c r="K27" s="175">
        <v>6</v>
      </c>
      <c r="L27" s="176">
        <v>2</v>
      </c>
      <c r="M27" s="176">
        <v>7</v>
      </c>
    </row>
    <row r="28" spans="1:13" x14ac:dyDescent="0.35">
      <c r="A28" s="91" t="s">
        <v>153</v>
      </c>
      <c r="B28" s="95" t="s">
        <v>186</v>
      </c>
      <c r="C28" s="91">
        <v>99</v>
      </c>
      <c r="D28" s="94">
        <v>0.63</v>
      </c>
      <c r="E28" s="91">
        <v>25.1</v>
      </c>
      <c r="F28" s="91">
        <v>0</v>
      </c>
      <c r="G28" s="118" t="s">
        <v>157</v>
      </c>
      <c r="H28" s="93">
        <v>143</v>
      </c>
      <c r="I28" s="91">
        <v>100</v>
      </c>
      <c r="J28" s="91">
        <v>2000</v>
      </c>
      <c r="K28" s="93">
        <v>6</v>
      </c>
      <c r="L28" s="84">
        <v>3</v>
      </c>
      <c r="M28" s="84">
        <v>8</v>
      </c>
    </row>
    <row r="29" spans="1:13" x14ac:dyDescent="0.35">
      <c r="A29" s="91" t="s">
        <v>153</v>
      </c>
      <c r="B29" s="116" t="s">
        <v>200</v>
      </c>
      <c r="C29" s="91">
        <v>98</v>
      </c>
      <c r="D29" s="94">
        <v>3.69</v>
      </c>
      <c r="E29" s="91">
        <v>22.35</v>
      </c>
      <c r="F29" s="91">
        <v>0</v>
      </c>
      <c r="G29" s="97" t="s">
        <v>155</v>
      </c>
      <c r="H29" s="93">
        <v>144</v>
      </c>
      <c r="I29" s="91">
        <v>0</v>
      </c>
      <c r="J29" s="91">
        <v>870</v>
      </c>
      <c r="K29" s="93">
        <v>5</v>
      </c>
      <c r="L29" s="84">
        <v>3</v>
      </c>
      <c r="M29" s="84">
        <v>7</v>
      </c>
    </row>
    <row r="30" spans="1:13" x14ac:dyDescent="0.35">
      <c r="A30" s="91" t="s">
        <v>153</v>
      </c>
      <c r="B30" s="95" t="s">
        <v>200</v>
      </c>
      <c r="C30" s="91">
        <v>98</v>
      </c>
      <c r="D30" s="114">
        <v>3.69</v>
      </c>
      <c r="E30" s="91">
        <v>22.35</v>
      </c>
      <c r="F30" s="91">
        <v>0</v>
      </c>
      <c r="G30" s="113" t="s">
        <v>155</v>
      </c>
      <c r="H30" s="93">
        <v>144</v>
      </c>
      <c r="I30" s="91">
        <v>0</v>
      </c>
      <c r="J30" s="91">
        <v>870</v>
      </c>
      <c r="K30" s="93">
        <v>5</v>
      </c>
      <c r="L30" s="84">
        <v>13</v>
      </c>
      <c r="M30" s="84">
        <v>14</v>
      </c>
    </row>
    <row r="31" spans="1:13" x14ac:dyDescent="0.35">
      <c r="A31" s="91" t="s">
        <v>153</v>
      </c>
      <c r="B31" s="95" t="s">
        <v>180</v>
      </c>
      <c r="C31" s="91">
        <v>85</v>
      </c>
      <c r="D31" s="114">
        <v>3.81</v>
      </c>
      <c r="E31" s="91">
        <v>25</v>
      </c>
      <c r="F31" s="91">
        <v>0</v>
      </c>
      <c r="G31" s="113" t="s">
        <v>155</v>
      </c>
      <c r="H31" s="93">
        <v>144</v>
      </c>
      <c r="I31" s="91">
        <v>78.33</v>
      </c>
      <c r="J31" s="111">
        <v>870</v>
      </c>
      <c r="K31" s="93">
        <v>5</v>
      </c>
      <c r="L31" s="84">
        <v>3</v>
      </c>
      <c r="M31" s="84">
        <v>3</v>
      </c>
    </row>
    <row r="32" spans="1:13" s="177" customFormat="1" x14ac:dyDescent="0.35">
      <c r="A32" s="172" t="s">
        <v>153</v>
      </c>
      <c r="B32" s="173" t="s">
        <v>181</v>
      </c>
      <c r="C32" s="172">
        <v>85</v>
      </c>
      <c r="D32" s="174">
        <v>13.84</v>
      </c>
      <c r="E32" s="172">
        <v>26.7</v>
      </c>
      <c r="F32" s="172">
        <v>0</v>
      </c>
      <c r="G32" s="175" t="s">
        <v>155</v>
      </c>
      <c r="H32" s="175">
        <v>144</v>
      </c>
      <c r="I32" s="172">
        <v>100</v>
      </c>
      <c r="J32" s="172">
        <v>870</v>
      </c>
      <c r="K32" s="175">
        <v>3</v>
      </c>
      <c r="L32" s="176">
        <v>4</v>
      </c>
      <c r="M32" s="176">
        <v>6</v>
      </c>
    </row>
    <row r="33" spans="1:13" x14ac:dyDescent="0.35">
      <c r="A33" s="91" t="s">
        <v>153</v>
      </c>
      <c r="B33" s="95" t="s">
        <v>198</v>
      </c>
      <c r="C33" s="91">
        <v>90</v>
      </c>
      <c r="D33" s="114">
        <v>8.44</v>
      </c>
      <c r="E33" s="91">
        <v>27.4</v>
      </c>
      <c r="F33" s="91">
        <v>0.8</v>
      </c>
      <c r="G33" s="113" t="s">
        <v>155</v>
      </c>
      <c r="H33" s="93">
        <v>144</v>
      </c>
      <c r="I33" s="91">
        <v>100</v>
      </c>
      <c r="J33" s="91">
        <v>870</v>
      </c>
      <c r="K33" s="93">
        <v>3</v>
      </c>
      <c r="L33" s="84">
        <v>12</v>
      </c>
      <c r="M33" s="84">
        <v>17</v>
      </c>
    </row>
    <row r="34" spans="1:13" x14ac:dyDescent="0.35">
      <c r="A34" s="91" t="s">
        <v>153</v>
      </c>
      <c r="B34" s="95" t="s">
        <v>200</v>
      </c>
      <c r="C34" s="91">
        <v>65</v>
      </c>
      <c r="D34" s="117">
        <v>3.5000000000000003E-2</v>
      </c>
      <c r="E34" s="91">
        <v>25.7</v>
      </c>
      <c r="F34" s="91">
        <v>0</v>
      </c>
      <c r="G34" s="97" t="s">
        <v>156</v>
      </c>
      <c r="H34" s="93">
        <v>145</v>
      </c>
      <c r="I34" s="91">
        <v>100</v>
      </c>
      <c r="J34" s="91">
        <v>2000</v>
      </c>
      <c r="K34" s="93">
        <v>5</v>
      </c>
      <c r="L34" s="84">
        <v>3</v>
      </c>
      <c r="M34" s="84">
        <v>3</v>
      </c>
    </row>
    <row r="35" spans="1:13" x14ac:dyDescent="0.35">
      <c r="A35" s="91" t="s">
        <v>153</v>
      </c>
      <c r="B35" s="95" t="s">
        <v>180</v>
      </c>
      <c r="C35" s="91">
        <v>50</v>
      </c>
      <c r="D35" s="117">
        <v>0.7</v>
      </c>
      <c r="E35" s="91">
        <v>26.3</v>
      </c>
      <c r="F35" s="91">
        <v>0</v>
      </c>
      <c r="G35" s="97" t="s">
        <v>156</v>
      </c>
      <c r="H35" s="93">
        <v>145</v>
      </c>
      <c r="I35" s="91">
        <v>100</v>
      </c>
      <c r="J35" s="91">
        <v>2000</v>
      </c>
      <c r="K35" s="93">
        <v>5</v>
      </c>
      <c r="L35" s="84">
        <v>2</v>
      </c>
      <c r="M35" s="84">
        <v>5</v>
      </c>
    </row>
    <row r="36" spans="1:13" x14ac:dyDescent="0.35">
      <c r="A36" s="91" t="s">
        <v>153</v>
      </c>
      <c r="B36" s="116" t="s">
        <v>199</v>
      </c>
      <c r="C36" s="91">
        <v>78</v>
      </c>
      <c r="D36" s="117">
        <v>20.350000000000001</v>
      </c>
      <c r="E36" s="91">
        <v>22.55</v>
      </c>
      <c r="F36" s="91">
        <v>0</v>
      </c>
      <c r="G36" s="97" t="s">
        <v>156</v>
      </c>
      <c r="H36" s="93">
        <v>145</v>
      </c>
      <c r="I36" s="91">
        <v>38.33</v>
      </c>
      <c r="J36" s="104">
        <v>1420</v>
      </c>
      <c r="K36" s="93">
        <v>2</v>
      </c>
      <c r="L36" s="84">
        <v>6</v>
      </c>
      <c r="M36" s="84">
        <v>14</v>
      </c>
    </row>
    <row r="37" spans="1:13" x14ac:dyDescent="0.35">
      <c r="A37" s="91" t="s">
        <v>153</v>
      </c>
      <c r="B37" s="95" t="s">
        <v>199</v>
      </c>
      <c r="C37" s="91">
        <v>77</v>
      </c>
      <c r="D37" s="117">
        <v>12.54</v>
      </c>
      <c r="E37" s="91">
        <v>25.3</v>
      </c>
      <c r="F37" s="91">
        <v>1</v>
      </c>
      <c r="G37" s="97" t="s">
        <v>156</v>
      </c>
      <c r="H37" s="93">
        <v>145</v>
      </c>
      <c r="I37" s="91">
        <v>100</v>
      </c>
      <c r="J37" s="91">
        <v>2000</v>
      </c>
      <c r="K37" s="93">
        <v>2</v>
      </c>
      <c r="L37" s="84">
        <v>1</v>
      </c>
      <c r="M37" s="84">
        <v>5</v>
      </c>
    </row>
    <row r="38" spans="1:13" x14ac:dyDescent="0.35">
      <c r="A38" s="91" t="s">
        <v>153</v>
      </c>
      <c r="B38" s="95" t="s">
        <v>183</v>
      </c>
      <c r="C38" s="91">
        <v>95</v>
      </c>
      <c r="D38" s="114">
        <v>5.99</v>
      </c>
      <c r="E38" s="91">
        <v>25.7</v>
      </c>
      <c r="F38" s="91">
        <v>0</v>
      </c>
      <c r="G38" s="97" t="s">
        <v>156</v>
      </c>
      <c r="H38" s="93">
        <v>145</v>
      </c>
      <c r="I38" s="91">
        <v>100</v>
      </c>
      <c r="J38" s="91">
        <v>1420</v>
      </c>
      <c r="K38" s="93">
        <v>3</v>
      </c>
      <c r="L38" s="84">
        <v>5</v>
      </c>
      <c r="M38" s="84">
        <v>7</v>
      </c>
    </row>
    <row r="39" spans="1:13" x14ac:dyDescent="0.35">
      <c r="A39" s="91" t="s">
        <v>153</v>
      </c>
      <c r="B39" s="95" t="s">
        <v>183</v>
      </c>
      <c r="C39" s="91">
        <v>80</v>
      </c>
      <c r="D39" s="114">
        <v>6.89</v>
      </c>
      <c r="E39" s="91">
        <v>24.3</v>
      </c>
      <c r="F39" s="91">
        <v>0.87</v>
      </c>
      <c r="G39" s="97" t="s">
        <v>156</v>
      </c>
      <c r="H39" s="93">
        <v>145</v>
      </c>
      <c r="I39" s="91">
        <v>100</v>
      </c>
      <c r="J39" s="91">
        <v>2000</v>
      </c>
      <c r="K39" s="93">
        <v>3</v>
      </c>
      <c r="L39" s="84">
        <v>2</v>
      </c>
      <c r="M39" s="84">
        <v>2</v>
      </c>
    </row>
    <row r="40" spans="1:13" x14ac:dyDescent="0.35">
      <c r="A40" s="91" t="s">
        <v>153</v>
      </c>
      <c r="B40" s="116" t="s">
        <v>185</v>
      </c>
      <c r="C40" s="91">
        <v>99</v>
      </c>
      <c r="D40" s="117">
        <v>12.46</v>
      </c>
      <c r="E40" s="91">
        <v>22.9</v>
      </c>
      <c r="F40" s="91">
        <v>0</v>
      </c>
      <c r="G40" s="97" t="s">
        <v>156</v>
      </c>
      <c r="H40" s="93">
        <v>145</v>
      </c>
      <c r="I40" s="91">
        <v>100</v>
      </c>
      <c r="J40" s="91">
        <v>1420</v>
      </c>
      <c r="K40" s="93">
        <v>1</v>
      </c>
      <c r="L40" s="84">
        <v>4</v>
      </c>
      <c r="M40" s="84">
        <v>5</v>
      </c>
    </row>
    <row r="41" spans="1:13" x14ac:dyDescent="0.35">
      <c r="A41" s="91" t="s">
        <v>153</v>
      </c>
      <c r="B41" s="92" t="s">
        <v>185</v>
      </c>
      <c r="C41" s="91">
        <v>99</v>
      </c>
      <c r="D41" s="94">
        <v>7.19</v>
      </c>
      <c r="E41" s="91">
        <v>23.4</v>
      </c>
      <c r="F41" s="91">
        <v>1.5</v>
      </c>
      <c r="G41" s="97" t="s">
        <v>156</v>
      </c>
      <c r="H41" s="93">
        <v>145</v>
      </c>
      <c r="I41" s="91">
        <v>100</v>
      </c>
      <c r="J41" s="91">
        <v>2000</v>
      </c>
      <c r="K41" s="93">
        <v>1</v>
      </c>
      <c r="L41" s="84">
        <v>0</v>
      </c>
      <c r="M41" s="84">
        <v>0</v>
      </c>
    </row>
    <row r="42" spans="1:13" s="177" customFormat="1" x14ac:dyDescent="0.35">
      <c r="A42" s="172" t="s">
        <v>153</v>
      </c>
      <c r="B42" s="173" t="s">
        <v>186</v>
      </c>
      <c r="C42" s="172">
        <v>99</v>
      </c>
      <c r="D42" s="174">
        <v>0.54</v>
      </c>
      <c r="E42" s="172">
        <v>21.9</v>
      </c>
      <c r="F42" s="172">
        <v>0</v>
      </c>
      <c r="G42" s="179" t="s">
        <v>156</v>
      </c>
      <c r="H42" s="175">
        <v>145</v>
      </c>
      <c r="I42" s="172">
        <v>100</v>
      </c>
      <c r="J42" s="172">
        <v>1420</v>
      </c>
      <c r="K42" s="175">
        <v>6</v>
      </c>
      <c r="L42" s="176">
        <v>3</v>
      </c>
      <c r="M42" s="176">
        <v>3</v>
      </c>
    </row>
    <row r="43" spans="1:13" x14ac:dyDescent="0.35">
      <c r="A43" s="91" t="s">
        <v>153</v>
      </c>
      <c r="B43" s="95" t="s">
        <v>186</v>
      </c>
      <c r="C43" s="91">
        <v>99</v>
      </c>
      <c r="D43" s="94">
        <v>1.67</v>
      </c>
      <c r="E43" s="91">
        <v>25.2</v>
      </c>
      <c r="F43" s="91">
        <v>0</v>
      </c>
      <c r="G43" s="97" t="s">
        <v>156</v>
      </c>
      <c r="H43" s="93">
        <v>145</v>
      </c>
      <c r="I43" s="91">
        <v>100</v>
      </c>
      <c r="J43" s="91">
        <v>2000</v>
      </c>
      <c r="K43" s="93">
        <v>6</v>
      </c>
      <c r="L43" s="84">
        <v>3</v>
      </c>
      <c r="M43" s="84">
        <v>4</v>
      </c>
    </row>
    <row r="44" spans="1:13" x14ac:dyDescent="0.35">
      <c r="A44" s="91" t="s">
        <v>153</v>
      </c>
      <c r="B44" s="95" t="s">
        <v>176</v>
      </c>
      <c r="C44" s="91">
        <v>99</v>
      </c>
      <c r="D44" s="94">
        <v>6.06</v>
      </c>
      <c r="E44" s="91">
        <v>25.35</v>
      </c>
      <c r="F44" s="91">
        <v>0</v>
      </c>
      <c r="G44" s="113" t="s">
        <v>154</v>
      </c>
      <c r="H44" s="93">
        <v>146</v>
      </c>
      <c r="I44" s="91">
        <v>100</v>
      </c>
      <c r="J44" s="91">
        <v>580</v>
      </c>
      <c r="K44" s="93">
        <v>4</v>
      </c>
      <c r="L44" s="84">
        <v>9</v>
      </c>
      <c r="M44" s="84">
        <v>9</v>
      </c>
    </row>
    <row r="45" spans="1:13" s="177" customFormat="1" x14ac:dyDescent="0.35">
      <c r="A45" s="172" t="s">
        <v>153</v>
      </c>
      <c r="B45" s="173" t="s">
        <v>177</v>
      </c>
      <c r="C45" s="172">
        <v>98</v>
      </c>
      <c r="D45" s="174">
        <v>0.77</v>
      </c>
      <c r="E45" s="172">
        <v>22.6</v>
      </c>
      <c r="F45" s="172">
        <v>0</v>
      </c>
      <c r="G45" s="175" t="s">
        <v>154</v>
      </c>
      <c r="H45" s="175">
        <v>146</v>
      </c>
      <c r="I45" s="172">
        <v>100</v>
      </c>
      <c r="J45" s="172">
        <v>580</v>
      </c>
      <c r="K45" s="175">
        <v>3</v>
      </c>
      <c r="L45" s="176">
        <v>8</v>
      </c>
      <c r="M45" s="176">
        <v>14</v>
      </c>
    </row>
    <row r="46" spans="1:13" x14ac:dyDescent="0.35">
      <c r="A46" s="91" t="s">
        <v>158</v>
      </c>
      <c r="B46" s="95" t="s">
        <v>183</v>
      </c>
      <c r="C46" s="91">
        <v>77</v>
      </c>
      <c r="D46" s="94">
        <v>19</v>
      </c>
      <c r="E46" s="91">
        <v>23.9</v>
      </c>
      <c r="F46" s="91">
        <v>0</v>
      </c>
      <c r="G46" s="97">
        <v>45078</v>
      </c>
      <c r="H46" s="86">
        <v>159</v>
      </c>
      <c r="I46" s="91">
        <v>100</v>
      </c>
      <c r="J46" s="91">
        <v>2000</v>
      </c>
      <c r="K46" s="93">
        <v>3</v>
      </c>
      <c r="L46" s="84">
        <v>4</v>
      </c>
      <c r="M46" s="84">
        <v>13</v>
      </c>
    </row>
    <row r="47" spans="1:13" x14ac:dyDescent="0.35">
      <c r="A47" s="91" t="s">
        <v>158</v>
      </c>
      <c r="B47" s="95" t="s">
        <v>176</v>
      </c>
      <c r="C47" s="91">
        <v>96</v>
      </c>
      <c r="D47" s="94">
        <v>1.1399999999999999</v>
      </c>
      <c r="E47" s="91">
        <v>26.4</v>
      </c>
      <c r="F47" s="91">
        <v>0</v>
      </c>
      <c r="G47" s="97">
        <v>45108</v>
      </c>
      <c r="H47" s="86">
        <v>160</v>
      </c>
      <c r="I47" s="91">
        <v>22</v>
      </c>
      <c r="J47" s="91">
        <v>550</v>
      </c>
      <c r="K47" s="93">
        <v>4</v>
      </c>
      <c r="L47" s="84">
        <v>4</v>
      </c>
      <c r="M47" s="84">
        <v>7</v>
      </c>
    </row>
    <row r="48" spans="1:13" x14ac:dyDescent="0.35">
      <c r="A48" s="91" t="s">
        <v>158</v>
      </c>
      <c r="B48" s="95" t="s">
        <v>200</v>
      </c>
      <c r="C48" s="91">
        <v>87</v>
      </c>
      <c r="D48" s="94">
        <v>0.03</v>
      </c>
      <c r="E48" s="91">
        <v>23.2</v>
      </c>
      <c r="F48" s="91">
        <v>0</v>
      </c>
      <c r="G48" s="97">
        <v>45108</v>
      </c>
      <c r="H48" s="86">
        <v>160</v>
      </c>
      <c r="I48" s="91">
        <v>100</v>
      </c>
      <c r="J48" s="91">
        <v>2000</v>
      </c>
      <c r="K48" s="93">
        <v>5</v>
      </c>
      <c r="L48" s="84">
        <v>3</v>
      </c>
      <c r="M48" s="84">
        <v>3</v>
      </c>
    </row>
    <row r="49" spans="1:13" s="177" customFormat="1" x14ac:dyDescent="0.35">
      <c r="A49" s="172" t="s">
        <v>158</v>
      </c>
      <c r="B49" s="173" t="s">
        <v>200</v>
      </c>
      <c r="C49" s="172">
        <v>89</v>
      </c>
      <c r="D49" s="174">
        <v>2.74</v>
      </c>
      <c r="E49" s="172">
        <v>23.5</v>
      </c>
      <c r="F49" s="172">
        <v>0</v>
      </c>
      <c r="G49" s="179" t="s">
        <v>162</v>
      </c>
      <c r="H49" s="180">
        <v>167</v>
      </c>
      <c r="I49" s="172">
        <v>0</v>
      </c>
      <c r="J49" s="172">
        <v>700</v>
      </c>
      <c r="K49" s="175">
        <v>5</v>
      </c>
      <c r="L49" s="176">
        <v>13</v>
      </c>
      <c r="M49" s="176">
        <v>16</v>
      </c>
    </row>
    <row r="50" spans="1:13" x14ac:dyDescent="0.35">
      <c r="A50" s="91" t="s">
        <v>158</v>
      </c>
      <c r="B50" s="95" t="s">
        <v>180</v>
      </c>
      <c r="C50" s="91">
        <v>88</v>
      </c>
      <c r="D50" s="94">
        <v>0.69</v>
      </c>
      <c r="E50" s="91">
        <v>23.4</v>
      </c>
      <c r="F50" s="91">
        <v>6</v>
      </c>
      <c r="G50" s="97" t="s">
        <v>162</v>
      </c>
      <c r="H50" s="86">
        <v>167</v>
      </c>
      <c r="I50" s="91">
        <v>100</v>
      </c>
      <c r="J50" s="91">
        <v>700</v>
      </c>
      <c r="K50" s="93">
        <v>5</v>
      </c>
      <c r="L50" s="84">
        <v>8</v>
      </c>
      <c r="M50" s="84">
        <v>9</v>
      </c>
    </row>
    <row r="51" spans="1:13" x14ac:dyDescent="0.35">
      <c r="A51" s="91" t="s">
        <v>158</v>
      </c>
      <c r="B51" s="95" t="s">
        <v>181</v>
      </c>
      <c r="C51" s="91">
        <v>80</v>
      </c>
      <c r="D51" s="94">
        <v>51.6</v>
      </c>
      <c r="E51" s="91">
        <v>28.7</v>
      </c>
      <c r="F51" s="91">
        <v>2.5</v>
      </c>
      <c r="G51" s="97" t="s">
        <v>162</v>
      </c>
      <c r="H51" s="86">
        <v>167</v>
      </c>
      <c r="I51" s="91">
        <v>0</v>
      </c>
      <c r="J51" s="91">
        <v>700</v>
      </c>
      <c r="K51" s="93">
        <v>3</v>
      </c>
      <c r="L51" s="84">
        <v>5</v>
      </c>
      <c r="M51" s="84">
        <v>5</v>
      </c>
    </row>
    <row r="52" spans="1:13" x14ac:dyDescent="0.35">
      <c r="A52" s="91" t="s">
        <v>158</v>
      </c>
      <c r="B52" s="95" t="s">
        <v>198</v>
      </c>
      <c r="C52" s="91">
        <v>71</v>
      </c>
      <c r="D52" s="94">
        <v>7.17</v>
      </c>
      <c r="E52" s="91">
        <v>26.1</v>
      </c>
      <c r="F52" s="91">
        <v>1.9</v>
      </c>
      <c r="G52" s="97" t="s">
        <v>162</v>
      </c>
      <c r="H52" s="86">
        <v>167</v>
      </c>
      <c r="I52" s="91">
        <v>0</v>
      </c>
      <c r="J52" s="91">
        <v>700</v>
      </c>
      <c r="K52" s="93">
        <v>3</v>
      </c>
      <c r="L52" s="84">
        <v>9</v>
      </c>
      <c r="M52" s="84">
        <v>11</v>
      </c>
    </row>
    <row r="53" spans="1:13" x14ac:dyDescent="0.35">
      <c r="A53" s="91" t="s">
        <v>158</v>
      </c>
      <c r="B53" s="95" t="s">
        <v>199</v>
      </c>
      <c r="C53" s="91">
        <v>66</v>
      </c>
      <c r="D53" s="94">
        <v>6.27</v>
      </c>
      <c r="E53" s="91">
        <v>26.2</v>
      </c>
      <c r="F53" s="91">
        <v>0.8</v>
      </c>
      <c r="G53" s="97" t="s">
        <v>162</v>
      </c>
      <c r="H53" s="86">
        <v>167</v>
      </c>
      <c r="I53" s="91">
        <v>100</v>
      </c>
      <c r="J53" s="91">
        <v>2000</v>
      </c>
      <c r="K53" s="93">
        <v>2</v>
      </c>
      <c r="L53" s="84">
        <v>1</v>
      </c>
      <c r="M53" s="84">
        <v>1</v>
      </c>
    </row>
    <row r="54" spans="1:13" x14ac:dyDescent="0.35">
      <c r="A54" s="91" t="s">
        <v>158</v>
      </c>
      <c r="B54" s="95" t="s">
        <v>183</v>
      </c>
      <c r="C54" s="91">
        <v>74</v>
      </c>
      <c r="D54" s="94">
        <v>1.52</v>
      </c>
      <c r="E54" s="91">
        <v>19.829999999999998</v>
      </c>
      <c r="F54" s="91">
        <v>0.85</v>
      </c>
      <c r="G54" s="97" t="s">
        <v>162</v>
      </c>
      <c r="H54" s="86">
        <v>167</v>
      </c>
      <c r="I54" s="91">
        <v>100</v>
      </c>
      <c r="J54" s="91">
        <v>2000</v>
      </c>
      <c r="K54" s="93">
        <v>3</v>
      </c>
      <c r="L54" s="84">
        <v>2</v>
      </c>
      <c r="M54" s="84">
        <v>2</v>
      </c>
    </row>
    <row r="55" spans="1:13" x14ac:dyDescent="0.35">
      <c r="A55" s="91" t="s">
        <v>158</v>
      </c>
      <c r="B55" s="95" t="s">
        <v>185</v>
      </c>
      <c r="C55" s="91">
        <v>80</v>
      </c>
      <c r="D55" s="94">
        <v>6.81</v>
      </c>
      <c r="E55" s="91">
        <v>19.03</v>
      </c>
      <c r="F55" s="91">
        <v>1.8</v>
      </c>
      <c r="G55" s="118" t="s">
        <v>162</v>
      </c>
      <c r="H55" s="86">
        <v>167</v>
      </c>
      <c r="I55" s="91">
        <v>100</v>
      </c>
      <c r="J55" s="91">
        <v>2000</v>
      </c>
      <c r="K55" s="93">
        <v>1</v>
      </c>
      <c r="L55" s="84">
        <v>2</v>
      </c>
      <c r="M55" s="84">
        <v>4</v>
      </c>
    </row>
    <row r="56" spans="1:13" x14ac:dyDescent="0.35">
      <c r="A56" s="91" t="s">
        <v>158</v>
      </c>
      <c r="B56" s="95" t="s">
        <v>186</v>
      </c>
      <c r="C56" s="91">
        <v>87</v>
      </c>
      <c r="D56" s="94">
        <v>0.16</v>
      </c>
      <c r="E56" s="91">
        <v>20.2</v>
      </c>
      <c r="F56" s="91">
        <v>0</v>
      </c>
      <c r="G56" s="97" t="s">
        <v>162</v>
      </c>
      <c r="H56" s="86">
        <v>167</v>
      </c>
      <c r="I56" s="91">
        <v>100</v>
      </c>
      <c r="J56" s="91">
        <v>2000</v>
      </c>
      <c r="K56" s="93">
        <v>6</v>
      </c>
      <c r="L56" s="84">
        <v>6</v>
      </c>
      <c r="M56" s="84">
        <v>6</v>
      </c>
    </row>
    <row r="57" spans="1:13" x14ac:dyDescent="0.35">
      <c r="A57" s="91" t="s">
        <v>158</v>
      </c>
      <c r="B57" s="95" t="s">
        <v>200</v>
      </c>
      <c r="C57" s="91">
        <v>85</v>
      </c>
      <c r="D57" s="94">
        <v>0.04</v>
      </c>
      <c r="E57" s="91">
        <v>23.2</v>
      </c>
      <c r="F57" s="91">
        <v>0</v>
      </c>
      <c r="G57" s="97" t="s">
        <v>163</v>
      </c>
      <c r="H57" s="86">
        <v>168</v>
      </c>
      <c r="I57" s="91">
        <v>50</v>
      </c>
      <c r="J57" s="91">
        <v>2000</v>
      </c>
      <c r="K57" s="93">
        <v>5</v>
      </c>
      <c r="L57" s="84">
        <v>1</v>
      </c>
      <c r="M57" s="84">
        <v>1</v>
      </c>
    </row>
    <row r="58" spans="1:13" x14ac:dyDescent="0.35">
      <c r="A58" s="91" t="s">
        <v>158</v>
      </c>
      <c r="B58" s="95" t="s">
        <v>180</v>
      </c>
      <c r="C58" s="91">
        <v>88</v>
      </c>
      <c r="D58" s="94">
        <v>1.86</v>
      </c>
      <c r="E58" s="91">
        <v>27.2</v>
      </c>
      <c r="F58" s="91">
        <v>0.6</v>
      </c>
      <c r="G58" s="113" t="s">
        <v>163</v>
      </c>
      <c r="H58" s="86">
        <v>168</v>
      </c>
      <c r="I58" s="91">
        <v>100</v>
      </c>
      <c r="J58" s="91">
        <v>2000</v>
      </c>
      <c r="K58" s="93">
        <v>5</v>
      </c>
      <c r="L58" s="84">
        <v>4</v>
      </c>
      <c r="M58" s="84">
        <v>4</v>
      </c>
    </row>
    <row r="59" spans="1:13" x14ac:dyDescent="0.35">
      <c r="A59" s="91" t="s">
        <v>158</v>
      </c>
      <c r="B59" s="95" t="s">
        <v>199</v>
      </c>
      <c r="C59" s="84">
        <v>72</v>
      </c>
      <c r="D59" s="84">
        <v>17.850000000000001</v>
      </c>
      <c r="E59" s="84">
        <v>26.9</v>
      </c>
      <c r="F59" s="84">
        <v>1.6</v>
      </c>
      <c r="G59" s="93" t="s">
        <v>163</v>
      </c>
      <c r="H59" s="86">
        <v>168</v>
      </c>
      <c r="I59" s="84">
        <v>90</v>
      </c>
      <c r="J59" s="91">
        <v>700</v>
      </c>
      <c r="K59" s="93">
        <v>2</v>
      </c>
      <c r="L59" s="84">
        <v>2</v>
      </c>
      <c r="M59" s="84">
        <v>3</v>
      </c>
    </row>
    <row r="60" spans="1:13" x14ac:dyDescent="0.35">
      <c r="A60" s="91" t="s">
        <v>158</v>
      </c>
      <c r="B60" s="95" t="s">
        <v>183</v>
      </c>
      <c r="C60" s="91">
        <v>99</v>
      </c>
      <c r="D60" s="94">
        <v>29.59</v>
      </c>
      <c r="E60" s="91">
        <v>24.9</v>
      </c>
      <c r="F60" s="91">
        <v>0.65</v>
      </c>
      <c r="G60" s="113" t="s">
        <v>163</v>
      </c>
      <c r="H60" s="86">
        <v>168</v>
      </c>
      <c r="I60" s="91">
        <v>99</v>
      </c>
      <c r="J60" s="91">
        <v>700</v>
      </c>
      <c r="K60" s="93">
        <v>3</v>
      </c>
      <c r="L60" s="84">
        <v>4</v>
      </c>
      <c r="M60" s="84">
        <v>7</v>
      </c>
    </row>
    <row r="61" spans="1:13" x14ac:dyDescent="0.35">
      <c r="A61" s="91" t="s">
        <v>158</v>
      </c>
      <c r="B61" s="95" t="s">
        <v>185</v>
      </c>
      <c r="C61" s="91">
        <v>99</v>
      </c>
      <c r="D61" s="94">
        <v>27.94</v>
      </c>
      <c r="E61" s="91">
        <v>22.3</v>
      </c>
      <c r="F61" s="91">
        <v>1.2</v>
      </c>
      <c r="G61" s="113" t="s">
        <v>163</v>
      </c>
      <c r="H61" s="86">
        <v>168</v>
      </c>
      <c r="I61" s="91">
        <v>100</v>
      </c>
      <c r="J61" s="91">
        <v>700</v>
      </c>
      <c r="K61" s="93">
        <v>1</v>
      </c>
      <c r="L61" s="84">
        <v>5</v>
      </c>
      <c r="M61" s="84">
        <v>15</v>
      </c>
    </row>
    <row r="62" spans="1:13" x14ac:dyDescent="0.35">
      <c r="A62" s="91" t="s">
        <v>158</v>
      </c>
      <c r="B62" s="95" t="s">
        <v>186</v>
      </c>
      <c r="C62" s="91">
        <v>95</v>
      </c>
      <c r="D62" s="94">
        <v>0.4</v>
      </c>
      <c r="E62" s="91">
        <v>17.100000000000001</v>
      </c>
      <c r="F62" s="91">
        <v>0</v>
      </c>
      <c r="G62" s="93" t="s">
        <v>163</v>
      </c>
      <c r="H62" s="86">
        <v>168</v>
      </c>
      <c r="I62" s="91">
        <v>0</v>
      </c>
      <c r="J62" s="91">
        <v>700</v>
      </c>
      <c r="K62" s="93">
        <v>6</v>
      </c>
      <c r="L62" s="84">
        <v>10</v>
      </c>
      <c r="M62" s="84">
        <v>33</v>
      </c>
    </row>
    <row r="63" spans="1:13" x14ac:dyDescent="0.35">
      <c r="A63" s="91" t="s">
        <v>158</v>
      </c>
      <c r="B63" s="95" t="s">
        <v>186</v>
      </c>
      <c r="C63" s="91">
        <v>95</v>
      </c>
      <c r="D63" s="94">
        <v>0.41</v>
      </c>
      <c r="E63" s="91">
        <v>17.100000000000001</v>
      </c>
      <c r="F63" s="91">
        <v>0</v>
      </c>
      <c r="G63" s="113" t="s">
        <v>163</v>
      </c>
      <c r="H63" s="86">
        <v>168</v>
      </c>
      <c r="I63" s="91">
        <v>100</v>
      </c>
      <c r="J63" s="91">
        <v>700</v>
      </c>
      <c r="K63" s="93">
        <v>6</v>
      </c>
      <c r="L63" s="84">
        <v>8</v>
      </c>
      <c r="M63" s="84">
        <v>11</v>
      </c>
    </row>
    <row r="64" spans="1:13" x14ac:dyDescent="0.35">
      <c r="A64" s="91" t="s">
        <v>158</v>
      </c>
      <c r="B64" s="95" t="s">
        <v>178</v>
      </c>
      <c r="C64" s="91">
        <v>99</v>
      </c>
      <c r="D64" s="94">
        <v>6.93</v>
      </c>
      <c r="E64" s="91">
        <v>23.5</v>
      </c>
      <c r="F64" s="91">
        <v>0</v>
      </c>
      <c r="G64" s="118" t="s">
        <v>159</v>
      </c>
      <c r="H64" s="86">
        <v>169</v>
      </c>
      <c r="I64" s="91">
        <v>98</v>
      </c>
      <c r="J64" s="91">
        <v>2000</v>
      </c>
      <c r="K64" s="93">
        <v>3</v>
      </c>
      <c r="L64" s="84">
        <v>7</v>
      </c>
      <c r="M64" s="84">
        <v>7</v>
      </c>
    </row>
    <row r="65" spans="1:13" x14ac:dyDescent="0.35">
      <c r="A65" s="91" t="s">
        <v>158</v>
      </c>
      <c r="B65" s="95" t="s">
        <v>200</v>
      </c>
      <c r="C65" s="91">
        <v>99</v>
      </c>
      <c r="D65" s="94">
        <v>0.32</v>
      </c>
      <c r="E65" s="91">
        <v>21.5</v>
      </c>
      <c r="F65" s="91">
        <v>0</v>
      </c>
      <c r="G65" s="97" t="s">
        <v>159</v>
      </c>
      <c r="H65" s="86">
        <v>169</v>
      </c>
      <c r="I65" s="91">
        <v>100</v>
      </c>
      <c r="J65" s="91">
        <v>2000</v>
      </c>
      <c r="K65" s="93">
        <v>5</v>
      </c>
      <c r="L65" s="84">
        <v>3</v>
      </c>
      <c r="M65" s="84">
        <v>3</v>
      </c>
    </row>
    <row r="66" spans="1:13" x14ac:dyDescent="0.35">
      <c r="A66" s="91" t="s">
        <v>158</v>
      </c>
      <c r="B66" s="95" t="s">
        <v>176</v>
      </c>
      <c r="C66" s="91">
        <v>99</v>
      </c>
      <c r="D66" s="94">
        <v>8.52</v>
      </c>
      <c r="E66" s="91">
        <v>26.5</v>
      </c>
      <c r="F66" s="91">
        <v>0</v>
      </c>
      <c r="G66" s="118" t="s">
        <v>160</v>
      </c>
      <c r="H66" s="86">
        <v>174</v>
      </c>
      <c r="I66" s="91">
        <v>100</v>
      </c>
      <c r="J66" s="91">
        <v>2000</v>
      </c>
      <c r="K66" s="93">
        <v>4</v>
      </c>
      <c r="L66" s="84">
        <v>5</v>
      </c>
      <c r="M66" s="84">
        <v>6</v>
      </c>
    </row>
    <row r="67" spans="1:13" x14ac:dyDescent="0.35">
      <c r="A67" s="91" t="s">
        <v>158</v>
      </c>
      <c r="B67" s="95" t="s">
        <v>198</v>
      </c>
      <c r="C67" s="91">
        <v>74</v>
      </c>
      <c r="D67" s="94">
        <v>7.5</v>
      </c>
      <c r="E67" s="91">
        <v>26</v>
      </c>
      <c r="F67" s="91">
        <v>0</v>
      </c>
      <c r="G67" s="118" t="s">
        <v>160</v>
      </c>
      <c r="H67" s="86">
        <v>174</v>
      </c>
      <c r="I67" s="91">
        <v>100</v>
      </c>
      <c r="J67" s="91">
        <v>2000</v>
      </c>
      <c r="K67" s="93">
        <v>3</v>
      </c>
      <c r="L67" s="84">
        <v>1</v>
      </c>
      <c r="M67" s="84">
        <v>1</v>
      </c>
    </row>
    <row r="68" spans="1:13" x14ac:dyDescent="0.35">
      <c r="A68" s="91" t="s">
        <v>158</v>
      </c>
      <c r="B68" s="95" t="s">
        <v>186</v>
      </c>
      <c r="C68" s="91">
        <v>95</v>
      </c>
      <c r="D68" s="94">
        <v>0.42</v>
      </c>
      <c r="E68" s="91">
        <v>17.2</v>
      </c>
      <c r="F68" s="91">
        <v>0</v>
      </c>
      <c r="G68" s="93" t="s">
        <v>160</v>
      </c>
      <c r="H68" s="86">
        <v>174</v>
      </c>
      <c r="I68" s="91">
        <v>100</v>
      </c>
      <c r="J68" s="91">
        <v>2000</v>
      </c>
      <c r="K68" s="93">
        <v>6</v>
      </c>
      <c r="L68" s="84">
        <v>1</v>
      </c>
      <c r="M68" s="84">
        <v>1</v>
      </c>
    </row>
    <row r="69" spans="1:13" x14ac:dyDescent="0.35">
      <c r="A69" s="91" t="s">
        <v>158</v>
      </c>
      <c r="B69" s="95" t="s">
        <v>178</v>
      </c>
      <c r="C69" s="91">
        <v>99</v>
      </c>
      <c r="D69" s="94">
        <v>6.8</v>
      </c>
      <c r="E69" s="91">
        <v>23.5</v>
      </c>
      <c r="F69" s="91">
        <v>0</v>
      </c>
      <c r="G69" s="97" t="s">
        <v>161</v>
      </c>
      <c r="H69" s="86">
        <v>175</v>
      </c>
      <c r="I69" s="91">
        <v>100</v>
      </c>
      <c r="J69" s="91">
        <v>2000</v>
      </c>
      <c r="K69" s="93">
        <v>3</v>
      </c>
      <c r="L69" s="84">
        <v>1</v>
      </c>
      <c r="M69" s="84">
        <v>1</v>
      </c>
    </row>
    <row r="70" spans="1:13" x14ac:dyDescent="0.35">
      <c r="A70" s="91" t="s">
        <v>164</v>
      </c>
      <c r="B70" s="95" t="s">
        <v>176</v>
      </c>
      <c r="C70" s="91">
        <v>89</v>
      </c>
      <c r="D70" s="94">
        <v>1.36</v>
      </c>
      <c r="E70" s="91">
        <v>23.18</v>
      </c>
      <c r="F70" s="91">
        <v>0</v>
      </c>
      <c r="G70" s="97">
        <v>44987</v>
      </c>
      <c r="H70" s="93">
        <v>187</v>
      </c>
      <c r="I70" s="91">
        <v>100</v>
      </c>
      <c r="J70" s="91">
        <v>2000</v>
      </c>
      <c r="K70" s="93">
        <v>4</v>
      </c>
      <c r="L70" s="84">
        <v>8</v>
      </c>
      <c r="M70" s="84">
        <v>11</v>
      </c>
    </row>
    <row r="71" spans="1:13" x14ac:dyDescent="0.35">
      <c r="A71" s="91" t="s">
        <v>164</v>
      </c>
      <c r="B71" s="95" t="s">
        <v>177</v>
      </c>
      <c r="C71" s="91">
        <v>94</v>
      </c>
      <c r="D71" s="94">
        <v>7.68</v>
      </c>
      <c r="E71" s="91">
        <v>26.7</v>
      </c>
      <c r="F71" s="91">
        <v>0.75</v>
      </c>
      <c r="G71" s="97">
        <v>44987</v>
      </c>
      <c r="H71" s="93">
        <v>187</v>
      </c>
      <c r="I71" s="91">
        <v>100</v>
      </c>
      <c r="J71" s="91">
        <v>2000</v>
      </c>
      <c r="K71" s="93">
        <v>3</v>
      </c>
      <c r="L71" s="84">
        <v>6</v>
      </c>
      <c r="M71" s="84">
        <v>8</v>
      </c>
    </row>
    <row r="72" spans="1:13" x14ac:dyDescent="0.35">
      <c r="A72" s="91" t="s">
        <v>164</v>
      </c>
      <c r="B72" s="95" t="s">
        <v>200</v>
      </c>
      <c r="C72" s="91">
        <v>85</v>
      </c>
      <c r="D72" s="94">
        <v>1.3</v>
      </c>
      <c r="E72" s="91">
        <v>24.4</v>
      </c>
      <c r="F72" s="91">
        <v>0</v>
      </c>
      <c r="G72" s="97">
        <v>44987</v>
      </c>
      <c r="H72" s="93">
        <v>187</v>
      </c>
      <c r="I72" s="91">
        <v>100</v>
      </c>
      <c r="J72" s="91">
        <v>2000</v>
      </c>
      <c r="K72" s="93">
        <v>5</v>
      </c>
      <c r="L72" s="84">
        <v>8</v>
      </c>
      <c r="M72" s="84">
        <v>8</v>
      </c>
    </row>
    <row r="73" spans="1:13" s="177" customFormat="1" x14ac:dyDescent="0.35">
      <c r="A73" s="172" t="s">
        <v>164</v>
      </c>
      <c r="B73" s="173" t="s">
        <v>180</v>
      </c>
      <c r="C73" s="172">
        <v>91</v>
      </c>
      <c r="D73" s="174">
        <v>0.57999999999999996</v>
      </c>
      <c r="E73" s="172">
        <v>26.4</v>
      </c>
      <c r="F73" s="172">
        <v>0</v>
      </c>
      <c r="G73" s="179">
        <v>45018</v>
      </c>
      <c r="H73" s="175">
        <v>188</v>
      </c>
      <c r="I73" s="172">
        <v>100</v>
      </c>
      <c r="J73" s="172">
        <v>780</v>
      </c>
      <c r="K73" s="175">
        <v>5</v>
      </c>
      <c r="L73" s="176">
        <v>10</v>
      </c>
      <c r="M73" s="176">
        <v>10</v>
      </c>
    </row>
    <row r="74" spans="1:13" x14ac:dyDescent="0.35">
      <c r="A74" s="91" t="s">
        <v>164</v>
      </c>
      <c r="B74" s="95" t="s">
        <v>181</v>
      </c>
      <c r="C74" s="91">
        <v>99</v>
      </c>
      <c r="D74" s="94">
        <v>85.6</v>
      </c>
      <c r="E74" s="91">
        <v>28.5</v>
      </c>
      <c r="F74" s="91">
        <v>1.2</v>
      </c>
      <c r="G74" s="97">
        <v>45018</v>
      </c>
      <c r="H74" s="93">
        <v>188</v>
      </c>
      <c r="I74" s="91">
        <v>100</v>
      </c>
      <c r="J74" s="91">
        <v>780</v>
      </c>
      <c r="K74" s="93">
        <v>3</v>
      </c>
      <c r="L74" s="84">
        <v>1</v>
      </c>
      <c r="M74" s="84">
        <v>1</v>
      </c>
    </row>
    <row r="75" spans="1:13" x14ac:dyDescent="0.35">
      <c r="A75" s="91" t="s">
        <v>164</v>
      </c>
      <c r="B75" s="95" t="s">
        <v>200</v>
      </c>
      <c r="C75" s="91">
        <v>91</v>
      </c>
      <c r="D75" s="94">
        <v>1.1499999999999999</v>
      </c>
      <c r="E75" s="91">
        <v>24.4</v>
      </c>
      <c r="F75" s="91">
        <v>0</v>
      </c>
      <c r="G75" s="97">
        <v>45048</v>
      </c>
      <c r="H75" s="93">
        <v>189</v>
      </c>
      <c r="I75" s="91">
        <v>100</v>
      </c>
      <c r="J75" s="91">
        <v>480</v>
      </c>
      <c r="K75" s="93">
        <v>5</v>
      </c>
      <c r="L75" s="84">
        <v>8</v>
      </c>
      <c r="M75" s="84">
        <v>8</v>
      </c>
    </row>
    <row r="76" spans="1:13" x14ac:dyDescent="0.35">
      <c r="A76" s="91" t="s">
        <v>164</v>
      </c>
      <c r="B76" s="95" t="s">
        <v>180</v>
      </c>
      <c r="C76" s="91">
        <v>91</v>
      </c>
      <c r="D76" s="94">
        <v>0.81</v>
      </c>
      <c r="E76" s="91">
        <v>23.28</v>
      </c>
      <c r="F76" s="91">
        <v>0</v>
      </c>
      <c r="G76" s="97">
        <v>45048</v>
      </c>
      <c r="H76" s="93">
        <v>189</v>
      </c>
      <c r="I76" s="91">
        <v>100</v>
      </c>
      <c r="J76" s="91">
        <v>480</v>
      </c>
      <c r="K76" s="93">
        <v>5</v>
      </c>
      <c r="L76" s="84">
        <v>5</v>
      </c>
      <c r="M76" s="84">
        <v>5</v>
      </c>
    </row>
    <row r="77" spans="1:13" x14ac:dyDescent="0.35">
      <c r="A77" s="91" t="s">
        <v>164</v>
      </c>
      <c r="B77" s="95" t="s">
        <v>181</v>
      </c>
      <c r="C77" s="91">
        <v>91</v>
      </c>
      <c r="D77" s="94">
        <v>13.15</v>
      </c>
      <c r="E77" s="91">
        <v>26.13</v>
      </c>
      <c r="F77" s="91">
        <v>0</v>
      </c>
      <c r="G77" s="97">
        <v>45048</v>
      </c>
      <c r="H77" s="93">
        <v>189</v>
      </c>
      <c r="I77" s="91">
        <v>100</v>
      </c>
      <c r="J77" s="91">
        <v>480</v>
      </c>
      <c r="K77" s="93">
        <v>3</v>
      </c>
      <c r="L77" s="84">
        <v>3</v>
      </c>
      <c r="M77" s="84">
        <v>3</v>
      </c>
    </row>
    <row r="78" spans="1:13" x14ac:dyDescent="0.35">
      <c r="A78" s="119" t="s">
        <v>164</v>
      </c>
      <c r="B78" s="120" t="s">
        <v>198</v>
      </c>
      <c r="C78" s="119">
        <v>93</v>
      </c>
      <c r="D78" s="121">
        <v>14.5</v>
      </c>
      <c r="E78" s="119">
        <v>28.73</v>
      </c>
      <c r="F78" s="119">
        <v>0</v>
      </c>
      <c r="G78" s="99">
        <v>45048</v>
      </c>
      <c r="H78" s="93">
        <v>189</v>
      </c>
      <c r="I78" s="119">
        <v>100</v>
      </c>
      <c r="J78" s="119">
        <v>480</v>
      </c>
      <c r="K78" s="122">
        <v>3</v>
      </c>
      <c r="L78" s="123">
        <v>6</v>
      </c>
      <c r="M78" s="123">
        <v>9</v>
      </c>
    </row>
    <row r="79" spans="1:13" x14ac:dyDescent="0.35">
      <c r="A79" s="91" t="s">
        <v>164</v>
      </c>
      <c r="B79" s="95" t="s">
        <v>199</v>
      </c>
      <c r="C79" s="91">
        <v>92</v>
      </c>
      <c r="D79" s="94">
        <v>97.97</v>
      </c>
      <c r="E79" s="91">
        <v>28.73</v>
      </c>
      <c r="F79" s="91">
        <v>0.97</v>
      </c>
      <c r="G79" s="97">
        <v>45048</v>
      </c>
      <c r="H79" s="93">
        <v>189</v>
      </c>
      <c r="I79" s="91">
        <v>100</v>
      </c>
      <c r="J79" s="91">
        <v>480</v>
      </c>
      <c r="K79" s="93">
        <v>2</v>
      </c>
      <c r="L79" s="84">
        <v>0</v>
      </c>
      <c r="M79" s="84">
        <v>0</v>
      </c>
    </row>
    <row r="80" spans="1:13" x14ac:dyDescent="0.35">
      <c r="A80" s="91" t="s">
        <v>164</v>
      </c>
      <c r="B80" s="95" t="s">
        <v>183</v>
      </c>
      <c r="C80" s="91">
        <v>81</v>
      </c>
      <c r="D80" s="94">
        <v>5.23</v>
      </c>
      <c r="E80" s="91">
        <v>27.03</v>
      </c>
      <c r="F80" s="91">
        <v>0</v>
      </c>
      <c r="G80" s="97">
        <v>45048</v>
      </c>
      <c r="H80" s="93">
        <v>189</v>
      </c>
      <c r="I80" s="91">
        <v>100</v>
      </c>
      <c r="J80" s="91">
        <v>480</v>
      </c>
      <c r="K80" s="93">
        <v>3</v>
      </c>
      <c r="L80" s="84">
        <v>4</v>
      </c>
      <c r="M80" s="84">
        <v>5</v>
      </c>
    </row>
    <row r="81" spans="1:13" x14ac:dyDescent="0.35">
      <c r="A81" s="91" t="s">
        <v>164</v>
      </c>
      <c r="B81" s="95" t="s">
        <v>185</v>
      </c>
      <c r="C81" s="91">
        <v>72</v>
      </c>
      <c r="D81" s="94">
        <v>4.6399999999999997</v>
      </c>
      <c r="E81" s="91">
        <v>24.9</v>
      </c>
      <c r="F81" s="91">
        <v>3.17</v>
      </c>
      <c r="G81" s="97">
        <v>45048</v>
      </c>
      <c r="H81" s="93">
        <v>189</v>
      </c>
      <c r="I81" s="91">
        <v>100</v>
      </c>
      <c r="J81" s="91">
        <v>480</v>
      </c>
      <c r="K81" s="93">
        <v>1</v>
      </c>
      <c r="L81" s="84">
        <v>2</v>
      </c>
      <c r="M81" s="84">
        <v>4</v>
      </c>
    </row>
    <row r="82" spans="1:13" x14ac:dyDescent="0.35">
      <c r="A82" s="111" t="s">
        <v>164</v>
      </c>
      <c r="B82" s="116" t="s">
        <v>186</v>
      </c>
      <c r="C82" s="111">
        <v>83</v>
      </c>
      <c r="D82" s="114">
        <v>0.20499999999999999</v>
      </c>
      <c r="E82" s="111">
        <v>24.8</v>
      </c>
      <c r="F82" s="111">
        <v>0</v>
      </c>
      <c r="G82" s="118">
        <v>45048</v>
      </c>
      <c r="H82" s="93">
        <v>189</v>
      </c>
      <c r="I82" s="111">
        <v>100</v>
      </c>
      <c r="J82" s="111">
        <v>480</v>
      </c>
      <c r="K82" s="113">
        <v>6</v>
      </c>
      <c r="L82" s="104">
        <v>0</v>
      </c>
      <c r="M82" s="104">
        <v>0</v>
      </c>
    </row>
    <row r="83" spans="1:13" x14ac:dyDescent="0.35">
      <c r="A83" s="91" t="s">
        <v>164</v>
      </c>
      <c r="B83" s="95" t="s">
        <v>199</v>
      </c>
      <c r="C83" s="91">
        <v>86.5</v>
      </c>
      <c r="D83" s="94">
        <v>33.18</v>
      </c>
      <c r="E83" s="91">
        <v>25.7</v>
      </c>
      <c r="F83" s="91">
        <v>1.2</v>
      </c>
      <c r="G83" s="97">
        <v>45079</v>
      </c>
      <c r="H83" s="93">
        <v>190</v>
      </c>
      <c r="I83" s="91">
        <v>100</v>
      </c>
      <c r="J83" s="91">
        <v>2000</v>
      </c>
      <c r="K83" s="93">
        <v>2</v>
      </c>
      <c r="L83" s="84">
        <v>3</v>
      </c>
      <c r="M83" s="84">
        <v>6</v>
      </c>
    </row>
    <row r="84" spans="1:13" x14ac:dyDescent="0.35">
      <c r="A84" s="91" t="s">
        <v>164</v>
      </c>
      <c r="B84" s="95" t="s">
        <v>183</v>
      </c>
      <c r="C84" s="91">
        <v>89</v>
      </c>
      <c r="D84" s="94">
        <v>7.61</v>
      </c>
      <c r="E84" s="91">
        <v>23.8</v>
      </c>
      <c r="F84" s="91">
        <v>0.75</v>
      </c>
      <c r="G84" s="97">
        <v>45079</v>
      </c>
      <c r="H84" s="93">
        <v>190</v>
      </c>
      <c r="I84" s="91">
        <v>100</v>
      </c>
      <c r="J84" s="91">
        <v>2000</v>
      </c>
      <c r="K84" s="93">
        <v>3</v>
      </c>
      <c r="L84" s="84">
        <v>5</v>
      </c>
      <c r="M84" s="84">
        <v>10</v>
      </c>
    </row>
    <row r="85" spans="1:13" x14ac:dyDescent="0.35">
      <c r="A85" s="91" t="s">
        <v>164</v>
      </c>
      <c r="B85" s="95" t="s">
        <v>185</v>
      </c>
      <c r="C85" s="91">
        <v>88</v>
      </c>
      <c r="D85" s="94">
        <v>24.87</v>
      </c>
      <c r="E85" s="91">
        <v>23.25</v>
      </c>
      <c r="F85" s="91">
        <v>0.45</v>
      </c>
      <c r="G85" s="97">
        <v>45079</v>
      </c>
      <c r="H85" s="93">
        <v>190</v>
      </c>
      <c r="I85" s="91">
        <v>100</v>
      </c>
      <c r="J85" s="91">
        <v>2000</v>
      </c>
      <c r="K85" s="93">
        <v>1</v>
      </c>
      <c r="L85" s="84">
        <v>1</v>
      </c>
      <c r="M85" s="84">
        <v>1</v>
      </c>
    </row>
    <row r="86" spans="1:13" x14ac:dyDescent="0.35">
      <c r="A86" s="91" t="s">
        <v>164</v>
      </c>
      <c r="B86" s="95" t="s">
        <v>186</v>
      </c>
      <c r="C86" s="91">
        <v>86</v>
      </c>
      <c r="D86" s="94">
        <v>0.14000000000000001</v>
      </c>
      <c r="E86" s="91">
        <v>18.55</v>
      </c>
      <c r="F86" s="91">
        <v>0</v>
      </c>
      <c r="G86" s="97">
        <v>45079</v>
      </c>
      <c r="H86" s="93">
        <v>190</v>
      </c>
      <c r="I86" s="91">
        <v>100</v>
      </c>
      <c r="J86" s="91">
        <v>2000</v>
      </c>
      <c r="K86" s="93">
        <v>6</v>
      </c>
      <c r="L86" s="84">
        <v>5</v>
      </c>
      <c r="M86" s="84">
        <v>5</v>
      </c>
    </row>
    <row r="87" spans="1:13" x14ac:dyDescent="0.35">
      <c r="A87" s="91" t="s">
        <v>164</v>
      </c>
      <c r="B87" s="95" t="s">
        <v>186</v>
      </c>
      <c r="C87" s="91">
        <v>87</v>
      </c>
      <c r="D87" s="94">
        <v>0.15</v>
      </c>
      <c r="E87" s="91">
        <v>15.2</v>
      </c>
      <c r="F87" s="91">
        <v>0</v>
      </c>
      <c r="G87" s="97" t="s">
        <v>167</v>
      </c>
      <c r="H87" s="93">
        <v>201</v>
      </c>
      <c r="I87" s="91">
        <v>100</v>
      </c>
      <c r="J87" s="91">
        <v>2000</v>
      </c>
      <c r="K87" s="93">
        <v>6</v>
      </c>
      <c r="L87" s="84">
        <v>3</v>
      </c>
      <c r="M87" s="84">
        <v>3</v>
      </c>
    </row>
    <row r="88" spans="1:13" x14ac:dyDescent="0.35">
      <c r="A88" s="91" t="s">
        <v>164</v>
      </c>
      <c r="B88" s="95" t="s">
        <v>200</v>
      </c>
      <c r="C88" s="91">
        <v>94</v>
      </c>
      <c r="D88" s="94">
        <v>1.2</v>
      </c>
      <c r="E88" s="91">
        <v>24.4</v>
      </c>
      <c r="F88" s="91">
        <v>0</v>
      </c>
      <c r="G88" s="97" t="s">
        <v>166</v>
      </c>
      <c r="H88" s="93">
        <v>202</v>
      </c>
      <c r="I88" s="91">
        <v>100</v>
      </c>
      <c r="J88" s="91">
        <v>2000</v>
      </c>
      <c r="K88" s="93">
        <v>5</v>
      </c>
      <c r="L88" s="84">
        <v>1</v>
      </c>
      <c r="M88" s="84">
        <v>1</v>
      </c>
    </row>
    <row r="89" spans="1:13" x14ac:dyDescent="0.35">
      <c r="A89" s="91" t="s">
        <v>164</v>
      </c>
      <c r="B89" s="95" t="s">
        <v>181</v>
      </c>
      <c r="C89" s="91">
        <v>91</v>
      </c>
      <c r="D89" s="94">
        <v>0.81</v>
      </c>
      <c r="E89" s="91">
        <v>23.3</v>
      </c>
      <c r="F89" s="91">
        <v>0</v>
      </c>
      <c r="G89" s="97" t="s">
        <v>166</v>
      </c>
      <c r="H89" s="93">
        <v>202</v>
      </c>
      <c r="I89" s="91">
        <v>100</v>
      </c>
      <c r="J89" s="91">
        <v>2000</v>
      </c>
      <c r="K89" s="93">
        <v>3</v>
      </c>
      <c r="L89" s="84">
        <v>1</v>
      </c>
      <c r="M89" s="84">
        <v>2</v>
      </c>
    </row>
    <row r="90" spans="1:13" x14ac:dyDescent="0.35">
      <c r="A90" s="91" t="s">
        <v>164</v>
      </c>
      <c r="B90" s="95" t="s">
        <v>198</v>
      </c>
      <c r="C90" s="91">
        <v>75</v>
      </c>
      <c r="D90" s="94">
        <v>17.2</v>
      </c>
      <c r="E90" s="91">
        <v>28</v>
      </c>
      <c r="F90" s="91">
        <v>0</v>
      </c>
      <c r="G90" s="97" t="s">
        <v>166</v>
      </c>
      <c r="H90" s="93">
        <v>202</v>
      </c>
      <c r="I90" s="91">
        <v>100</v>
      </c>
      <c r="J90" s="91">
        <v>2000</v>
      </c>
      <c r="K90" s="93">
        <v>3</v>
      </c>
      <c r="L90" s="84">
        <v>2</v>
      </c>
      <c r="M90" s="84">
        <v>2</v>
      </c>
    </row>
    <row r="91" spans="1:13" x14ac:dyDescent="0.35">
      <c r="A91" s="91" t="s">
        <v>164</v>
      </c>
      <c r="B91" s="95" t="s">
        <v>177</v>
      </c>
      <c r="C91" s="91">
        <v>90</v>
      </c>
      <c r="D91" s="94">
        <v>1.5</v>
      </c>
      <c r="E91" s="91">
        <v>23.4</v>
      </c>
      <c r="F91" s="91">
        <v>0</v>
      </c>
      <c r="G91" s="97" t="s">
        <v>165</v>
      </c>
      <c r="H91" s="93">
        <v>203</v>
      </c>
      <c r="I91" s="91">
        <v>100</v>
      </c>
      <c r="J91" s="91">
        <v>2000</v>
      </c>
      <c r="K91" s="93">
        <v>3</v>
      </c>
      <c r="L91" s="84">
        <v>1</v>
      </c>
      <c r="M91" s="84">
        <v>1</v>
      </c>
    </row>
    <row r="92" spans="1:13" x14ac:dyDescent="0.35">
      <c r="A92" s="91" t="s">
        <v>168</v>
      </c>
      <c r="B92" s="91" t="s">
        <v>180</v>
      </c>
      <c r="C92" s="91">
        <v>97</v>
      </c>
      <c r="D92" s="94">
        <v>1.08</v>
      </c>
      <c r="E92" s="91">
        <v>25.4</v>
      </c>
      <c r="F92" s="91">
        <v>0</v>
      </c>
      <c r="G92" s="100">
        <v>45233</v>
      </c>
      <c r="H92" s="93">
        <v>223</v>
      </c>
      <c r="I92" s="91">
        <v>100</v>
      </c>
      <c r="J92" s="91">
        <v>2000</v>
      </c>
      <c r="K92" s="93">
        <v>5</v>
      </c>
      <c r="L92" s="84">
        <v>6</v>
      </c>
      <c r="M92" s="84">
        <v>8</v>
      </c>
    </row>
    <row r="93" spans="1:13" x14ac:dyDescent="0.35">
      <c r="A93" s="91" t="s">
        <v>168</v>
      </c>
      <c r="B93" s="104" t="s">
        <v>181</v>
      </c>
      <c r="C93" s="104">
        <v>87</v>
      </c>
      <c r="D93" s="124">
        <v>9.8000000000000007</v>
      </c>
      <c r="E93" s="104">
        <v>34.5</v>
      </c>
      <c r="F93" s="104">
        <v>0</v>
      </c>
      <c r="G93" s="100">
        <v>45233</v>
      </c>
      <c r="H93" s="105">
        <v>223</v>
      </c>
      <c r="I93" s="104">
        <v>90</v>
      </c>
      <c r="J93" s="91">
        <v>2000</v>
      </c>
      <c r="K93" s="105">
        <v>3</v>
      </c>
      <c r="L93" s="84">
        <v>4</v>
      </c>
      <c r="M93" s="84">
        <v>4</v>
      </c>
    </row>
    <row r="94" spans="1:13" x14ac:dyDescent="0.35">
      <c r="A94" s="91" t="s">
        <v>168</v>
      </c>
      <c r="B94" s="91" t="s">
        <v>176</v>
      </c>
      <c r="C94" s="91">
        <v>92</v>
      </c>
      <c r="D94" s="94">
        <v>0.14000000000000001</v>
      </c>
      <c r="E94" s="91">
        <v>22.5</v>
      </c>
      <c r="F94" s="91">
        <v>0</v>
      </c>
      <c r="G94" s="93" t="s">
        <v>170</v>
      </c>
      <c r="H94" s="93">
        <v>225</v>
      </c>
      <c r="I94" s="91">
        <v>60</v>
      </c>
      <c r="J94" s="91">
        <v>2000</v>
      </c>
      <c r="K94" s="93">
        <v>4</v>
      </c>
      <c r="L94" s="84">
        <v>1</v>
      </c>
      <c r="M94" s="84">
        <v>2</v>
      </c>
    </row>
    <row r="95" spans="1:13" x14ac:dyDescent="0.35">
      <c r="A95" s="91" t="s">
        <v>168</v>
      </c>
      <c r="B95" s="91" t="s">
        <v>200</v>
      </c>
      <c r="C95" s="91">
        <v>99</v>
      </c>
      <c r="D95" s="94">
        <v>24.2</v>
      </c>
      <c r="E95" s="91">
        <v>26.1</v>
      </c>
      <c r="F95" s="91">
        <v>0</v>
      </c>
      <c r="G95" s="93" t="s">
        <v>170</v>
      </c>
      <c r="H95" s="93">
        <v>225</v>
      </c>
      <c r="I95" s="91">
        <v>60</v>
      </c>
      <c r="J95" s="91">
        <v>2000</v>
      </c>
      <c r="K95" s="93">
        <v>5</v>
      </c>
      <c r="L95" s="84">
        <v>1</v>
      </c>
      <c r="M95" s="84">
        <v>1</v>
      </c>
    </row>
    <row r="96" spans="1:13" x14ac:dyDescent="0.35">
      <c r="A96" s="91" t="s">
        <v>168</v>
      </c>
      <c r="B96" s="91" t="s">
        <v>200</v>
      </c>
      <c r="C96" s="91">
        <v>84</v>
      </c>
      <c r="D96" s="94">
        <v>0.17</v>
      </c>
      <c r="E96" s="91">
        <v>24</v>
      </c>
      <c r="F96" s="91">
        <v>0</v>
      </c>
      <c r="G96" s="105" t="s">
        <v>171</v>
      </c>
      <c r="H96" s="93">
        <v>227</v>
      </c>
      <c r="I96" s="91">
        <v>100</v>
      </c>
      <c r="J96" s="91">
        <v>2000</v>
      </c>
      <c r="K96" s="93">
        <v>5</v>
      </c>
      <c r="L96" s="84">
        <v>2</v>
      </c>
      <c r="M96" s="84">
        <v>2</v>
      </c>
    </row>
    <row r="97" spans="1:13" x14ac:dyDescent="0.35">
      <c r="A97" s="91" t="s">
        <v>168</v>
      </c>
      <c r="B97" s="104" t="s">
        <v>180</v>
      </c>
      <c r="C97" s="104">
        <v>80</v>
      </c>
      <c r="D97" s="124">
        <v>0.04</v>
      </c>
      <c r="E97" s="104">
        <v>25.3</v>
      </c>
      <c r="F97" s="104">
        <v>0</v>
      </c>
      <c r="G97" s="85" t="s">
        <v>171</v>
      </c>
      <c r="H97" s="105">
        <v>227</v>
      </c>
      <c r="I97" s="104">
        <v>100</v>
      </c>
      <c r="J97" s="91">
        <v>2000</v>
      </c>
      <c r="K97" s="105">
        <v>5</v>
      </c>
      <c r="L97" s="84">
        <v>0</v>
      </c>
      <c r="M97" s="84">
        <v>0</v>
      </c>
    </row>
    <row r="98" spans="1:13" x14ac:dyDescent="0.35">
      <c r="A98" s="91" t="s">
        <v>168</v>
      </c>
      <c r="B98" s="104" t="s">
        <v>181</v>
      </c>
      <c r="C98" s="104">
        <v>80</v>
      </c>
      <c r="D98" s="124">
        <v>1.5</v>
      </c>
      <c r="E98" s="104">
        <v>26.9</v>
      </c>
      <c r="F98" s="104">
        <v>0</v>
      </c>
      <c r="G98" s="105" t="s">
        <v>171</v>
      </c>
      <c r="H98" s="105">
        <v>227</v>
      </c>
      <c r="I98" s="104">
        <v>100</v>
      </c>
      <c r="J98" s="104">
        <v>2000</v>
      </c>
      <c r="K98" s="105">
        <v>3</v>
      </c>
      <c r="L98" s="84">
        <v>3</v>
      </c>
      <c r="M98" s="84">
        <v>4</v>
      </c>
    </row>
    <row r="99" spans="1:13" x14ac:dyDescent="0.35">
      <c r="A99" s="91" t="s">
        <v>168</v>
      </c>
      <c r="B99" s="104" t="s">
        <v>198</v>
      </c>
      <c r="C99" s="104">
        <v>79</v>
      </c>
      <c r="D99" s="124">
        <v>13.35</v>
      </c>
      <c r="E99" s="104">
        <v>29.2</v>
      </c>
      <c r="F99" s="104">
        <v>0</v>
      </c>
      <c r="G99" s="105" t="s">
        <v>171</v>
      </c>
      <c r="H99" s="105">
        <v>227</v>
      </c>
      <c r="I99" s="104">
        <v>100</v>
      </c>
      <c r="J99" s="104">
        <v>2000</v>
      </c>
      <c r="K99" s="105">
        <v>3</v>
      </c>
      <c r="L99" s="84">
        <v>2</v>
      </c>
      <c r="M99" s="84">
        <v>2</v>
      </c>
    </row>
    <row r="100" spans="1:13" x14ac:dyDescent="0.35">
      <c r="A100" s="91" t="s">
        <v>168</v>
      </c>
      <c r="B100" s="84" t="s">
        <v>199</v>
      </c>
      <c r="C100" s="84">
        <v>92</v>
      </c>
      <c r="D100" s="98">
        <v>15.6</v>
      </c>
      <c r="E100" s="84">
        <v>23.5</v>
      </c>
      <c r="F100" s="84">
        <v>0.7</v>
      </c>
      <c r="G100" s="85" t="s">
        <v>171</v>
      </c>
      <c r="H100" s="85">
        <v>227</v>
      </c>
      <c r="I100" s="84">
        <v>2</v>
      </c>
      <c r="J100" s="104">
        <v>480</v>
      </c>
      <c r="K100" s="85">
        <v>2</v>
      </c>
      <c r="L100" s="84">
        <v>1</v>
      </c>
      <c r="M100" s="84">
        <v>1</v>
      </c>
    </row>
    <row r="101" spans="1:13" x14ac:dyDescent="0.35">
      <c r="A101" s="91" t="s">
        <v>168</v>
      </c>
      <c r="B101" s="84" t="s">
        <v>199</v>
      </c>
      <c r="C101" s="84">
        <v>79</v>
      </c>
      <c r="D101" s="98">
        <v>7.6</v>
      </c>
      <c r="E101" s="84">
        <v>25.4</v>
      </c>
      <c r="F101" s="84">
        <v>0</v>
      </c>
      <c r="G101" s="105" t="s">
        <v>171</v>
      </c>
      <c r="H101" s="85">
        <v>227</v>
      </c>
      <c r="I101" s="84">
        <v>100</v>
      </c>
      <c r="J101" s="104">
        <v>2000</v>
      </c>
      <c r="K101" s="85">
        <v>2</v>
      </c>
      <c r="L101" s="84">
        <v>2</v>
      </c>
      <c r="M101" s="84">
        <v>5</v>
      </c>
    </row>
    <row r="102" spans="1:13" x14ac:dyDescent="0.35">
      <c r="A102" s="91" t="s">
        <v>168</v>
      </c>
      <c r="B102" s="84" t="s">
        <v>183</v>
      </c>
      <c r="C102" s="84">
        <v>89</v>
      </c>
      <c r="D102" s="98">
        <v>1</v>
      </c>
      <c r="E102" s="84">
        <v>22.2</v>
      </c>
      <c r="F102" s="84">
        <v>0</v>
      </c>
      <c r="G102" s="105" t="s">
        <v>171</v>
      </c>
      <c r="H102" s="85">
        <v>227</v>
      </c>
      <c r="I102" s="84">
        <v>100</v>
      </c>
      <c r="J102" s="84">
        <v>1420</v>
      </c>
      <c r="K102" s="85">
        <v>3</v>
      </c>
      <c r="L102" s="84">
        <v>4</v>
      </c>
      <c r="M102" s="84">
        <v>4</v>
      </c>
    </row>
    <row r="103" spans="1:13" x14ac:dyDescent="0.35">
      <c r="A103" s="91" t="s">
        <v>168</v>
      </c>
      <c r="B103" s="84" t="s">
        <v>183</v>
      </c>
      <c r="C103" s="84">
        <v>72</v>
      </c>
      <c r="D103" s="104">
        <v>0.75</v>
      </c>
      <c r="E103" s="84">
        <v>25</v>
      </c>
      <c r="F103" s="84">
        <v>0.9</v>
      </c>
      <c r="G103" s="85" t="s">
        <v>171</v>
      </c>
      <c r="H103" s="85">
        <v>227</v>
      </c>
      <c r="I103" s="84">
        <v>100</v>
      </c>
      <c r="J103" s="84">
        <v>2000</v>
      </c>
      <c r="K103" s="85">
        <v>3</v>
      </c>
      <c r="L103" s="84">
        <v>2</v>
      </c>
      <c r="M103" s="84">
        <v>3</v>
      </c>
    </row>
    <row r="104" spans="1:13" x14ac:dyDescent="0.35">
      <c r="A104" s="91" t="s">
        <v>168</v>
      </c>
      <c r="B104" s="84" t="s">
        <v>185</v>
      </c>
      <c r="C104" s="84">
        <v>60</v>
      </c>
      <c r="D104" s="98">
        <v>44</v>
      </c>
      <c r="E104" s="84">
        <v>32.6</v>
      </c>
      <c r="F104" s="84">
        <v>0</v>
      </c>
      <c r="G104" s="105" t="s">
        <v>171</v>
      </c>
      <c r="H104" s="85">
        <v>227</v>
      </c>
      <c r="I104" s="84">
        <v>85</v>
      </c>
      <c r="J104" s="84">
        <v>1420</v>
      </c>
      <c r="K104" s="85">
        <v>1</v>
      </c>
      <c r="L104" s="84">
        <v>2</v>
      </c>
      <c r="M104" s="84">
        <v>4</v>
      </c>
    </row>
    <row r="105" spans="1:13" x14ac:dyDescent="0.35">
      <c r="A105" s="91" t="s">
        <v>168</v>
      </c>
      <c r="B105" s="84" t="s">
        <v>185</v>
      </c>
      <c r="C105" s="84">
        <v>79</v>
      </c>
      <c r="D105" s="98">
        <v>39.200000000000003</v>
      </c>
      <c r="E105" s="84">
        <v>31.4</v>
      </c>
      <c r="F105" s="84">
        <v>0</v>
      </c>
      <c r="G105" s="85" t="s">
        <v>171</v>
      </c>
      <c r="H105" s="85">
        <v>227</v>
      </c>
      <c r="I105" s="84">
        <v>100</v>
      </c>
      <c r="J105" s="84">
        <v>2000</v>
      </c>
      <c r="K105" s="85">
        <v>1</v>
      </c>
      <c r="L105" s="84">
        <v>0</v>
      </c>
      <c r="M105" s="84">
        <v>0</v>
      </c>
    </row>
    <row r="106" spans="1:13" s="177" customFormat="1" x14ac:dyDescent="0.35">
      <c r="A106" s="172" t="s">
        <v>168</v>
      </c>
      <c r="B106" s="176" t="s">
        <v>186</v>
      </c>
      <c r="C106" s="176">
        <v>76</v>
      </c>
      <c r="D106" s="181">
        <v>1.53</v>
      </c>
      <c r="E106" s="176">
        <v>25.4</v>
      </c>
      <c r="F106" s="176">
        <v>0</v>
      </c>
      <c r="G106" s="182" t="s">
        <v>171</v>
      </c>
      <c r="H106" s="182">
        <v>227</v>
      </c>
      <c r="I106" s="176">
        <v>100</v>
      </c>
      <c r="J106" s="176">
        <v>1420</v>
      </c>
      <c r="K106" s="182">
        <v>6</v>
      </c>
      <c r="L106" s="176">
        <v>4</v>
      </c>
      <c r="M106" s="176">
        <v>5</v>
      </c>
    </row>
    <row r="107" spans="1:13" s="177" customFormat="1" x14ac:dyDescent="0.35">
      <c r="A107" s="172" t="s">
        <v>168</v>
      </c>
      <c r="B107" s="172" t="s">
        <v>176</v>
      </c>
      <c r="C107" s="172">
        <v>92</v>
      </c>
      <c r="D107" s="174">
        <v>0.14000000000000001</v>
      </c>
      <c r="E107" s="172">
        <v>22.5</v>
      </c>
      <c r="F107" s="172">
        <v>0</v>
      </c>
      <c r="G107" s="175" t="s">
        <v>169</v>
      </c>
      <c r="H107" s="175">
        <v>228</v>
      </c>
      <c r="I107" s="172">
        <v>100</v>
      </c>
      <c r="J107" s="172">
        <v>480</v>
      </c>
      <c r="K107" s="175">
        <v>4</v>
      </c>
      <c r="L107" s="176">
        <v>6</v>
      </c>
      <c r="M107" s="176">
        <v>11</v>
      </c>
    </row>
    <row r="108" spans="1:13" x14ac:dyDescent="0.35">
      <c r="A108" s="91" t="s">
        <v>168</v>
      </c>
      <c r="B108" s="111" t="s">
        <v>177</v>
      </c>
      <c r="C108" s="111">
        <v>97</v>
      </c>
      <c r="D108" s="114">
        <v>4.5999999999999996</v>
      </c>
      <c r="E108" s="111">
        <v>24.3</v>
      </c>
      <c r="F108" s="111">
        <v>0</v>
      </c>
      <c r="G108" s="113" t="s">
        <v>169</v>
      </c>
      <c r="H108" s="113">
        <v>228</v>
      </c>
      <c r="I108" s="111">
        <v>100</v>
      </c>
      <c r="J108" s="111">
        <v>480</v>
      </c>
      <c r="K108" s="113">
        <v>3</v>
      </c>
      <c r="L108" s="84">
        <v>17</v>
      </c>
      <c r="M108" s="84">
        <v>24</v>
      </c>
    </row>
    <row r="109" spans="1:13" x14ac:dyDescent="0.35">
      <c r="A109" s="91" t="s">
        <v>168</v>
      </c>
      <c r="B109" s="111" t="s">
        <v>200</v>
      </c>
      <c r="C109" s="111">
        <v>99</v>
      </c>
      <c r="D109" s="114">
        <v>24.2</v>
      </c>
      <c r="E109" s="111">
        <v>26.1</v>
      </c>
      <c r="F109" s="111">
        <v>0</v>
      </c>
      <c r="G109" s="113" t="s">
        <v>169</v>
      </c>
      <c r="H109" s="113">
        <v>228</v>
      </c>
      <c r="I109" s="111">
        <v>35</v>
      </c>
      <c r="J109" s="111">
        <v>480</v>
      </c>
      <c r="K109" s="113">
        <v>5</v>
      </c>
      <c r="L109" s="84">
        <v>11</v>
      </c>
      <c r="M109" s="84">
        <v>11</v>
      </c>
    </row>
    <row r="110" spans="1:13" x14ac:dyDescent="0.35">
      <c r="A110" s="91" t="s">
        <v>168</v>
      </c>
      <c r="B110" s="111" t="s">
        <v>180</v>
      </c>
      <c r="C110" s="111">
        <v>97</v>
      </c>
      <c r="D110" s="114">
        <v>1.08</v>
      </c>
      <c r="E110" s="111">
        <v>25.4</v>
      </c>
      <c r="F110" s="111">
        <v>0</v>
      </c>
      <c r="G110" s="113" t="s">
        <v>169</v>
      </c>
      <c r="H110" s="113">
        <v>228</v>
      </c>
      <c r="I110" s="111">
        <v>65</v>
      </c>
      <c r="J110" s="111">
        <v>480</v>
      </c>
      <c r="K110" s="113">
        <v>5</v>
      </c>
      <c r="L110" s="84">
        <v>9</v>
      </c>
      <c r="M110" s="84">
        <v>9</v>
      </c>
    </row>
    <row r="111" spans="1:13" x14ac:dyDescent="0.35">
      <c r="A111" s="91" t="s">
        <v>168</v>
      </c>
      <c r="B111" s="84" t="s">
        <v>181</v>
      </c>
      <c r="C111" s="84">
        <v>87</v>
      </c>
      <c r="D111" s="98">
        <v>9.8000000000000007</v>
      </c>
      <c r="E111" s="84">
        <v>34.5</v>
      </c>
      <c r="F111" s="84">
        <v>0</v>
      </c>
      <c r="G111" s="113" t="s">
        <v>169</v>
      </c>
      <c r="H111" s="85">
        <v>228</v>
      </c>
      <c r="I111" s="84">
        <v>0</v>
      </c>
      <c r="J111" s="84">
        <v>480</v>
      </c>
      <c r="K111" s="85">
        <v>3</v>
      </c>
      <c r="L111" s="84">
        <v>3</v>
      </c>
      <c r="M111" s="84">
        <v>3</v>
      </c>
    </row>
    <row r="112" spans="1:13" x14ac:dyDescent="0.35">
      <c r="A112" s="91" t="s">
        <v>168</v>
      </c>
      <c r="B112" s="84" t="s">
        <v>198</v>
      </c>
      <c r="C112" s="84">
        <v>81</v>
      </c>
      <c r="D112" s="98">
        <v>36.6</v>
      </c>
      <c r="E112" s="84">
        <v>31.4</v>
      </c>
      <c r="F112" s="84">
        <v>0.8</v>
      </c>
      <c r="G112" s="113" t="s">
        <v>169</v>
      </c>
      <c r="H112" s="85">
        <v>228</v>
      </c>
      <c r="I112" s="84">
        <v>96</v>
      </c>
      <c r="J112" s="84">
        <v>480</v>
      </c>
      <c r="K112" s="85">
        <v>3</v>
      </c>
      <c r="L112" s="84">
        <v>7</v>
      </c>
      <c r="M112" s="84">
        <v>7</v>
      </c>
    </row>
    <row r="113" spans="1:13" x14ac:dyDescent="0.35">
      <c r="A113" s="84" t="s">
        <v>172</v>
      </c>
      <c r="B113" s="84" t="s">
        <v>177</v>
      </c>
      <c r="C113" s="84">
        <v>96</v>
      </c>
      <c r="D113" s="98">
        <v>1.1299999999999999</v>
      </c>
      <c r="E113" s="84">
        <v>26.4</v>
      </c>
      <c r="F113" s="84">
        <v>0</v>
      </c>
      <c r="G113" s="100">
        <v>45111</v>
      </c>
      <c r="H113" s="85">
        <v>250</v>
      </c>
      <c r="I113" s="84">
        <v>100</v>
      </c>
      <c r="J113" s="84">
        <v>2000</v>
      </c>
      <c r="K113" s="85">
        <v>3</v>
      </c>
      <c r="L113" s="84">
        <v>5</v>
      </c>
      <c r="M113" s="84">
        <v>5</v>
      </c>
    </row>
    <row r="114" spans="1:13" x14ac:dyDescent="0.35">
      <c r="A114" s="84" t="s">
        <v>172</v>
      </c>
      <c r="B114" s="84" t="s">
        <v>200</v>
      </c>
      <c r="C114" s="84">
        <v>99</v>
      </c>
      <c r="D114" s="98">
        <v>0.28000000000000003</v>
      </c>
      <c r="E114" s="84">
        <v>23.5</v>
      </c>
      <c r="F114" s="84">
        <v>0</v>
      </c>
      <c r="G114" s="100">
        <v>45142</v>
      </c>
      <c r="H114" s="85">
        <v>251</v>
      </c>
      <c r="I114" s="84">
        <v>100</v>
      </c>
      <c r="J114" s="84">
        <v>650</v>
      </c>
      <c r="K114" s="85">
        <v>5</v>
      </c>
      <c r="L114" s="84">
        <v>7</v>
      </c>
      <c r="M114" s="84">
        <v>10</v>
      </c>
    </row>
    <row r="115" spans="1:13" x14ac:dyDescent="0.35">
      <c r="A115" s="84" t="s">
        <v>172</v>
      </c>
      <c r="B115" s="84" t="s">
        <v>180</v>
      </c>
      <c r="C115" s="84">
        <v>96</v>
      </c>
      <c r="D115" s="98">
        <v>0.64</v>
      </c>
      <c r="E115" s="84">
        <v>24.9</v>
      </c>
      <c r="F115" s="84">
        <v>0</v>
      </c>
      <c r="G115" s="100">
        <v>45142</v>
      </c>
      <c r="H115" s="85">
        <v>251</v>
      </c>
      <c r="I115" s="84">
        <v>100</v>
      </c>
      <c r="J115" s="84">
        <v>650</v>
      </c>
      <c r="K115" s="85">
        <v>5</v>
      </c>
      <c r="L115" s="84">
        <v>9</v>
      </c>
      <c r="M115" s="84">
        <v>9</v>
      </c>
    </row>
    <row r="116" spans="1:13" x14ac:dyDescent="0.35">
      <c r="A116" s="84" t="s">
        <v>172</v>
      </c>
      <c r="B116" s="84" t="s">
        <v>181</v>
      </c>
      <c r="C116" s="84">
        <v>98</v>
      </c>
      <c r="D116" s="98">
        <v>2.2799999999999998</v>
      </c>
      <c r="E116" s="84">
        <v>23.7</v>
      </c>
      <c r="F116" s="84">
        <v>0</v>
      </c>
      <c r="G116" s="100">
        <v>45142</v>
      </c>
      <c r="H116" s="85">
        <v>251</v>
      </c>
      <c r="I116" s="84">
        <v>100</v>
      </c>
      <c r="J116" s="84">
        <v>650</v>
      </c>
      <c r="K116" s="85">
        <v>3</v>
      </c>
      <c r="L116" s="84">
        <v>4</v>
      </c>
      <c r="M116" s="84">
        <v>4</v>
      </c>
    </row>
    <row r="117" spans="1:13" x14ac:dyDescent="0.35">
      <c r="A117" s="84" t="s">
        <v>172</v>
      </c>
      <c r="B117" s="84" t="s">
        <v>198</v>
      </c>
      <c r="C117" s="84">
        <v>99</v>
      </c>
      <c r="D117" s="98">
        <v>7.2350000000000003</v>
      </c>
      <c r="E117" s="84">
        <v>24.6</v>
      </c>
      <c r="F117" s="84">
        <v>1.4</v>
      </c>
      <c r="G117" s="100">
        <v>45142</v>
      </c>
      <c r="H117" s="85">
        <v>251</v>
      </c>
      <c r="I117" s="84">
        <v>100</v>
      </c>
      <c r="J117" s="84">
        <v>650</v>
      </c>
      <c r="K117" s="85">
        <v>3</v>
      </c>
      <c r="L117" s="84">
        <v>10</v>
      </c>
      <c r="M117" s="84">
        <v>16</v>
      </c>
    </row>
    <row r="118" spans="1:13" x14ac:dyDescent="0.35">
      <c r="A118" s="84" t="s">
        <v>172</v>
      </c>
      <c r="B118" s="84" t="s">
        <v>199</v>
      </c>
      <c r="C118" s="84">
        <v>78</v>
      </c>
      <c r="D118" s="98">
        <v>17.850000000000001</v>
      </c>
      <c r="E118" s="84">
        <v>26.8</v>
      </c>
      <c r="F118" s="84">
        <v>0.7</v>
      </c>
      <c r="G118" s="100">
        <v>45142</v>
      </c>
      <c r="H118" s="85">
        <v>251</v>
      </c>
      <c r="I118" s="84">
        <v>100</v>
      </c>
      <c r="J118" s="84">
        <v>650</v>
      </c>
      <c r="K118" s="85">
        <v>2</v>
      </c>
      <c r="L118" s="84">
        <v>3</v>
      </c>
      <c r="M118" s="84">
        <v>3</v>
      </c>
    </row>
    <row r="119" spans="1:13" x14ac:dyDescent="0.35">
      <c r="A119" s="84" t="s">
        <v>172</v>
      </c>
      <c r="B119" s="84" t="s">
        <v>183</v>
      </c>
      <c r="C119" s="84">
        <v>84</v>
      </c>
      <c r="D119" s="98">
        <v>0.5</v>
      </c>
      <c r="E119" s="84">
        <v>25.9</v>
      </c>
      <c r="F119" s="84">
        <v>0</v>
      </c>
      <c r="G119" s="100">
        <v>45173</v>
      </c>
      <c r="H119" s="85">
        <v>252</v>
      </c>
      <c r="I119" s="84">
        <v>100</v>
      </c>
      <c r="J119" s="84">
        <v>2000</v>
      </c>
      <c r="K119" s="85">
        <v>3</v>
      </c>
      <c r="L119" s="84">
        <v>4</v>
      </c>
      <c r="M119" s="84">
        <v>4</v>
      </c>
    </row>
    <row r="120" spans="1:13" x14ac:dyDescent="0.35">
      <c r="A120" s="84" t="s">
        <v>172</v>
      </c>
      <c r="B120" s="84" t="s">
        <v>186</v>
      </c>
      <c r="C120" s="84">
        <v>83</v>
      </c>
      <c r="D120" s="98">
        <v>1.1299999999999999</v>
      </c>
      <c r="E120" s="84">
        <v>25.5</v>
      </c>
      <c r="F120" s="84">
        <v>0</v>
      </c>
      <c r="G120" s="100">
        <v>45173</v>
      </c>
      <c r="H120" s="85">
        <v>252</v>
      </c>
      <c r="I120" s="84">
        <v>100</v>
      </c>
      <c r="J120" s="84">
        <v>2000</v>
      </c>
      <c r="K120" s="85">
        <v>6</v>
      </c>
      <c r="L120" s="84">
        <v>9</v>
      </c>
      <c r="M120" s="84">
        <v>19</v>
      </c>
    </row>
    <row r="121" spans="1:13" x14ac:dyDescent="0.35">
      <c r="G121" s="100"/>
      <c r="H121" s="85"/>
    </row>
  </sheetData>
  <autoFilter ref="A1:M1">
    <sortState ref="A2:M120">
      <sortCondition ref="H1"/>
    </sortState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selection activeCell="L1" sqref="L1:L1048576"/>
    </sheetView>
  </sheetViews>
  <sheetFormatPr defaultRowHeight="14.5" x14ac:dyDescent="0.35"/>
  <cols>
    <col min="1" max="6" width="8.7265625" style="103"/>
    <col min="7" max="7" width="11.1796875" style="101" customWidth="1"/>
    <col min="8" max="16384" width="8.7265625" style="103"/>
  </cols>
  <sheetData>
    <row r="1" spans="1:13" ht="120" x14ac:dyDescent="0.35">
      <c r="A1" s="107" t="s">
        <v>196</v>
      </c>
      <c r="B1" s="107" t="s">
        <v>187</v>
      </c>
      <c r="C1" s="108" t="s">
        <v>188</v>
      </c>
      <c r="D1" s="109" t="s">
        <v>189</v>
      </c>
      <c r="E1" s="108" t="s">
        <v>190</v>
      </c>
      <c r="F1" s="108" t="s">
        <v>191</v>
      </c>
      <c r="G1" s="108" t="s">
        <v>10</v>
      </c>
      <c r="H1" s="108" t="s">
        <v>201</v>
      </c>
      <c r="I1" s="108" t="s">
        <v>192</v>
      </c>
      <c r="J1" s="108" t="s">
        <v>197</v>
      </c>
      <c r="K1" s="110" t="s">
        <v>194</v>
      </c>
      <c r="L1" s="104" t="s">
        <v>195</v>
      </c>
      <c r="M1" s="104" t="s">
        <v>175</v>
      </c>
    </row>
    <row r="2" spans="1:13" x14ac:dyDescent="0.35">
      <c r="A2" s="111" t="s">
        <v>146</v>
      </c>
      <c r="B2" s="116" t="s">
        <v>200</v>
      </c>
      <c r="C2" s="111">
        <v>94</v>
      </c>
      <c r="D2" s="117">
        <v>0.5</v>
      </c>
      <c r="E2" s="111">
        <v>24.8</v>
      </c>
      <c r="F2" s="111">
        <v>0</v>
      </c>
      <c r="G2" s="113" t="s">
        <v>149</v>
      </c>
      <c r="H2" s="113">
        <v>105</v>
      </c>
      <c r="I2" s="111">
        <v>100</v>
      </c>
      <c r="J2" s="111">
        <v>870</v>
      </c>
      <c r="K2" s="113">
        <v>5</v>
      </c>
      <c r="L2" s="104">
        <v>2</v>
      </c>
      <c r="M2" s="104">
        <v>6</v>
      </c>
    </row>
    <row r="3" spans="1:13" x14ac:dyDescent="0.35">
      <c r="A3" s="111" t="s">
        <v>146</v>
      </c>
      <c r="B3" s="116" t="s">
        <v>186</v>
      </c>
      <c r="C3" s="111">
        <v>96</v>
      </c>
      <c r="D3" s="114">
        <v>15.05</v>
      </c>
      <c r="E3" s="111">
        <v>30.2</v>
      </c>
      <c r="F3" s="111">
        <v>0</v>
      </c>
      <c r="G3" s="113" t="s">
        <v>149</v>
      </c>
      <c r="H3" s="113">
        <v>105</v>
      </c>
      <c r="I3" s="111">
        <v>100</v>
      </c>
      <c r="J3" s="111">
        <v>2000</v>
      </c>
      <c r="K3" s="113">
        <v>6</v>
      </c>
      <c r="L3" s="104">
        <v>2</v>
      </c>
      <c r="M3" s="104">
        <v>6</v>
      </c>
    </row>
    <row r="4" spans="1:13" x14ac:dyDescent="0.35">
      <c r="A4" s="111" t="s">
        <v>146</v>
      </c>
      <c r="B4" s="116" t="s">
        <v>200</v>
      </c>
      <c r="C4" s="115">
        <v>94</v>
      </c>
      <c r="D4" s="117">
        <v>0.5</v>
      </c>
      <c r="E4" s="111">
        <v>23</v>
      </c>
      <c r="F4" s="111">
        <v>0</v>
      </c>
      <c r="G4" s="113" t="s">
        <v>150</v>
      </c>
      <c r="H4" s="113">
        <v>108</v>
      </c>
      <c r="I4" s="111">
        <v>100</v>
      </c>
      <c r="J4" s="111">
        <v>2000</v>
      </c>
      <c r="K4" s="113">
        <v>5</v>
      </c>
      <c r="L4" s="104">
        <v>5</v>
      </c>
      <c r="M4" s="104">
        <v>5</v>
      </c>
    </row>
    <row r="5" spans="1:13" x14ac:dyDescent="0.35">
      <c r="A5" s="111" t="s">
        <v>146</v>
      </c>
      <c r="B5" s="116" t="s">
        <v>200</v>
      </c>
      <c r="C5" s="115">
        <v>94</v>
      </c>
      <c r="D5" s="117">
        <v>0.5</v>
      </c>
      <c r="E5" s="111">
        <v>22</v>
      </c>
      <c r="F5" s="111">
        <v>0</v>
      </c>
      <c r="G5" s="113" t="s">
        <v>151</v>
      </c>
      <c r="H5" s="113">
        <v>111</v>
      </c>
      <c r="I5" s="111">
        <v>100</v>
      </c>
      <c r="J5" s="111">
        <v>2000</v>
      </c>
      <c r="K5" s="113">
        <v>5</v>
      </c>
      <c r="L5" s="104">
        <v>1</v>
      </c>
      <c r="M5" s="104">
        <v>1</v>
      </c>
    </row>
    <row r="6" spans="1:13" x14ac:dyDescent="0.35">
      <c r="A6" s="111" t="s">
        <v>146</v>
      </c>
      <c r="B6" s="116" t="s">
        <v>176</v>
      </c>
      <c r="C6" s="111">
        <v>99</v>
      </c>
      <c r="D6" s="117">
        <v>0.27700000000000002</v>
      </c>
      <c r="E6" s="111">
        <v>26.4</v>
      </c>
      <c r="F6" s="111">
        <v>0</v>
      </c>
      <c r="G6" s="113" t="s">
        <v>147</v>
      </c>
      <c r="H6" s="113">
        <v>117</v>
      </c>
      <c r="I6" s="111">
        <v>100</v>
      </c>
      <c r="J6" s="111">
        <v>2000</v>
      </c>
      <c r="K6" s="113">
        <v>4</v>
      </c>
      <c r="L6" s="104">
        <v>6</v>
      </c>
      <c r="M6" s="104">
        <v>22</v>
      </c>
    </row>
    <row r="7" spans="1:13" x14ac:dyDescent="0.35">
      <c r="A7" s="111" t="s">
        <v>146</v>
      </c>
      <c r="B7" s="116" t="s">
        <v>199</v>
      </c>
      <c r="C7" s="111">
        <v>59</v>
      </c>
      <c r="D7" s="114">
        <v>39.5</v>
      </c>
      <c r="E7" s="111">
        <v>31.13</v>
      </c>
      <c r="F7" s="111">
        <v>2.1</v>
      </c>
      <c r="G7" s="113" t="s">
        <v>152</v>
      </c>
      <c r="H7" s="113">
        <v>118</v>
      </c>
      <c r="I7" s="111">
        <v>100</v>
      </c>
      <c r="J7" s="111">
        <v>2000</v>
      </c>
      <c r="K7" s="113">
        <v>2</v>
      </c>
      <c r="L7" s="104">
        <v>4</v>
      </c>
      <c r="M7" s="104">
        <v>9</v>
      </c>
    </row>
    <row r="8" spans="1:13" x14ac:dyDescent="0.35">
      <c r="A8" s="111" t="s">
        <v>146</v>
      </c>
      <c r="B8" s="116" t="s">
        <v>183</v>
      </c>
      <c r="C8" s="111">
        <v>79</v>
      </c>
      <c r="D8" s="114">
        <v>15.5</v>
      </c>
      <c r="E8" s="111">
        <v>28.3</v>
      </c>
      <c r="F8" s="111">
        <v>0</v>
      </c>
      <c r="G8" s="113" t="s">
        <v>152</v>
      </c>
      <c r="H8" s="113">
        <v>118</v>
      </c>
      <c r="I8" s="111">
        <v>100</v>
      </c>
      <c r="J8" s="111">
        <v>1360</v>
      </c>
      <c r="K8" s="113">
        <v>3</v>
      </c>
      <c r="L8" s="104">
        <v>3</v>
      </c>
      <c r="M8" s="104">
        <v>3</v>
      </c>
    </row>
    <row r="9" spans="1:13" x14ac:dyDescent="0.35">
      <c r="A9" s="111" t="s">
        <v>153</v>
      </c>
      <c r="B9" s="116" t="s">
        <v>176</v>
      </c>
      <c r="C9" s="111">
        <v>98</v>
      </c>
      <c r="D9" s="114">
        <v>7.54</v>
      </c>
      <c r="E9" s="111">
        <v>25.8</v>
      </c>
      <c r="F9" s="111">
        <v>0</v>
      </c>
      <c r="G9" s="118">
        <v>44877</v>
      </c>
      <c r="H9" s="113">
        <v>133</v>
      </c>
      <c r="I9" s="111">
        <v>100</v>
      </c>
      <c r="J9" s="111">
        <v>2000</v>
      </c>
      <c r="K9" s="113">
        <v>4</v>
      </c>
      <c r="L9" s="104">
        <v>5</v>
      </c>
      <c r="M9" s="104">
        <v>7</v>
      </c>
    </row>
    <row r="10" spans="1:13" x14ac:dyDescent="0.35">
      <c r="A10" s="111" t="s">
        <v>153</v>
      </c>
      <c r="B10" s="112" t="s">
        <v>198</v>
      </c>
      <c r="C10" s="111">
        <v>58</v>
      </c>
      <c r="D10" s="114">
        <v>30.1</v>
      </c>
      <c r="E10" s="111">
        <v>29.1</v>
      </c>
      <c r="F10" s="111">
        <v>0</v>
      </c>
      <c r="G10" s="118">
        <v>44877</v>
      </c>
      <c r="H10" s="113">
        <v>133</v>
      </c>
      <c r="I10" s="111">
        <v>98.75</v>
      </c>
      <c r="J10" s="111">
        <v>2000</v>
      </c>
      <c r="K10" s="113">
        <v>3</v>
      </c>
      <c r="L10" s="104">
        <v>2</v>
      </c>
      <c r="M10" s="104">
        <v>2</v>
      </c>
    </row>
    <row r="11" spans="1:13" x14ac:dyDescent="0.35">
      <c r="A11" s="111" t="s">
        <v>153</v>
      </c>
      <c r="B11" s="116" t="s">
        <v>199</v>
      </c>
      <c r="C11" s="111">
        <v>77</v>
      </c>
      <c r="D11" s="117">
        <v>1.79</v>
      </c>
      <c r="E11" s="111">
        <v>23.98</v>
      </c>
      <c r="F11" s="111">
        <v>0.83</v>
      </c>
      <c r="G11" s="118" t="s">
        <v>157</v>
      </c>
      <c r="H11" s="113">
        <v>143</v>
      </c>
      <c r="I11" s="111">
        <v>100</v>
      </c>
      <c r="J11" s="111">
        <v>1100</v>
      </c>
      <c r="K11" s="113">
        <v>2</v>
      </c>
      <c r="L11" s="104">
        <v>3</v>
      </c>
      <c r="M11" s="104">
        <v>3</v>
      </c>
    </row>
    <row r="12" spans="1:13" x14ac:dyDescent="0.35">
      <c r="A12" s="111" t="s">
        <v>153</v>
      </c>
      <c r="B12" s="116" t="s">
        <v>199</v>
      </c>
      <c r="C12" s="111">
        <v>98</v>
      </c>
      <c r="D12" s="117">
        <v>3.05</v>
      </c>
      <c r="E12" s="111">
        <v>21.7</v>
      </c>
      <c r="F12" s="111">
        <v>0.9</v>
      </c>
      <c r="G12" s="118" t="s">
        <v>157</v>
      </c>
      <c r="H12" s="113">
        <v>143</v>
      </c>
      <c r="I12" s="111">
        <v>100</v>
      </c>
      <c r="J12" s="111">
        <v>2000</v>
      </c>
      <c r="K12" s="113">
        <v>2</v>
      </c>
      <c r="L12" s="104">
        <v>1</v>
      </c>
      <c r="M12" s="104">
        <v>1</v>
      </c>
    </row>
    <row r="13" spans="1:13" x14ac:dyDescent="0.35">
      <c r="A13" s="111" t="s">
        <v>153</v>
      </c>
      <c r="B13" s="116" t="s">
        <v>185</v>
      </c>
      <c r="C13" s="111">
        <v>80</v>
      </c>
      <c r="D13" s="117">
        <v>14.7</v>
      </c>
      <c r="E13" s="111">
        <v>24.13</v>
      </c>
      <c r="F13" s="111">
        <v>2.1</v>
      </c>
      <c r="G13" s="118" t="s">
        <v>157</v>
      </c>
      <c r="H13" s="113">
        <v>143</v>
      </c>
      <c r="I13" s="111">
        <v>100</v>
      </c>
      <c r="J13" s="111">
        <v>1420</v>
      </c>
      <c r="K13" s="113">
        <v>1</v>
      </c>
      <c r="L13" s="104">
        <v>3</v>
      </c>
      <c r="M13" s="104">
        <v>11</v>
      </c>
    </row>
    <row r="14" spans="1:13" x14ac:dyDescent="0.35">
      <c r="A14" s="111" t="s">
        <v>153</v>
      </c>
      <c r="B14" s="116" t="s">
        <v>200</v>
      </c>
      <c r="C14" s="111">
        <v>98</v>
      </c>
      <c r="D14" s="114">
        <v>3.69</v>
      </c>
      <c r="E14" s="111">
        <v>22.35</v>
      </c>
      <c r="F14" s="111">
        <v>0</v>
      </c>
      <c r="G14" s="118" t="s">
        <v>155</v>
      </c>
      <c r="H14" s="113">
        <v>144</v>
      </c>
      <c r="I14" s="111">
        <v>0</v>
      </c>
      <c r="J14" s="111">
        <v>870</v>
      </c>
      <c r="K14" s="113">
        <v>5</v>
      </c>
      <c r="L14" s="104">
        <v>3</v>
      </c>
      <c r="M14" s="104">
        <v>7</v>
      </c>
    </row>
    <row r="15" spans="1:13" x14ac:dyDescent="0.35">
      <c r="A15" s="111" t="s">
        <v>153</v>
      </c>
      <c r="B15" s="116" t="s">
        <v>200</v>
      </c>
      <c r="C15" s="111">
        <v>65</v>
      </c>
      <c r="D15" s="117">
        <v>3.5000000000000003E-2</v>
      </c>
      <c r="E15" s="111">
        <v>25.7</v>
      </c>
      <c r="F15" s="111">
        <v>0</v>
      </c>
      <c r="G15" s="118" t="s">
        <v>156</v>
      </c>
      <c r="H15" s="113">
        <v>145</v>
      </c>
      <c r="I15" s="111">
        <v>100</v>
      </c>
      <c r="J15" s="111">
        <v>2000</v>
      </c>
      <c r="K15" s="113">
        <v>5</v>
      </c>
      <c r="L15" s="104">
        <v>3</v>
      </c>
      <c r="M15" s="104">
        <v>3</v>
      </c>
    </row>
    <row r="16" spans="1:13" x14ac:dyDescent="0.35">
      <c r="A16" s="111" t="s">
        <v>153</v>
      </c>
      <c r="B16" s="116" t="s">
        <v>199</v>
      </c>
      <c r="C16" s="111">
        <v>78</v>
      </c>
      <c r="D16" s="117">
        <v>20.350000000000001</v>
      </c>
      <c r="E16" s="111">
        <v>22.55</v>
      </c>
      <c r="F16" s="111">
        <v>0</v>
      </c>
      <c r="G16" s="118" t="s">
        <v>156</v>
      </c>
      <c r="H16" s="113">
        <v>145</v>
      </c>
      <c r="I16" s="111">
        <v>38.33</v>
      </c>
      <c r="J16" s="104">
        <v>1420</v>
      </c>
      <c r="K16" s="113">
        <v>2</v>
      </c>
      <c r="L16" s="104">
        <v>6</v>
      </c>
      <c r="M16" s="104">
        <v>14</v>
      </c>
    </row>
    <row r="17" spans="1:13" x14ac:dyDescent="0.35">
      <c r="A17" s="111" t="s">
        <v>153</v>
      </c>
      <c r="B17" s="116" t="s">
        <v>199</v>
      </c>
      <c r="C17" s="111">
        <v>77</v>
      </c>
      <c r="D17" s="117">
        <v>12.54</v>
      </c>
      <c r="E17" s="111">
        <v>25.3</v>
      </c>
      <c r="F17" s="111">
        <v>1</v>
      </c>
      <c r="G17" s="118" t="s">
        <v>156</v>
      </c>
      <c r="H17" s="113">
        <v>145</v>
      </c>
      <c r="I17" s="111">
        <v>100</v>
      </c>
      <c r="J17" s="111">
        <v>2000</v>
      </c>
      <c r="K17" s="113">
        <v>2</v>
      </c>
      <c r="L17" s="104">
        <v>1</v>
      </c>
      <c r="M17" s="104">
        <v>5</v>
      </c>
    </row>
    <row r="18" spans="1:13" x14ac:dyDescent="0.35">
      <c r="A18" s="111" t="s">
        <v>153</v>
      </c>
      <c r="B18" s="116" t="s">
        <v>183</v>
      </c>
      <c r="C18" s="111">
        <v>95</v>
      </c>
      <c r="D18" s="114">
        <v>5.99</v>
      </c>
      <c r="E18" s="111">
        <v>25.7</v>
      </c>
      <c r="F18" s="111">
        <v>0</v>
      </c>
      <c r="G18" s="118" t="s">
        <v>156</v>
      </c>
      <c r="H18" s="113">
        <v>145</v>
      </c>
      <c r="I18" s="111">
        <v>100</v>
      </c>
      <c r="J18" s="111">
        <v>1420</v>
      </c>
      <c r="K18" s="113">
        <v>3</v>
      </c>
      <c r="L18" s="104">
        <v>5</v>
      </c>
      <c r="M18" s="104">
        <v>7</v>
      </c>
    </row>
    <row r="19" spans="1:13" x14ac:dyDescent="0.35">
      <c r="A19" s="111" t="s">
        <v>153</v>
      </c>
      <c r="B19" s="116" t="s">
        <v>176</v>
      </c>
      <c r="C19" s="111">
        <v>99</v>
      </c>
      <c r="D19" s="114">
        <v>6.06</v>
      </c>
      <c r="E19" s="111">
        <v>25.35</v>
      </c>
      <c r="F19" s="111">
        <v>0</v>
      </c>
      <c r="G19" s="113" t="s">
        <v>154</v>
      </c>
      <c r="H19" s="113">
        <v>146</v>
      </c>
      <c r="I19" s="111">
        <v>100</v>
      </c>
      <c r="J19" s="111">
        <v>580</v>
      </c>
      <c r="K19" s="113">
        <v>4</v>
      </c>
      <c r="L19" s="104">
        <v>9</v>
      </c>
      <c r="M19" s="104">
        <v>9</v>
      </c>
    </row>
    <row r="20" spans="1:13" x14ac:dyDescent="0.35">
      <c r="A20" s="111" t="s">
        <v>158</v>
      </c>
      <c r="B20" s="116" t="s">
        <v>183</v>
      </c>
      <c r="C20" s="111">
        <v>77</v>
      </c>
      <c r="D20" s="114">
        <v>19</v>
      </c>
      <c r="E20" s="111">
        <v>23.9</v>
      </c>
      <c r="F20" s="111">
        <v>0</v>
      </c>
      <c r="G20" s="118">
        <v>45078</v>
      </c>
      <c r="H20" s="106">
        <v>159</v>
      </c>
      <c r="I20" s="111">
        <v>100</v>
      </c>
      <c r="J20" s="111">
        <v>2000</v>
      </c>
      <c r="K20" s="113">
        <v>3</v>
      </c>
      <c r="L20" s="104">
        <v>4</v>
      </c>
      <c r="M20" s="104">
        <v>13</v>
      </c>
    </row>
    <row r="21" spans="1:13" x14ac:dyDescent="0.35">
      <c r="A21" s="111" t="s">
        <v>158</v>
      </c>
      <c r="B21" s="116" t="s">
        <v>176</v>
      </c>
      <c r="C21" s="111">
        <v>96</v>
      </c>
      <c r="D21" s="114">
        <v>1.1399999999999999</v>
      </c>
      <c r="E21" s="111">
        <v>26.4</v>
      </c>
      <c r="F21" s="111">
        <v>0</v>
      </c>
      <c r="G21" s="118">
        <v>45108</v>
      </c>
      <c r="H21" s="106">
        <v>160</v>
      </c>
      <c r="I21" s="111">
        <v>22</v>
      </c>
      <c r="J21" s="111">
        <v>550</v>
      </c>
      <c r="K21" s="113">
        <v>4</v>
      </c>
      <c r="L21" s="104">
        <v>4</v>
      </c>
      <c r="M21" s="104">
        <v>7</v>
      </c>
    </row>
    <row r="22" spans="1:13" x14ac:dyDescent="0.35">
      <c r="A22" s="111" t="s">
        <v>158</v>
      </c>
      <c r="B22" s="116" t="s">
        <v>200</v>
      </c>
      <c r="C22" s="111">
        <v>87</v>
      </c>
      <c r="D22" s="114">
        <v>0.03</v>
      </c>
      <c r="E22" s="111">
        <v>23.2</v>
      </c>
      <c r="F22" s="111">
        <v>0</v>
      </c>
      <c r="G22" s="118">
        <v>45108</v>
      </c>
      <c r="H22" s="106">
        <v>160</v>
      </c>
      <c r="I22" s="111">
        <v>100</v>
      </c>
      <c r="J22" s="111">
        <v>2000</v>
      </c>
      <c r="K22" s="113">
        <v>5</v>
      </c>
      <c r="L22" s="104">
        <v>3</v>
      </c>
      <c r="M22" s="104">
        <v>3</v>
      </c>
    </row>
    <row r="23" spans="1:13" x14ac:dyDescent="0.35">
      <c r="A23" s="111" t="s">
        <v>158</v>
      </c>
      <c r="B23" s="116" t="s">
        <v>200</v>
      </c>
      <c r="C23" s="111">
        <v>89</v>
      </c>
      <c r="D23" s="114">
        <v>2.74</v>
      </c>
      <c r="E23" s="111">
        <v>23.5</v>
      </c>
      <c r="F23" s="111">
        <v>0</v>
      </c>
      <c r="G23" s="118" t="s">
        <v>162</v>
      </c>
      <c r="H23" s="106">
        <v>167</v>
      </c>
      <c r="I23" s="111">
        <v>0</v>
      </c>
      <c r="J23" s="111">
        <v>700</v>
      </c>
      <c r="K23" s="113">
        <v>5</v>
      </c>
      <c r="L23" s="104">
        <v>13</v>
      </c>
      <c r="M23" s="104">
        <v>16</v>
      </c>
    </row>
    <row r="24" spans="1:13" x14ac:dyDescent="0.35">
      <c r="A24" s="111" t="s">
        <v>158</v>
      </c>
      <c r="B24" s="116" t="s">
        <v>199</v>
      </c>
      <c r="C24" s="111">
        <v>66</v>
      </c>
      <c r="D24" s="114">
        <v>6.27</v>
      </c>
      <c r="E24" s="111">
        <v>26.2</v>
      </c>
      <c r="F24" s="111">
        <v>0.8</v>
      </c>
      <c r="G24" s="118" t="s">
        <v>162</v>
      </c>
      <c r="H24" s="106">
        <v>167</v>
      </c>
      <c r="I24" s="111">
        <v>100</v>
      </c>
      <c r="J24" s="111">
        <v>2000</v>
      </c>
      <c r="K24" s="113">
        <v>2</v>
      </c>
      <c r="L24" s="104">
        <v>1</v>
      </c>
      <c r="M24" s="104">
        <v>1</v>
      </c>
    </row>
    <row r="25" spans="1:13" x14ac:dyDescent="0.35">
      <c r="A25" s="111" t="s">
        <v>158</v>
      </c>
      <c r="B25" s="116" t="s">
        <v>200</v>
      </c>
      <c r="C25" s="111">
        <v>85</v>
      </c>
      <c r="D25" s="114">
        <v>0.04</v>
      </c>
      <c r="E25" s="111">
        <v>23.2</v>
      </c>
      <c r="F25" s="111">
        <v>0</v>
      </c>
      <c r="G25" s="118" t="s">
        <v>163</v>
      </c>
      <c r="H25" s="106">
        <v>168</v>
      </c>
      <c r="I25" s="111">
        <v>50</v>
      </c>
      <c r="J25" s="111">
        <v>2000</v>
      </c>
      <c r="K25" s="113">
        <v>5</v>
      </c>
      <c r="L25" s="104">
        <v>1</v>
      </c>
      <c r="M25" s="104">
        <v>1</v>
      </c>
    </row>
    <row r="26" spans="1:13" x14ac:dyDescent="0.35">
      <c r="A26" s="111" t="s">
        <v>158</v>
      </c>
      <c r="B26" s="116" t="s">
        <v>199</v>
      </c>
      <c r="C26" s="104">
        <v>72</v>
      </c>
      <c r="D26" s="104">
        <v>17.850000000000001</v>
      </c>
      <c r="E26" s="104">
        <v>26.9</v>
      </c>
      <c r="F26" s="104">
        <v>1.6</v>
      </c>
      <c r="G26" s="113" t="s">
        <v>163</v>
      </c>
      <c r="H26" s="106">
        <v>168</v>
      </c>
      <c r="I26" s="104">
        <v>90</v>
      </c>
      <c r="J26" s="111">
        <v>700</v>
      </c>
      <c r="K26" s="113">
        <v>2</v>
      </c>
      <c r="L26" s="104">
        <v>2</v>
      </c>
      <c r="M26" s="104">
        <v>3</v>
      </c>
    </row>
    <row r="27" spans="1:13" x14ac:dyDescent="0.35">
      <c r="A27" s="111" t="s">
        <v>158</v>
      </c>
      <c r="B27" s="116" t="s">
        <v>178</v>
      </c>
      <c r="C27" s="111">
        <v>99</v>
      </c>
      <c r="D27" s="114">
        <v>6.93</v>
      </c>
      <c r="E27" s="111">
        <v>23.5</v>
      </c>
      <c r="F27" s="111">
        <v>0</v>
      </c>
      <c r="G27" s="118" t="s">
        <v>159</v>
      </c>
      <c r="H27" s="106">
        <v>169</v>
      </c>
      <c r="I27" s="111">
        <v>98</v>
      </c>
      <c r="J27" s="111">
        <v>2000</v>
      </c>
      <c r="K27" s="113">
        <v>3</v>
      </c>
      <c r="L27" s="104">
        <v>7</v>
      </c>
      <c r="M27" s="104">
        <v>7</v>
      </c>
    </row>
    <row r="28" spans="1:13" x14ac:dyDescent="0.35">
      <c r="A28" s="111" t="s">
        <v>158</v>
      </c>
      <c r="B28" s="116" t="s">
        <v>176</v>
      </c>
      <c r="C28" s="111">
        <v>99</v>
      </c>
      <c r="D28" s="114">
        <v>8.52</v>
      </c>
      <c r="E28" s="111">
        <v>26.5</v>
      </c>
      <c r="F28" s="111">
        <v>0</v>
      </c>
      <c r="G28" s="118" t="s">
        <v>160</v>
      </c>
      <c r="H28" s="106">
        <v>174</v>
      </c>
      <c r="I28" s="111">
        <v>100</v>
      </c>
      <c r="J28" s="111">
        <v>2000</v>
      </c>
      <c r="K28" s="113">
        <v>4</v>
      </c>
      <c r="L28" s="104">
        <v>5</v>
      </c>
      <c r="M28" s="104">
        <v>6</v>
      </c>
    </row>
    <row r="29" spans="1:13" x14ac:dyDescent="0.35">
      <c r="A29" s="111" t="s">
        <v>158</v>
      </c>
      <c r="B29" s="116" t="s">
        <v>178</v>
      </c>
      <c r="C29" s="111">
        <v>99</v>
      </c>
      <c r="D29" s="114">
        <v>6.8</v>
      </c>
      <c r="E29" s="111">
        <v>23.5</v>
      </c>
      <c r="F29" s="111">
        <v>0</v>
      </c>
      <c r="G29" s="118" t="s">
        <v>161</v>
      </c>
      <c r="H29" s="106">
        <v>175</v>
      </c>
      <c r="I29" s="111">
        <v>100</v>
      </c>
      <c r="J29" s="111">
        <v>2000</v>
      </c>
      <c r="K29" s="113">
        <v>3</v>
      </c>
      <c r="L29" s="104">
        <v>1</v>
      </c>
      <c r="M29" s="104">
        <v>1</v>
      </c>
    </row>
    <row r="30" spans="1:13" x14ac:dyDescent="0.35">
      <c r="A30" s="111" t="s">
        <v>164</v>
      </c>
      <c r="B30" s="116" t="s">
        <v>176</v>
      </c>
      <c r="C30" s="111">
        <v>89</v>
      </c>
      <c r="D30" s="114">
        <v>1.36</v>
      </c>
      <c r="E30" s="111">
        <v>23.18</v>
      </c>
      <c r="F30" s="111">
        <v>0</v>
      </c>
      <c r="G30" s="118">
        <v>44987</v>
      </c>
      <c r="H30" s="113">
        <v>187</v>
      </c>
      <c r="I30" s="111">
        <v>100</v>
      </c>
      <c r="J30" s="111">
        <v>2000</v>
      </c>
      <c r="K30" s="113">
        <v>4</v>
      </c>
      <c r="L30" s="104">
        <v>8</v>
      </c>
      <c r="M30" s="104">
        <v>11</v>
      </c>
    </row>
    <row r="31" spans="1:13" x14ac:dyDescent="0.35">
      <c r="A31" s="111" t="s">
        <v>164</v>
      </c>
      <c r="B31" s="116" t="s">
        <v>180</v>
      </c>
      <c r="C31" s="111">
        <v>91</v>
      </c>
      <c r="D31" s="114">
        <v>0.57999999999999996</v>
      </c>
      <c r="E31" s="111">
        <v>26.4</v>
      </c>
      <c r="F31" s="111">
        <v>0</v>
      </c>
      <c r="G31" s="118">
        <v>45018</v>
      </c>
      <c r="H31" s="113">
        <v>188</v>
      </c>
      <c r="I31" s="111">
        <v>100</v>
      </c>
      <c r="J31" s="111">
        <v>780</v>
      </c>
      <c r="K31" s="113">
        <v>5</v>
      </c>
      <c r="L31" s="104">
        <v>10</v>
      </c>
      <c r="M31" s="104">
        <v>10</v>
      </c>
    </row>
    <row r="32" spans="1:13" x14ac:dyDescent="0.35">
      <c r="A32" s="111" t="s">
        <v>164</v>
      </c>
      <c r="B32" s="116" t="s">
        <v>200</v>
      </c>
      <c r="C32" s="111">
        <v>91</v>
      </c>
      <c r="D32" s="114">
        <v>1.1499999999999999</v>
      </c>
      <c r="E32" s="111">
        <v>24.4</v>
      </c>
      <c r="F32" s="111">
        <v>0</v>
      </c>
      <c r="G32" s="118">
        <v>45048</v>
      </c>
      <c r="H32" s="113">
        <v>189</v>
      </c>
      <c r="I32" s="111">
        <v>100</v>
      </c>
      <c r="J32" s="111">
        <v>480</v>
      </c>
      <c r="K32" s="113">
        <v>5</v>
      </c>
      <c r="L32" s="104">
        <v>8</v>
      </c>
      <c r="M32" s="104">
        <v>8</v>
      </c>
    </row>
    <row r="33" spans="1:13" x14ac:dyDescent="0.35">
      <c r="A33" s="111" t="s">
        <v>164</v>
      </c>
      <c r="B33" s="116" t="s">
        <v>199</v>
      </c>
      <c r="C33" s="111">
        <v>86.5</v>
      </c>
      <c r="D33" s="114">
        <v>33.18</v>
      </c>
      <c r="E33" s="111">
        <v>25.7</v>
      </c>
      <c r="F33" s="111">
        <v>1.2</v>
      </c>
      <c r="G33" s="118">
        <v>45079</v>
      </c>
      <c r="H33" s="113">
        <v>190</v>
      </c>
      <c r="I33" s="111">
        <v>100</v>
      </c>
      <c r="J33" s="111">
        <v>2000</v>
      </c>
      <c r="K33" s="113">
        <v>2</v>
      </c>
      <c r="L33" s="104">
        <v>3</v>
      </c>
      <c r="M33" s="104">
        <v>6</v>
      </c>
    </row>
    <row r="34" spans="1:13" x14ac:dyDescent="0.35">
      <c r="A34" s="111" t="s">
        <v>164</v>
      </c>
      <c r="B34" s="116" t="s">
        <v>186</v>
      </c>
      <c r="C34" s="111">
        <v>87</v>
      </c>
      <c r="D34" s="114">
        <v>0.15</v>
      </c>
      <c r="E34" s="111">
        <v>15.2</v>
      </c>
      <c r="F34" s="111">
        <v>0</v>
      </c>
      <c r="G34" s="118" t="s">
        <v>167</v>
      </c>
      <c r="H34" s="113">
        <v>201</v>
      </c>
      <c r="I34" s="111">
        <v>100</v>
      </c>
      <c r="J34" s="111">
        <v>2000</v>
      </c>
      <c r="K34" s="113">
        <v>6</v>
      </c>
      <c r="L34" s="104">
        <v>3</v>
      </c>
      <c r="M34" s="104">
        <v>3</v>
      </c>
    </row>
    <row r="35" spans="1:13" x14ac:dyDescent="0.35">
      <c r="A35" s="111" t="s">
        <v>164</v>
      </c>
      <c r="B35" s="116" t="s">
        <v>200</v>
      </c>
      <c r="C35" s="111">
        <v>94</v>
      </c>
      <c r="D35" s="114">
        <v>1.2</v>
      </c>
      <c r="E35" s="111">
        <v>24.4</v>
      </c>
      <c r="F35" s="111">
        <v>0</v>
      </c>
      <c r="G35" s="118" t="s">
        <v>166</v>
      </c>
      <c r="H35" s="113">
        <v>202</v>
      </c>
      <c r="I35" s="111">
        <v>100</v>
      </c>
      <c r="J35" s="111">
        <v>2000</v>
      </c>
      <c r="K35" s="113">
        <v>5</v>
      </c>
      <c r="L35" s="104">
        <v>1</v>
      </c>
      <c r="M35" s="104">
        <v>1</v>
      </c>
    </row>
    <row r="36" spans="1:13" x14ac:dyDescent="0.35">
      <c r="A36" s="111" t="s">
        <v>164</v>
      </c>
      <c r="B36" s="116" t="s">
        <v>177</v>
      </c>
      <c r="C36" s="111">
        <v>90</v>
      </c>
      <c r="D36" s="114">
        <v>1.5</v>
      </c>
      <c r="E36" s="111">
        <v>23.4</v>
      </c>
      <c r="F36" s="111">
        <v>0</v>
      </c>
      <c r="G36" s="118" t="s">
        <v>165</v>
      </c>
      <c r="H36" s="113">
        <v>203</v>
      </c>
      <c r="I36" s="111">
        <v>100</v>
      </c>
      <c r="J36" s="111">
        <v>2000</v>
      </c>
      <c r="K36" s="113">
        <v>3</v>
      </c>
      <c r="L36" s="104">
        <v>1</v>
      </c>
      <c r="M36" s="104">
        <v>1</v>
      </c>
    </row>
    <row r="37" spans="1:13" x14ac:dyDescent="0.35">
      <c r="A37" s="111" t="s">
        <v>168</v>
      </c>
      <c r="B37" s="111" t="s">
        <v>180</v>
      </c>
      <c r="C37" s="111">
        <v>97</v>
      </c>
      <c r="D37" s="114">
        <v>1.08</v>
      </c>
      <c r="E37" s="111">
        <v>25.4</v>
      </c>
      <c r="F37" s="111">
        <v>0</v>
      </c>
      <c r="G37" s="100">
        <v>45233</v>
      </c>
      <c r="H37" s="113">
        <v>223</v>
      </c>
      <c r="I37" s="111">
        <v>100</v>
      </c>
      <c r="J37" s="111">
        <v>2000</v>
      </c>
      <c r="K37" s="113">
        <v>5</v>
      </c>
      <c r="L37" s="104">
        <v>6</v>
      </c>
      <c r="M37" s="104">
        <v>8</v>
      </c>
    </row>
    <row r="38" spans="1:13" x14ac:dyDescent="0.35">
      <c r="A38" s="111" t="s">
        <v>168</v>
      </c>
      <c r="B38" s="111" t="s">
        <v>176</v>
      </c>
      <c r="C38" s="111">
        <v>92</v>
      </c>
      <c r="D38" s="114">
        <v>0.14000000000000001</v>
      </c>
      <c r="E38" s="111">
        <v>22.5</v>
      </c>
      <c r="F38" s="111">
        <v>0</v>
      </c>
      <c r="G38" s="113" t="s">
        <v>170</v>
      </c>
      <c r="H38" s="113">
        <v>225</v>
      </c>
      <c r="I38" s="111">
        <v>60</v>
      </c>
      <c r="J38" s="111">
        <v>2000</v>
      </c>
      <c r="K38" s="113">
        <v>4</v>
      </c>
      <c r="L38" s="104">
        <v>1</v>
      </c>
      <c r="M38" s="104">
        <v>2</v>
      </c>
    </row>
    <row r="39" spans="1:13" x14ac:dyDescent="0.35">
      <c r="A39" s="111" t="s">
        <v>168</v>
      </c>
      <c r="B39" s="111" t="s">
        <v>200</v>
      </c>
      <c r="C39" s="111">
        <v>84</v>
      </c>
      <c r="D39" s="114">
        <v>0.17</v>
      </c>
      <c r="E39" s="111">
        <v>24</v>
      </c>
      <c r="F39" s="111">
        <v>0</v>
      </c>
      <c r="G39" s="105" t="s">
        <v>171</v>
      </c>
      <c r="H39" s="113">
        <v>227</v>
      </c>
      <c r="I39" s="111">
        <v>100</v>
      </c>
      <c r="J39" s="111">
        <v>2000</v>
      </c>
      <c r="K39" s="113">
        <v>5</v>
      </c>
      <c r="L39" s="104">
        <v>2</v>
      </c>
      <c r="M39" s="104">
        <v>2</v>
      </c>
    </row>
    <row r="40" spans="1:13" x14ac:dyDescent="0.35">
      <c r="A40" s="111" t="s">
        <v>168</v>
      </c>
      <c r="B40" s="104" t="s">
        <v>199</v>
      </c>
      <c r="C40" s="104">
        <v>92</v>
      </c>
      <c r="D40" s="124">
        <v>15.6</v>
      </c>
      <c r="E40" s="104">
        <v>23.5</v>
      </c>
      <c r="F40" s="104">
        <v>0.7</v>
      </c>
      <c r="G40" s="105" t="s">
        <v>171</v>
      </c>
      <c r="H40" s="105">
        <v>227</v>
      </c>
      <c r="I40" s="104">
        <v>2</v>
      </c>
      <c r="J40" s="104">
        <v>480</v>
      </c>
      <c r="K40" s="105">
        <v>2</v>
      </c>
      <c r="L40" s="104">
        <v>1</v>
      </c>
      <c r="M40" s="104">
        <v>1</v>
      </c>
    </row>
    <row r="41" spans="1:13" x14ac:dyDescent="0.35">
      <c r="A41" s="111" t="s">
        <v>168</v>
      </c>
      <c r="B41" s="104" t="s">
        <v>199</v>
      </c>
      <c r="C41" s="104">
        <v>79</v>
      </c>
      <c r="D41" s="124">
        <v>7.6</v>
      </c>
      <c r="E41" s="104">
        <v>25.4</v>
      </c>
      <c r="F41" s="104">
        <v>0</v>
      </c>
      <c r="G41" s="105" t="s">
        <v>171</v>
      </c>
      <c r="H41" s="105">
        <v>227</v>
      </c>
      <c r="I41" s="104">
        <v>100</v>
      </c>
      <c r="J41" s="104">
        <v>2000</v>
      </c>
      <c r="K41" s="105">
        <v>2</v>
      </c>
      <c r="L41" s="104">
        <v>2</v>
      </c>
      <c r="M41" s="104">
        <v>5</v>
      </c>
    </row>
    <row r="42" spans="1:13" x14ac:dyDescent="0.35">
      <c r="A42" s="111" t="s">
        <v>168</v>
      </c>
      <c r="B42" s="104" t="s">
        <v>183</v>
      </c>
      <c r="C42" s="104">
        <v>89</v>
      </c>
      <c r="D42" s="124">
        <v>1</v>
      </c>
      <c r="E42" s="104">
        <v>22.2</v>
      </c>
      <c r="F42" s="104">
        <v>0</v>
      </c>
      <c r="G42" s="105" t="s">
        <v>171</v>
      </c>
      <c r="H42" s="105">
        <v>227</v>
      </c>
      <c r="I42" s="104">
        <v>100</v>
      </c>
      <c r="J42" s="104">
        <v>1420</v>
      </c>
      <c r="K42" s="105">
        <v>3</v>
      </c>
      <c r="L42" s="104">
        <v>4</v>
      </c>
      <c r="M42" s="104">
        <v>4</v>
      </c>
    </row>
    <row r="43" spans="1:13" x14ac:dyDescent="0.35">
      <c r="A43" s="111" t="s">
        <v>168</v>
      </c>
      <c r="B43" s="111" t="s">
        <v>176</v>
      </c>
      <c r="C43" s="111">
        <v>92</v>
      </c>
      <c r="D43" s="114">
        <v>0.14000000000000001</v>
      </c>
      <c r="E43" s="111">
        <v>22.5</v>
      </c>
      <c r="F43" s="111">
        <v>0</v>
      </c>
      <c r="G43" s="113" t="s">
        <v>169</v>
      </c>
      <c r="H43" s="113">
        <v>228</v>
      </c>
      <c r="I43" s="111">
        <v>100</v>
      </c>
      <c r="J43" s="111">
        <v>480</v>
      </c>
      <c r="K43" s="113">
        <v>4</v>
      </c>
      <c r="L43" s="104">
        <v>6</v>
      </c>
      <c r="M43" s="104">
        <v>11</v>
      </c>
    </row>
    <row r="44" spans="1:13" x14ac:dyDescent="0.35">
      <c r="A44" s="111" t="s">
        <v>168</v>
      </c>
      <c r="B44" s="111" t="s">
        <v>200</v>
      </c>
      <c r="C44" s="111">
        <v>99</v>
      </c>
      <c r="D44" s="114">
        <v>24.2</v>
      </c>
      <c r="E44" s="111">
        <v>26.1</v>
      </c>
      <c r="F44" s="111">
        <v>0</v>
      </c>
      <c r="G44" s="113" t="s">
        <v>169</v>
      </c>
      <c r="H44" s="113">
        <v>228</v>
      </c>
      <c r="I44" s="111">
        <v>35</v>
      </c>
      <c r="J44" s="111">
        <v>480</v>
      </c>
      <c r="K44" s="113">
        <v>5</v>
      </c>
      <c r="L44" s="104">
        <v>11</v>
      </c>
      <c r="M44" s="104">
        <v>11</v>
      </c>
    </row>
    <row r="45" spans="1:13" x14ac:dyDescent="0.35">
      <c r="A45" s="104" t="s">
        <v>172</v>
      </c>
      <c r="B45" s="104" t="s">
        <v>177</v>
      </c>
      <c r="C45" s="104">
        <v>96</v>
      </c>
      <c r="D45" s="124">
        <v>1.1299999999999999</v>
      </c>
      <c r="E45" s="104">
        <v>26.4</v>
      </c>
      <c r="F45" s="104">
        <v>0</v>
      </c>
      <c r="G45" s="100">
        <v>45111</v>
      </c>
      <c r="H45" s="105">
        <v>250</v>
      </c>
      <c r="I45" s="104">
        <v>100</v>
      </c>
      <c r="J45" s="104">
        <v>2000</v>
      </c>
      <c r="K45" s="105">
        <v>3</v>
      </c>
      <c r="L45" s="104">
        <v>5</v>
      </c>
      <c r="M45" s="104">
        <v>5</v>
      </c>
    </row>
    <row r="46" spans="1:13" x14ac:dyDescent="0.35">
      <c r="A46" s="104" t="s">
        <v>172</v>
      </c>
      <c r="B46" s="104" t="s">
        <v>200</v>
      </c>
      <c r="C46" s="104">
        <v>99</v>
      </c>
      <c r="D46" s="124">
        <v>0.28000000000000003</v>
      </c>
      <c r="E46" s="104">
        <v>23.5</v>
      </c>
      <c r="F46" s="104">
        <v>0</v>
      </c>
      <c r="G46" s="100">
        <v>45142</v>
      </c>
      <c r="H46" s="105">
        <v>251</v>
      </c>
      <c r="I46" s="104">
        <v>100</v>
      </c>
      <c r="J46" s="104">
        <v>650</v>
      </c>
      <c r="K46" s="105">
        <v>5</v>
      </c>
      <c r="L46" s="104">
        <v>7</v>
      </c>
      <c r="M46" s="104">
        <v>10</v>
      </c>
    </row>
    <row r="47" spans="1:13" x14ac:dyDescent="0.35">
      <c r="A47" s="104" t="s">
        <v>172</v>
      </c>
      <c r="B47" s="104" t="s">
        <v>183</v>
      </c>
      <c r="C47" s="104">
        <v>84</v>
      </c>
      <c r="D47" s="124">
        <v>0.5</v>
      </c>
      <c r="E47" s="104">
        <v>25.9</v>
      </c>
      <c r="F47" s="104">
        <v>0</v>
      </c>
      <c r="G47" s="100">
        <v>45173</v>
      </c>
      <c r="H47" s="105">
        <v>252</v>
      </c>
      <c r="I47" s="104">
        <v>100</v>
      </c>
      <c r="J47" s="104">
        <v>2000</v>
      </c>
      <c r="K47" s="105">
        <v>3</v>
      </c>
      <c r="L47" s="104">
        <v>4</v>
      </c>
      <c r="M47" s="104">
        <v>4</v>
      </c>
    </row>
    <row r="48" spans="1:13" x14ac:dyDescent="0.35">
      <c r="G48" s="100"/>
      <c r="H48" s="105"/>
    </row>
  </sheetData>
  <autoFilter ref="A1:M1">
    <sortState ref="A2:M120">
      <sortCondition ref="H1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19" workbookViewId="0">
      <selection activeCell="A15" sqref="A15"/>
    </sheetView>
  </sheetViews>
  <sheetFormatPr defaultRowHeight="14.5" x14ac:dyDescent="0.35"/>
  <cols>
    <col min="1" max="2" width="8.7265625" style="125"/>
    <col min="3" max="3" width="8.7265625" style="152"/>
  </cols>
  <sheetData>
    <row r="1" spans="1:3" ht="91.5" x14ac:dyDescent="0.35">
      <c r="A1" s="129" t="s">
        <v>201</v>
      </c>
      <c r="B1" s="129" t="s">
        <v>197</v>
      </c>
      <c r="C1" s="107" t="s">
        <v>196</v>
      </c>
    </row>
    <row r="2" spans="1:3" x14ac:dyDescent="0.35">
      <c r="A2" s="131">
        <v>105</v>
      </c>
      <c r="B2" s="130">
        <v>870</v>
      </c>
      <c r="C2" s="156" t="s">
        <v>146</v>
      </c>
    </row>
    <row r="3" spans="1:3" x14ac:dyDescent="0.35">
      <c r="A3" s="131">
        <v>105</v>
      </c>
      <c r="B3" s="130">
        <v>2000</v>
      </c>
      <c r="C3" s="156" t="s">
        <v>146</v>
      </c>
    </row>
    <row r="4" spans="1:3" x14ac:dyDescent="0.35">
      <c r="A4" s="131">
        <v>108</v>
      </c>
      <c r="B4" s="130">
        <v>2000</v>
      </c>
      <c r="C4" s="156" t="s">
        <v>146</v>
      </c>
    </row>
    <row r="5" spans="1:3" x14ac:dyDescent="0.35">
      <c r="A5" s="131">
        <v>111</v>
      </c>
      <c r="B5" s="130">
        <v>2000</v>
      </c>
      <c r="C5" s="156" t="s">
        <v>146</v>
      </c>
    </row>
    <row r="6" spans="1:3" x14ac:dyDescent="0.35">
      <c r="A6" s="131">
        <v>117</v>
      </c>
      <c r="B6" s="130">
        <v>2000</v>
      </c>
      <c r="C6" s="156" t="s">
        <v>146</v>
      </c>
    </row>
    <row r="7" spans="1:3" x14ac:dyDescent="0.35">
      <c r="A7" s="131">
        <v>118</v>
      </c>
      <c r="B7" s="130">
        <v>2000</v>
      </c>
      <c r="C7" s="156" t="s">
        <v>146</v>
      </c>
    </row>
    <row r="8" spans="1:3" x14ac:dyDescent="0.35">
      <c r="A8" s="131">
        <v>118</v>
      </c>
      <c r="B8" s="130">
        <v>1360</v>
      </c>
      <c r="C8" s="156" t="s">
        <v>146</v>
      </c>
    </row>
    <row r="9" spans="1:3" x14ac:dyDescent="0.35">
      <c r="A9" s="131">
        <v>133</v>
      </c>
      <c r="B9" s="130">
        <v>2000</v>
      </c>
      <c r="C9" s="156" t="s">
        <v>153</v>
      </c>
    </row>
    <row r="10" spans="1:3" x14ac:dyDescent="0.35">
      <c r="A10" s="131">
        <v>133</v>
      </c>
      <c r="B10" s="130">
        <v>2000</v>
      </c>
      <c r="C10" s="156" t="s">
        <v>153</v>
      </c>
    </row>
    <row r="11" spans="1:3" x14ac:dyDescent="0.35">
      <c r="A11" s="131">
        <v>143</v>
      </c>
      <c r="B11" s="130">
        <v>1100</v>
      </c>
      <c r="C11" s="156" t="s">
        <v>153</v>
      </c>
    </row>
    <row r="12" spans="1:3" x14ac:dyDescent="0.35">
      <c r="A12" s="131">
        <v>143</v>
      </c>
      <c r="B12" s="130">
        <v>2000</v>
      </c>
      <c r="C12" s="156" t="s">
        <v>153</v>
      </c>
    </row>
    <row r="13" spans="1:3" x14ac:dyDescent="0.35">
      <c r="A13" s="131">
        <v>143</v>
      </c>
      <c r="B13" s="130">
        <v>1420</v>
      </c>
      <c r="C13" s="156" t="s">
        <v>153</v>
      </c>
    </row>
    <row r="14" spans="1:3" x14ac:dyDescent="0.35">
      <c r="A14" s="131">
        <v>144</v>
      </c>
      <c r="B14" s="130">
        <v>870</v>
      </c>
      <c r="C14" s="156" t="s">
        <v>153</v>
      </c>
    </row>
    <row r="15" spans="1:3" x14ac:dyDescent="0.35">
      <c r="A15" s="131">
        <v>145</v>
      </c>
      <c r="B15" s="130">
        <v>2000</v>
      </c>
      <c r="C15" s="156" t="s">
        <v>153</v>
      </c>
    </row>
    <row r="16" spans="1:3" x14ac:dyDescent="0.35">
      <c r="A16" s="131">
        <v>145</v>
      </c>
      <c r="B16" s="126">
        <v>1420</v>
      </c>
      <c r="C16" s="156" t="s">
        <v>153</v>
      </c>
    </row>
    <row r="17" spans="1:3" x14ac:dyDescent="0.35">
      <c r="A17" s="131">
        <v>145</v>
      </c>
      <c r="B17" s="130">
        <v>2000</v>
      </c>
      <c r="C17" s="156" t="s">
        <v>153</v>
      </c>
    </row>
    <row r="18" spans="1:3" x14ac:dyDescent="0.35">
      <c r="A18" s="131">
        <v>145</v>
      </c>
      <c r="B18" s="130">
        <v>1420</v>
      </c>
      <c r="C18" s="156" t="s">
        <v>153</v>
      </c>
    </row>
    <row r="19" spans="1:3" x14ac:dyDescent="0.35">
      <c r="A19" s="131">
        <v>146</v>
      </c>
      <c r="B19" s="130">
        <v>580</v>
      </c>
      <c r="C19" s="156" t="s">
        <v>153</v>
      </c>
    </row>
    <row r="20" spans="1:3" x14ac:dyDescent="0.35">
      <c r="A20" s="128">
        <v>159</v>
      </c>
      <c r="B20" s="130">
        <v>2000</v>
      </c>
      <c r="C20" s="156" t="s">
        <v>158</v>
      </c>
    </row>
    <row r="21" spans="1:3" x14ac:dyDescent="0.35">
      <c r="A21" s="128">
        <v>160</v>
      </c>
      <c r="B21" s="130">
        <v>550</v>
      </c>
      <c r="C21" s="156" t="s">
        <v>158</v>
      </c>
    </row>
    <row r="22" spans="1:3" x14ac:dyDescent="0.35">
      <c r="A22" s="128">
        <v>160</v>
      </c>
      <c r="B22" s="130">
        <v>2000</v>
      </c>
      <c r="C22" s="156" t="s">
        <v>158</v>
      </c>
    </row>
    <row r="23" spans="1:3" x14ac:dyDescent="0.35">
      <c r="A23" s="128">
        <v>167</v>
      </c>
      <c r="B23" s="130">
        <v>700</v>
      </c>
      <c r="C23" s="156" t="s">
        <v>158</v>
      </c>
    </row>
    <row r="24" spans="1:3" x14ac:dyDescent="0.35">
      <c r="A24" s="128">
        <v>167</v>
      </c>
      <c r="B24" s="130">
        <v>2000</v>
      </c>
      <c r="C24" s="156" t="s">
        <v>158</v>
      </c>
    </row>
    <row r="25" spans="1:3" x14ac:dyDescent="0.35">
      <c r="A25" s="128">
        <v>168</v>
      </c>
      <c r="B25" s="130">
        <v>2000</v>
      </c>
      <c r="C25" s="156" t="s">
        <v>158</v>
      </c>
    </row>
    <row r="26" spans="1:3" x14ac:dyDescent="0.35">
      <c r="A26" s="128">
        <v>168</v>
      </c>
      <c r="B26" s="130">
        <v>700</v>
      </c>
      <c r="C26" s="156" t="s">
        <v>158</v>
      </c>
    </row>
    <row r="27" spans="1:3" x14ac:dyDescent="0.35">
      <c r="A27" s="128">
        <v>169</v>
      </c>
      <c r="B27" s="130">
        <v>2000</v>
      </c>
      <c r="C27" s="156" t="s">
        <v>158</v>
      </c>
    </row>
    <row r="28" spans="1:3" x14ac:dyDescent="0.35">
      <c r="A28" s="128">
        <v>174</v>
      </c>
      <c r="B28" s="130">
        <v>2000</v>
      </c>
      <c r="C28" s="156" t="s">
        <v>158</v>
      </c>
    </row>
    <row r="29" spans="1:3" x14ac:dyDescent="0.35">
      <c r="A29" s="128">
        <v>175</v>
      </c>
      <c r="B29" s="130">
        <v>2000</v>
      </c>
      <c r="C29" s="156" t="s">
        <v>158</v>
      </c>
    </row>
    <row r="30" spans="1:3" x14ac:dyDescent="0.35">
      <c r="A30" s="131">
        <v>187</v>
      </c>
      <c r="B30" s="130">
        <v>2000</v>
      </c>
      <c r="C30" s="156" t="s">
        <v>164</v>
      </c>
    </row>
    <row r="31" spans="1:3" x14ac:dyDescent="0.35">
      <c r="A31" s="131">
        <v>188</v>
      </c>
      <c r="B31" s="130">
        <v>780</v>
      </c>
      <c r="C31" s="156" t="s">
        <v>164</v>
      </c>
    </row>
    <row r="32" spans="1:3" x14ac:dyDescent="0.35">
      <c r="A32" s="131">
        <v>189</v>
      </c>
      <c r="B32" s="130">
        <v>480</v>
      </c>
      <c r="C32" s="156" t="s">
        <v>164</v>
      </c>
    </row>
    <row r="33" spans="1:3" x14ac:dyDescent="0.35">
      <c r="A33" s="131">
        <v>190</v>
      </c>
      <c r="B33" s="130">
        <v>2000</v>
      </c>
      <c r="C33" s="156" t="s">
        <v>164</v>
      </c>
    </row>
    <row r="34" spans="1:3" x14ac:dyDescent="0.35">
      <c r="A34" s="131">
        <v>201</v>
      </c>
      <c r="B34" s="130">
        <v>2000</v>
      </c>
      <c r="C34" s="156" t="s">
        <v>164</v>
      </c>
    </row>
    <row r="35" spans="1:3" x14ac:dyDescent="0.35">
      <c r="A35" s="131">
        <v>202</v>
      </c>
      <c r="B35" s="130">
        <v>2000</v>
      </c>
      <c r="C35" s="156" t="s">
        <v>164</v>
      </c>
    </row>
    <row r="36" spans="1:3" x14ac:dyDescent="0.35">
      <c r="A36" s="131">
        <v>203</v>
      </c>
      <c r="B36" s="130">
        <v>2000</v>
      </c>
      <c r="C36" s="156" t="s">
        <v>164</v>
      </c>
    </row>
    <row r="37" spans="1:3" x14ac:dyDescent="0.35">
      <c r="A37" s="131">
        <v>223</v>
      </c>
      <c r="B37" s="130">
        <v>2000</v>
      </c>
      <c r="C37" s="156" t="s">
        <v>168</v>
      </c>
    </row>
    <row r="38" spans="1:3" x14ac:dyDescent="0.35">
      <c r="A38" s="131">
        <v>225</v>
      </c>
      <c r="B38" s="130">
        <v>2000</v>
      </c>
      <c r="C38" s="156" t="s">
        <v>168</v>
      </c>
    </row>
    <row r="39" spans="1:3" x14ac:dyDescent="0.35">
      <c r="A39" s="131">
        <v>227</v>
      </c>
      <c r="B39" s="130">
        <v>2000</v>
      </c>
      <c r="C39" s="156" t="s">
        <v>168</v>
      </c>
    </row>
    <row r="40" spans="1:3" x14ac:dyDescent="0.35">
      <c r="A40" s="127">
        <v>227</v>
      </c>
      <c r="B40" s="126">
        <v>480</v>
      </c>
      <c r="C40" s="156" t="s">
        <v>168</v>
      </c>
    </row>
    <row r="41" spans="1:3" x14ac:dyDescent="0.35">
      <c r="A41" s="127">
        <v>227</v>
      </c>
      <c r="B41" s="126">
        <v>2000</v>
      </c>
      <c r="C41" s="156" t="s">
        <v>168</v>
      </c>
    </row>
    <row r="42" spans="1:3" x14ac:dyDescent="0.35">
      <c r="A42" s="127">
        <v>227</v>
      </c>
      <c r="B42" s="126">
        <v>1420</v>
      </c>
      <c r="C42" s="156" t="s">
        <v>168</v>
      </c>
    </row>
    <row r="43" spans="1:3" x14ac:dyDescent="0.35">
      <c r="A43" s="131">
        <v>228</v>
      </c>
      <c r="B43" s="130">
        <v>480</v>
      </c>
      <c r="C43" s="156" t="s">
        <v>168</v>
      </c>
    </row>
    <row r="44" spans="1:3" x14ac:dyDescent="0.35">
      <c r="A44" s="131">
        <v>228</v>
      </c>
      <c r="B44" s="130">
        <v>480</v>
      </c>
      <c r="C44" s="156" t="s">
        <v>168</v>
      </c>
    </row>
    <row r="45" spans="1:3" x14ac:dyDescent="0.35">
      <c r="A45" s="127">
        <v>250</v>
      </c>
      <c r="B45" s="126">
        <v>2000</v>
      </c>
      <c r="C45" s="154" t="s">
        <v>172</v>
      </c>
    </row>
    <row r="46" spans="1:3" x14ac:dyDescent="0.35">
      <c r="A46" s="127">
        <v>251</v>
      </c>
      <c r="B46" s="126">
        <v>650</v>
      </c>
      <c r="C46" s="154" t="s">
        <v>172</v>
      </c>
    </row>
    <row r="47" spans="1:3" x14ac:dyDescent="0.35">
      <c r="A47" s="127">
        <v>252</v>
      </c>
      <c r="B47" s="126">
        <v>2000</v>
      </c>
      <c r="C47" s="154" t="s">
        <v>172</v>
      </c>
    </row>
    <row r="48" spans="1:3" x14ac:dyDescent="0.35">
      <c r="A48" s="127"/>
    </row>
    <row r="50" spans="2:2" x14ac:dyDescent="0.35">
      <c r="B50" s="125">
        <f>COUNTIF(B2:B47,2000)</f>
        <v>28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4"/>
  <sheetViews>
    <sheetView topLeftCell="J1" zoomScale="72" workbookViewId="0">
      <selection activeCell="P17" sqref="P17"/>
    </sheetView>
  </sheetViews>
  <sheetFormatPr defaultRowHeight="14.5" x14ac:dyDescent="0.35"/>
  <cols>
    <col min="7" max="7" width="10.54296875" customWidth="1"/>
  </cols>
  <sheetData>
    <row r="1" spans="1:115" ht="156.5" x14ac:dyDescent="0.35">
      <c r="A1" s="107" t="s">
        <v>196</v>
      </c>
      <c r="B1" s="107" t="s">
        <v>187</v>
      </c>
      <c r="C1" s="129" t="s">
        <v>188</v>
      </c>
      <c r="D1" s="109" t="s">
        <v>189</v>
      </c>
      <c r="E1" s="129" t="s">
        <v>190</v>
      </c>
      <c r="F1" s="129" t="s">
        <v>191</v>
      </c>
      <c r="G1" s="129" t="s">
        <v>10</v>
      </c>
      <c r="H1" s="129" t="s">
        <v>201</v>
      </c>
      <c r="I1" s="129" t="s">
        <v>192</v>
      </c>
      <c r="J1" s="129" t="s">
        <v>197</v>
      </c>
      <c r="K1" s="110" t="s">
        <v>194</v>
      </c>
      <c r="L1" s="154" t="s">
        <v>195</v>
      </c>
      <c r="M1" s="154" t="s">
        <v>175</v>
      </c>
      <c r="N1" s="132" t="s">
        <v>22</v>
      </c>
      <c r="O1" s="132" t="s">
        <v>23</v>
      </c>
      <c r="P1" s="132" t="s">
        <v>24</v>
      </c>
      <c r="Q1" s="132" t="s">
        <v>25</v>
      </c>
      <c r="R1" s="132" t="s">
        <v>26</v>
      </c>
      <c r="S1" s="132" t="s">
        <v>27</v>
      </c>
      <c r="T1" s="132" t="s">
        <v>28</v>
      </c>
      <c r="U1" s="132" t="s">
        <v>29</v>
      </c>
      <c r="V1" s="132" t="s">
        <v>30</v>
      </c>
      <c r="W1" s="132" t="s">
        <v>31</v>
      </c>
      <c r="X1" s="132" t="s">
        <v>32</v>
      </c>
      <c r="Y1" s="132" t="s">
        <v>33</v>
      </c>
      <c r="Z1" s="132" t="s">
        <v>34</v>
      </c>
      <c r="AA1" s="132" t="s">
        <v>35</v>
      </c>
      <c r="AB1" s="133" t="s">
        <v>36</v>
      </c>
      <c r="AC1" s="132" t="s">
        <v>37</v>
      </c>
      <c r="AD1" s="132" t="s">
        <v>38</v>
      </c>
      <c r="AE1" s="132" t="s">
        <v>39</v>
      </c>
      <c r="AF1" s="132" t="s">
        <v>40</v>
      </c>
      <c r="AG1" s="132" t="s">
        <v>41</v>
      </c>
      <c r="AH1" s="132" t="s">
        <v>42</v>
      </c>
      <c r="AI1" s="132" t="s">
        <v>43</v>
      </c>
      <c r="AJ1" s="132" t="s">
        <v>44</v>
      </c>
      <c r="AK1" s="134" t="s">
        <v>45</v>
      </c>
      <c r="AL1" s="132" t="s">
        <v>46</v>
      </c>
      <c r="AM1" s="132" t="s">
        <v>47</v>
      </c>
      <c r="AN1" s="132" t="s">
        <v>48</v>
      </c>
      <c r="AO1" s="132" t="s">
        <v>49</v>
      </c>
      <c r="AP1" s="132" t="s">
        <v>50</v>
      </c>
      <c r="AQ1" s="134" t="s">
        <v>51</v>
      </c>
      <c r="AR1" s="134" t="s">
        <v>52</v>
      </c>
      <c r="AS1" s="132" t="s">
        <v>53</v>
      </c>
      <c r="AT1" s="132" t="s">
        <v>54</v>
      </c>
      <c r="AU1" s="134" t="s">
        <v>55</v>
      </c>
      <c r="AV1" s="132" t="s">
        <v>56</v>
      </c>
      <c r="AW1" s="133" t="s">
        <v>57</v>
      </c>
      <c r="AX1" s="133" t="s">
        <v>58</v>
      </c>
      <c r="AY1" s="132" t="s">
        <v>59</v>
      </c>
      <c r="AZ1" s="132" t="s">
        <v>60</v>
      </c>
      <c r="BA1" s="132" t="s">
        <v>61</v>
      </c>
      <c r="BB1" s="132" t="s">
        <v>62</v>
      </c>
      <c r="BC1" s="132" t="s">
        <v>63</v>
      </c>
      <c r="BD1" s="132" t="s">
        <v>64</v>
      </c>
      <c r="BE1" s="132" t="s">
        <v>65</v>
      </c>
      <c r="BF1" s="132" t="s">
        <v>66</v>
      </c>
      <c r="BG1" s="132" t="s">
        <v>67</v>
      </c>
      <c r="BH1" s="132" t="s">
        <v>68</v>
      </c>
      <c r="BI1" s="132" t="s">
        <v>69</v>
      </c>
      <c r="BJ1" s="132" t="s">
        <v>70</v>
      </c>
      <c r="BK1" s="133" t="s">
        <v>71</v>
      </c>
      <c r="BL1" s="132" t="s">
        <v>72</v>
      </c>
      <c r="BM1" s="132" t="s">
        <v>73</v>
      </c>
      <c r="BN1" s="132" t="s">
        <v>74</v>
      </c>
      <c r="BO1" s="132" t="s">
        <v>75</v>
      </c>
      <c r="BP1" s="133" t="s">
        <v>76</v>
      </c>
      <c r="BQ1" s="132" t="s">
        <v>77</v>
      </c>
      <c r="BR1" s="133" t="s">
        <v>78</v>
      </c>
      <c r="BS1" s="133" t="s">
        <v>79</v>
      </c>
      <c r="BT1" s="132" t="s">
        <v>80</v>
      </c>
      <c r="BU1" s="135" t="s">
        <v>81</v>
      </c>
      <c r="BV1" s="132" t="s">
        <v>82</v>
      </c>
      <c r="BW1" s="134" t="s">
        <v>83</v>
      </c>
      <c r="BX1" s="132" t="s">
        <v>84</v>
      </c>
      <c r="BY1" s="132" t="s">
        <v>85</v>
      </c>
      <c r="BZ1" s="132" t="s">
        <v>86</v>
      </c>
      <c r="CA1" s="132" t="s">
        <v>87</v>
      </c>
      <c r="CB1" s="132" t="s">
        <v>88</v>
      </c>
      <c r="CC1" s="132" t="s">
        <v>89</v>
      </c>
      <c r="CD1" s="132" t="s">
        <v>90</v>
      </c>
      <c r="CE1" s="132" t="s">
        <v>91</v>
      </c>
      <c r="CF1" s="132" t="s">
        <v>92</v>
      </c>
      <c r="CG1" s="132" t="s">
        <v>93</v>
      </c>
      <c r="CH1" s="132" t="s">
        <v>94</v>
      </c>
      <c r="CI1" s="132" t="s">
        <v>95</v>
      </c>
      <c r="CJ1" s="132" t="s">
        <v>96</v>
      </c>
      <c r="CK1" s="132" t="s">
        <v>97</v>
      </c>
      <c r="CL1" s="132" t="s">
        <v>98</v>
      </c>
      <c r="CM1" s="132" t="s">
        <v>99</v>
      </c>
      <c r="CN1" s="132" t="s">
        <v>100</v>
      </c>
      <c r="CO1" s="132" t="s">
        <v>102</v>
      </c>
      <c r="CP1" s="136" t="s">
        <v>103</v>
      </c>
      <c r="CQ1" s="136" t="s">
        <v>104</v>
      </c>
      <c r="CR1" s="132" t="s">
        <v>105</v>
      </c>
      <c r="CS1" s="132" t="s">
        <v>106</v>
      </c>
      <c r="CT1" s="132" t="s">
        <v>107</v>
      </c>
      <c r="CU1" s="132" t="s">
        <v>108</v>
      </c>
      <c r="CV1" s="133" t="s">
        <v>109</v>
      </c>
      <c r="CW1" s="133" t="s">
        <v>110</v>
      </c>
      <c r="CX1" s="132" t="s">
        <v>111</v>
      </c>
      <c r="CY1" s="132" t="s">
        <v>112</v>
      </c>
      <c r="CZ1" s="132" t="s">
        <v>113</v>
      </c>
      <c r="DA1" s="134" t="s">
        <v>114</v>
      </c>
      <c r="DB1" s="132" t="s">
        <v>115</v>
      </c>
      <c r="DC1" s="132" t="s">
        <v>116</v>
      </c>
      <c r="DD1" s="132" t="s">
        <v>117</v>
      </c>
      <c r="DE1" s="132" t="s">
        <v>118</v>
      </c>
    </row>
    <row r="2" spans="1:115" s="177" customFormat="1" x14ac:dyDescent="0.35">
      <c r="A2" s="172" t="s">
        <v>146</v>
      </c>
      <c r="B2" s="173" t="s">
        <v>181</v>
      </c>
      <c r="C2" s="172">
        <v>99</v>
      </c>
      <c r="D2" s="174">
        <v>7.59</v>
      </c>
      <c r="E2" s="172">
        <v>23.9</v>
      </c>
      <c r="F2" s="172">
        <v>0</v>
      </c>
      <c r="G2" s="175" t="s">
        <v>149</v>
      </c>
      <c r="H2" s="175">
        <v>105</v>
      </c>
      <c r="I2" s="172">
        <v>100</v>
      </c>
      <c r="J2" s="172">
        <v>870</v>
      </c>
      <c r="K2" s="175">
        <v>3</v>
      </c>
      <c r="L2" s="176">
        <v>5</v>
      </c>
      <c r="M2" s="176">
        <v>6</v>
      </c>
      <c r="O2" s="176"/>
      <c r="AB2" s="172"/>
      <c r="AK2" s="172"/>
      <c r="AQ2" s="172"/>
      <c r="AR2" s="172"/>
      <c r="AU2" s="172"/>
      <c r="AW2" s="172"/>
      <c r="AX2" s="172"/>
      <c r="BG2" s="176"/>
      <c r="BK2" s="172"/>
      <c r="BP2" s="172"/>
      <c r="BR2" s="172"/>
      <c r="BS2" s="172"/>
      <c r="BW2" s="172"/>
      <c r="BX2" s="176"/>
      <c r="CE2" s="176">
        <v>1</v>
      </c>
      <c r="CG2" s="183">
        <v>1</v>
      </c>
      <c r="CH2" s="176">
        <v>1</v>
      </c>
      <c r="CP2" s="172"/>
      <c r="CQ2" s="172"/>
      <c r="CT2" s="183">
        <v>2</v>
      </c>
      <c r="CV2" s="172"/>
      <c r="CW2" s="172"/>
      <c r="CX2" s="183">
        <v>1</v>
      </c>
      <c r="DA2" s="172"/>
    </row>
    <row r="3" spans="1:115" s="177" customFormat="1" x14ac:dyDescent="0.35">
      <c r="A3" s="172" t="s">
        <v>146</v>
      </c>
      <c r="B3" s="173" t="s">
        <v>185</v>
      </c>
      <c r="C3" s="172">
        <v>86</v>
      </c>
      <c r="D3" s="174">
        <v>19.5</v>
      </c>
      <c r="E3" s="172">
        <v>27.4</v>
      </c>
      <c r="F3" s="172">
        <v>2.9</v>
      </c>
      <c r="G3" s="175" t="s">
        <v>152</v>
      </c>
      <c r="H3" s="175">
        <v>118</v>
      </c>
      <c r="I3" s="172">
        <v>100</v>
      </c>
      <c r="J3" s="172">
        <v>1360</v>
      </c>
      <c r="K3" s="175">
        <v>1</v>
      </c>
      <c r="L3" s="176">
        <v>3</v>
      </c>
      <c r="M3" s="176">
        <v>5</v>
      </c>
      <c r="W3" s="183">
        <v>2</v>
      </c>
      <c r="AB3" s="172"/>
      <c r="AK3" s="172"/>
      <c r="AQ3" s="172">
        <v>2</v>
      </c>
      <c r="AR3" s="172"/>
      <c r="AU3" s="172"/>
      <c r="AW3" s="172"/>
      <c r="AX3" s="172"/>
      <c r="BK3" s="172"/>
      <c r="BP3" s="172"/>
      <c r="BR3" s="172"/>
      <c r="BS3" s="172"/>
      <c r="BW3" s="172"/>
      <c r="CP3" s="172"/>
      <c r="CQ3" s="172"/>
      <c r="CV3" s="172"/>
      <c r="CW3" s="172"/>
      <c r="CX3" s="183">
        <v>1</v>
      </c>
      <c r="DA3" s="172"/>
    </row>
    <row r="4" spans="1:115" s="177" customFormat="1" x14ac:dyDescent="0.35">
      <c r="A4" s="172" t="s">
        <v>153</v>
      </c>
      <c r="B4" s="173" t="s">
        <v>199</v>
      </c>
      <c r="C4" s="172">
        <v>77</v>
      </c>
      <c r="D4" s="178">
        <v>1.79</v>
      </c>
      <c r="E4" s="172">
        <v>23.98</v>
      </c>
      <c r="F4" s="172">
        <v>0.83</v>
      </c>
      <c r="G4" s="179" t="s">
        <v>157</v>
      </c>
      <c r="H4" s="175">
        <v>143</v>
      </c>
      <c r="I4" s="172">
        <v>100</v>
      </c>
      <c r="J4" s="172">
        <v>1100</v>
      </c>
      <c r="K4" s="175">
        <v>2</v>
      </c>
      <c r="L4" s="176">
        <v>3</v>
      </c>
      <c r="M4" s="176">
        <v>3</v>
      </c>
      <c r="V4" s="176"/>
      <c r="W4" s="183">
        <v>1</v>
      </c>
      <c r="AB4" s="172"/>
      <c r="AK4" s="172"/>
      <c r="AQ4" s="172"/>
      <c r="AR4" s="172"/>
      <c r="AT4" s="183">
        <v>1</v>
      </c>
      <c r="AU4" s="172"/>
      <c r="AW4" s="172"/>
      <c r="AX4" s="172"/>
      <c r="BK4" s="172"/>
      <c r="BP4" s="172"/>
      <c r="BR4" s="172"/>
      <c r="BS4" s="172"/>
      <c r="BW4" s="172"/>
      <c r="BZ4" s="183">
        <v>1</v>
      </c>
      <c r="CE4" s="176"/>
      <c r="CP4" s="172"/>
      <c r="CQ4" s="172"/>
      <c r="CV4" s="172"/>
      <c r="CW4" s="172"/>
      <c r="CX4" s="176"/>
      <c r="DA4" s="172"/>
    </row>
    <row r="5" spans="1:115" s="177" customFormat="1" x14ac:dyDescent="0.35">
      <c r="A5" s="172" t="s">
        <v>153</v>
      </c>
      <c r="B5" s="173" t="s">
        <v>186</v>
      </c>
      <c r="C5" s="172">
        <v>95</v>
      </c>
      <c r="D5" s="174">
        <v>1.44</v>
      </c>
      <c r="E5" s="172">
        <v>25.1</v>
      </c>
      <c r="F5" s="172">
        <v>0</v>
      </c>
      <c r="G5" s="179" t="s">
        <v>157</v>
      </c>
      <c r="H5" s="175">
        <v>143</v>
      </c>
      <c r="I5" s="172">
        <v>100</v>
      </c>
      <c r="J5" s="172">
        <v>1420</v>
      </c>
      <c r="K5" s="175">
        <v>6</v>
      </c>
      <c r="L5" s="176">
        <v>2</v>
      </c>
      <c r="M5" s="176">
        <v>7</v>
      </c>
      <c r="AB5" s="172"/>
      <c r="AJ5" s="176"/>
      <c r="AK5" s="172"/>
      <c r="AQ5" s="172">
        <v>4</v>
      </c>
      <c r="AR5" s="172"/>
      <c r="AS5" s="183">
        <v>3</v>
      </c>
      <c r="AU5" s="172"/>
      <c r="AW5" s="172"/>
      <c r="AX5" s="172"/>
      <c r="BK5" s="172"/>
      <c r="BP5" s="172"/>
      <c r="BR5" s="172"/>
      <c r="BS5" s="172"/>
      <c r="BW5" s="172"/>
      <c r="CP5" s="172"/>
      <c r="CQ5" s="172"/>
      <c r="CV5" s="172"/>
      <c r="CW5" s="172"/>
      <c r="DA5" s="172"/>
    </row>
    <row r="6" spans="1:115" s="177" customFormat="1" x14ac:dyDescent="0.35">
      <c r="A6" s="172" t="s">
        <v>153</v>
      </c>
      <c r="B6" s="173" t="s">
        <v>181</v>
      </c>
      <c r="C6" s="172">
        <v>85</v>
      </c>
      <c r="D6" s="174">
        <v>13.84</v>
      </c>
      <c r="E6" s="172">
        <v>26.7</v>
      </c>
      <c r="F6" s="172">
        <v>0</v>
      </c>
      <c r="G6" s="175" t="s">
        <v>155</v>
      </c>
      <c r="H6" s="175">
        <v>144</v>
      </c>
      <c r="I6" s="172">
        <v>100</v>
      </c>
      <c r="J6" s="172">
        <v>870</v>
      </c>
      <c r="K6" s="175">
        <v>3</v>
      </c>
      <c r="L6" s="176">
        <v>4</v>
      </c>
      <c r="M6" s="176">
        <v>6</v>
      </c>
      <c r="AB6" s="172"/>
      <c r="AK6" s="172"/>
      <c r="AQ6" s="172"/>
      <c r="AR6" s="172"/>
      <c r="AS6" s="183">
        <v>2</v>
      </c>
      <c r="AU6" s="172"/>
      <c r="AW6" s="172"/>
      <c r="AX6" s="172"/>
      <c r="BK6" s="172"/>
      <c r="BP6" s="172"/>
      <c r="BR6" s="172"/>
      <c r="BS6" s="172"/>
      <c r="BW6" s="172"/>
      <c r="CE6" s="183">
        <v>1</v>
      </c>
      <c r="CG6" s="183">
        <v>2</v>
      </c>
      <c r="CP6" s="172"/>
      <c r="CQ6" s="172"/>
      <c r="CV6" s="172"/>
      <c r="CW6" s="172"/>
      <c r="CX6" s="176">
        <v>1</v>
      </c>
      <c r="DA6" s="172"/>
    </row>
    <row r="7" spans="1:115" s="177" customFormat="1" x14ac:dyDescent="0.35">
      <c r="A7" s="172" t="s">
        <v>153</v>
      </c>
      <c r="B7" s="173" t="s">
        <v>186</v>
      </c>
      <c r="C7" s="172">
        <v>99</v>
      </c>
      <c r="D7" s="174">
        <v>0.54</v>
      </c>
      <c r="E7" s="172">
        <v>21.9</v>
      </c>
      <c r="F7" s="172">
        <v>0</v>
      </c>
      <c r="G7" s="179" t="s">
        <v>156</v>
      </c>
      <c r="H7" s="175">
        <v>145</v>
      </c>
      <c r="I7" s="172">
        <v>100</v>
      </c>
      <c r="J7" s="172">
        <v>1420</v>
      </c>
      <c r="K7" s="175">
        <v>6</v>
      </c>
      <c r="L7" s="176">
        <v>3</v>
      </c>
      <c r="M7" s="176">
        <v>3</v>
      </c>
      <c r="AB7" s="172"/>
      <c r="AK7" s="172"/>
      <c r="AN7" s="183">
        <v>1</v>
      </c>
      <c r="AQ7" s="172"/>
      <c r="AR7" s="172"/>
      <c r="AS7" s="176"/>
      <c r="AU7" s="172"/>
      <c r="AW7" s="172"/>
      <c r="AX7" s="172"/>
      <c r="BK7" s="172"/>
      <c r="BP7" s="172"/>
      <c r="BR7" s="172"/>
      <c r="BS7" s="172"/>
      <c r="BV7" s="183">
        <v>1</v>
      </c>
      <c r="BW7" s="172"/>
      <c r="CP7" s="172"/>
      <c r="CQ7" s="172"/>
      <c r="CV7" s="172"/>
      <c r="CW7" s="172"/>
      <c r="CX7" s="183">
        <v>1</v>
      </c>
      <c r="DA7" s="172"/>
    </row>
    <row r="8" spans="1:115" s="177" customFormat="1" x14ac:dyDescent="0.35">
      <c r="A8" s="172" t="s">
        <v>153</v>
      </c>
      <c r="B8" s="173" t="s">
        <v>177</v>
      </c>
      <c r="C8" s="172">
        <v>98</v>
      </c>
      <c r="D8" s="174">
        <v>0.77</v>
      </c>
      <c r="E8" s="172">
        <v>22.6</v>
      </c>
      <c r="F8" s="172">
        <v>0</v>
      </c>
      <c r="G8" s="175" t="s">
        <v>154</v>
      </c>
      <c r="H8" s="175">
        <v>146</v>
      </c>
      <c r="I8" s="172">
        <v>100</v>
      </c>
      <c r="J8" s="172">
        <v>580</v>
      </c>
      <c r="K8" s="175">
        <v>3</v>
      </c>
      <c r="L8" s="176">
        <v>8</v>
      </c>
      <c r="M8" s="176">
        <v>14</v>
      </c>
      <c r="AB8" s="172">
        <v>3</v>
      </c>
      <c r="AG8" s="183">
        <v>1</v>
      </c>
      <c r="AK8" s="172"/>
      <c r="AQ8" s="172"/>
      <c r="AR8" s="172"/>
      <c r="AU8" s="172"/>
      <c r="AW8" s="172"/>
      <c r="AX8" s="172">
        <v>1</v>
      </c>
      <c r="BK8" s="172"/>
      <c r="BP8" s="172"/>
      <c r="BR8" s="172"/>
      <c r="BS8" s="172">
        <v>1</v>
      </c>
      <c r="BW8" s="172">
        <v>1</v>
      </c>
      <c r="CD8" s="176"/>
      <c r="CE8" s="183">
        <v>1</v>
      </c>
      <c r="CI8" s="176"/>
      <c r="CL8" s="183">
        <v>5</v>
      </c>
      <c r="CP8" s="172"/>
      <c r="CQ8" s="172"/>
      <c r="CV8" s="172">
        <v>1</v>
      </c>
      <c r="CW8" s="172"/>
      <c r="DA8" s="172"/>
      <c r="DE8" s="176"/>
    </row>
    <row r="9" spans="1:115" s="177" customFormat="1" x14ac:dyDescent="0.35">
      <c r="A9" s="172" t="s">
        <v>158</v>
      </c>
      <c r="B9" s="173" t="s">
        <v>200</v>
      </c>
      <c r="C9" s="172">
        <v>89</v>
      </c>
      <c r="D9" s="174">
        <v>2.74</v>
      </c>
      <c r="E9" s="172">
        <v>23.5</v>
      </c>
      <c r="F9" s="172">
        <v>0</v>
      </c>
      <c r="G9" s="179" t="s">
        <v>162</v>
      </c>
      <c r="H9" s="180">
        <v>167</v>
      </c>
      <c r="I9" s="172">
        <v>0</v>
      </c>
      <c r="J9" s="172">
        <v>700</v>
      </c>
      <c r="K9" s="175">
        <v>5</v>
      </c>
      <c r="L9" s="176">
        <v>13</v>
      </c>
      <c r="M9" s="176">
        <v>16</v>
      </c>
      <c r="V9" s="176"/>
      <c r="AB9" s="172"/>
      <c r="AD9" s="176">
        <v>1</v>
      </c>
      <c r="AK9" s="172"/>
      <c r="AL9" s="183">
        <v>1</v>
      </c>
      <c r="AQ9" s="172"/>
      <c r="AR9" s="172"/>
      <c r="AU9" s="172"/>
      <c r="AV9" s="183">
        <v>2</v>
      </c>
      <c r="AW9" s="172">
        <v>1</v>
      </c>
      <c r="AX9" s="172">
        <v>2</v>
      </c>
      <c r="BA9" s="176"/>
      <c r="BH9" s="176"/>
      <c r="BK9" s="172"/>
      <c r="BP9" s="172">
        <v>1</v>
      </c>
      <c r="BR9" s="172">
        <v>1</v>
      </c>
      <c r="BS9" s="172"/>
      <c r="BW9" s="172">
        <v>1</v>
      </c>
      <c r="CG9" s="183">
        <v>1</v>
      </c>
      <c r="CH9" s="176"/>
      <c r="CP9" s="172"/>
      <c r="CQ9" s="172"/>
      <c r="CT9" s="183">
        <v>1</v>
      </c>
      <c r="CV9" s="172"/>
      <c r="CW9" s="172"/>
      <c r="CX9" s="183">
        <v>1</v>
      </c>
      <c r="CY9" s="183">
        <v>1</v>
      </c>
      <c r="DA9" s="172"/>
      <c r="DD9" s="183">
        <v>2</v>
      </c>
    </row>
    <row r="10" spans="1:115" s="177" customFormat="1" x14ac:dyDescent="0.35">
      <c r="A10" s="172" t="s">
        <v>164</v>
      </c>
      <c r="B10" s="173" t="s">
        <v>180</v>
      </c>
      <c r="C10" s="172">
        <v>91</v>
      </c>
      <c r="D10" s="174">
        <v>0.57999999999999996</v>
      </c>
      <c r="E10" s="172">
        <v>26.4</v>
      </c>
      <c r="F10" s="172">
        <v>0</v>
      </c>
      <c r="G10" s="179">
        <v>45018</v>
      </c>
      <c r="H10" s="175">
        <v>188</v>
      </c>
      <c r="I10" s="172">
        <v>100</v>
      </c>
      <c r="J10" s="172">
        <v>780</v>
      </c>
      <c r="K10" s="175">
        <v>5</v>
      </c>
      <c r="L10" s="176">
        <v>10</v>
      </c>
      <c r="M10" s="176">
        <v>10</v>
      </c>
      <c r="O10" s="183">
        <v>1</v>
      </c>
      <c r="P10" s="183">
        <v>1</v>
      </c>
      <c r="AB10" s="172"/>
      <c r="AD10" s="176">
        <v>1</v>
      </c>
      <c r="AK10" s="172"/>
      <c r="AL10" s="176"/>
      <c r="AO10" s="183">
        <v>1</v>
      </c>
      <c r="AQ10" s="172"/>
      <c r="AR10" s="172"/>
      <c r="AU10" s="172"/>
      <c r="AW10" s="172"/>
      <c r="AX10" s="172"/>
      <c r="AY10" s="183">
        <v>1</v>
      </c>
      <c r="BA10" s="183">
        <v>1</v>
      </c>
      <c r="BH10" s="176"/>
      <c r="BK10" s="172"/>
      <c r="BP10" s="172"/>
      <c r="BR10" s="172">
        <v>1</v>
      </c>
      <c r="BS10" s="172"/>
      <c r="BW10" s="172"/>
      <c r="CD10" s="183">
        <v>1</v>
      </c>
      <c r="CH10" s="176"/>
      <c r="CP10" s="172"/>
      <c r="CQ10" s="172"/>
      <c r="CR10" s="183">
        <v>1</v>
      </c>
      <c r="CV10" s="172">
        <v>1</v>
      </c>
      <c r="CW10" s="172"/>
      <c r="DA10" s="172"/>
    </row>
    <row r="11" spans="1:115" s="177" customFormat="1" x14ac:dyDescent="0.35">
      <c r="A11" s="172" t="s">
        <v>168</v>
      </c>
      <c r="B11" s="176" t="s">
        <v>186</v>
      </c>
      <c r="C11" s="176">
        <v>76</v>
      </c>
      <c r="D11" s="181">
        <v>1.53</v>
      </c>
      <c r="E11" s="176">
        <v>25.4</v>
      </c>
      <c r="F11" s="176">
        <v>0</v>
      </c>
      <c r="G11" s="182" t="s">
        <v>171</v>
      </c>
      <c r="H11" s="182">
        <v>227</v>
      </c>
      <c r="I11" s="176">
        <v>100</v>
      </c>
      <c r="J11" s="176">
        <v>1420</v>
      </c>
      <c r="K11" s="182">
        <v>6</v>
      </c>
      <c r="L11" s="176">
        <v>4</v>
      </c>
      <c r="M11" s="176">
        <v>5</v>
      </c>
      <c r="BG11" s="176"/>
      <c r="BS11" s="176"/>
      <c r="BY11" s="183">
        <v>1</v>
      </c>
      <c r="CE11" s="183">
        <v>1</v>
      </c>
      <c r="DC11" s="183">
        <v>2</v>
      </c>
      <c r="DE11" s="183">
        <v>1</v>
      </c>
    </row>
    <row r="12" spans="1:115" s="177" customFormat="1" x14ac:dyDescent="0.35">
      <c r="A12" s="172" t="s">
        <v>168</v>
      </c>
      <c r="B12" s="172" t="s">
        <v>176</v>
      </c>
      <c r="C12" s="172">
        <v>92</v>
      </c>
      <c r="D12" s="174">
        <v>0.14000000000000001</v>
      </c>
      <c r="E12" s="172">
        <v>22.5</v>
      </c>
      <c r="F12" s="172">
        <v>0</v>
      </c>
      <c r="G12" s="175" t="s">
        <v>169</v>
      </c>
      <c r="H12" s="175">
        <v>228</v>
      </c>
      <c r="I12" s="172">
        <v>100</v>
      </c>
      <c r="J12" s="172">
        <v>480</v>
      </c>
      <c r="K12" s="175">
        <v>4</v>
      </c>
      <c r="L12" s="176">
        <v>6</v>
      </c>
      <c r="M12" s="176">
        <v>11</v>
      </c>
      <c r="AB12" s="184">
        <v>1</v>
      </c>
      <c r="AD12" s="183">
        <v>1</v>
      </c>
      <c r="AK12" s="172"/>
      <c r="AQ12" s="184"/>
      <c r="AR12" s="184"/>
      <c r="AU12" s="184"/>
      <c r="AW12" s="184"/>
      <c r="AX12" s="172"/>
      <c r="BH12" s="183">
        <v>1</v>
      </c>
      <c r="BK12" s="184">
        <v>1</v>
      </c>
      <c r="BM12" s="176"/>
      <c r="BP12" s="184"/>
      <c r="BR12" s="184"/>
      <c r="BS12" s="184">
        <v>2</v>
      </c>
      <c r="BW12" s="184"/>
      <c r="CH12" s="176"/>
      <c r="CI12" s="176"/>
      <c r="CL12" s="183">
        <v>5</v>
      </c>
      <c r="CP12" s="184"/>
      <c r="CQ12" s="184"/>
      <c r="CV12" s="184"/>
      <c r="CW12" s="184"/>
      <c r="DA12" s="184"/>
      <c r="DC12" s="176"/>
      <c r="DE12" s="176"/>
    </row>
    <row r="14" spans="1:115" x14ac:dyDescent="0.35">
      <c r="N14">
        <f>COUNT(N2:N12)</f>
        <v>0</v>
      </c>
      <c r="O14" s="152">
        <f t="shared" ref="O14:BK14" si="0">COUNT(O2:O12)</f>
        <v>1</v>
      </c>
      <c r="P14" s="152">
        <f t="shared" si="0"/>
        <v>1</v>
      </c>
      <c r="Q14" s="152">
        <f t="shared" si="0"/>
        <v>0</v>
      </c>
      <c r="R14" s="152">
        <f t="shared" si="0"/>
        <v>0</v>
      </c>
      <c r="S14" s="152">
        <f t="shared" si="0"/>
        <v>0</v>
      </c>
      <c r="T14" s="152">
        <f t="shared" si="0"/>
        <v>0</v>
      </c>
      <c r="U14" s="152">
        <f t="shared" si="0"/>
        <v>0</v>
      </c>
      <c r="V14" s="152">
        <f t="shared" si="0"/>
        <v>0</v>
      </c>
      <c r="W14" s="152">
        <f t="shared" si="0"/>
        <v>2</v>
      </c>
      <c r="X14" s="152">
        <f>COUNT(X2:X12)</f>
        <v>0</v>
      </c>
      <c r="Y14" s="152">
        <f t="shared" si="0"/>
        <v>0</v>
      </c>
      <c r="Z14" s="152">
        <f t="shared" si="0"/>
        <v>0</v>
      </c>
      <c r="AA14" s="152">
        <f t="shared" si="0"/>
        <v>0</v>
      </c>
      <c r="AB14" s="152">
        <f t="shared" si="0"/>
        <v>2</v>
      </c>
      <c r="AC14" s="152">
        <f t="shared" si="0"/>
        <v>0</v>
      </c>
      <c r="AD14" s="152">
        <f>COUNT(AD2:AD12)</f>
        <v>3</v>
      </c>
      <c r="AE14" s="152">
        <f t="shared" si="0"/>
        <v>0</v>
      </c>
      <c r="AF14" s="152">
        <f t="shared" si="0"/>
        <v>0</v>
      </c>
      <c r="AG14" s="152">
        <f t="shared" si="0"/>
        <v>1</v>
      </c>
      <c r="AH14" s="152">
        <f t="shared" si="0"/>
        <v>0</v>
      </c>
      <c r="AI14" s="152">
        <f t="shared" si="0"/>
        <v>0</v>
      </c>
      <c r="AJ14" s="152">
        <f t="shared" si="0"/>
        <v>0</v>
      </c>
      <c r="AK14" s="152">
        <f t="shared" si="0"/>
        <v>0</v>
      </c>
      <c r="AL14" s="152">
        <f t="shared" si="0"/>
        <v>1</v>
      </c>
      <c r="AM14" s="152">
        <f t="shared" si="0"/>
        <v>0</v>
      </c>
      <c r="AN14" s="152">
        <f>COUNT(AN2:AN12)</f>
        <v>1</v>
      </c>
      <c r="AO14" s="152">
        <f t="shared" si="0"/>
        <v>1</v>
      </c>
      <c r="AP14" s="152">
        <f t="shared" si="0"/>
        <v>0</v>
      </c>
      <c r="AQ14" s="152">
        <f t="shared" si="0"/>
        <v>2</v>
      </c>
      <c r="AR14" s="152">
        <f>COUNT(AR2:AR12)</f>
        <v>0</v>
      </c>
      <c r="AS14" s="152">
        <f t="shared" si="0"/>
        <v>2</v>
      </c>
      <c r="AT14" s="152">
        <f t="shared" si="0"/>
        <v>1</v>
      </c>
      <c r="AU14" s="152">
        <f t="shared" si="0"/>
        <v>0</v>
      </c>
      <c r="AV14" s="152">
        <f t="shared" si="0"/>
        <v>1</v>
      </c>
      <c r="AW14" s="152">
        <f t="shared" si="0"/>
        <v>1</v>
      </c>
      <c r="AX14" s="152">
        <f t="shared" si="0"/>
        <v>2</v>
      </c>
      <c r="AY14" s="152">
        <f t="shared" si="0"/>
        <v>1</v>
      </c>
      <c r="AZ14" s="152">
        <f t="shared" si="0"/>
        <v>0</v>
      </c>
      <c r="BA14" s="152">
        <f t="shared" si="0"/>
        <v>1</v>
      </c>
      <c r="BB14" s="152">
        <f>COUNT(BB2:BB12)</f>
        <v>0</v>
      </c>
      <c r="BC14" s="152">
        <f t="shared" si="0"/>
        <v>0</v>
      </c>
      <c r="BD14" s="152">
        <f t="shared" si="0"/>
        <v>0</v>
      </c>
      <c r="BE14" s="152">
        <f t="shared" si="0"/>
        <v>0</v>
      </c>
      <c r="BF14" s="152">
        <f t="shared" si="0"/>
        <v>0</v>
      </c>
      <c r="BG14" s="152">
        <f t="shared" si="0"/>
        <v>0</v>
      </c>
      <c r="BH14" s="152">
        <f t="shared" si="0"/>
        <v>1</v>
      </c>
      <c r="BI14" s="152">
        <f t="shared" si="0"/>
        <v>0</v>
      </c>
      <c r="BJ14" s="152">
        <f t="shared" si="0"/>
        <v>0</v>
      </c>
      <c r="BK14" s="152">
        <f t="shared" si="0"/>
        <v>1</v>
      </c>
      <c r="BL14" s="152">
        <f>COUNT(BL2:BL12)</f>
        <v>0</v>
      </c>
      <c r="BM14" s="152">
        <f>COUNT(BM2:BM12)</f>
        <v>0</v>
      </c>
      <c r="BN14" s="152">
        <f t="shared" ref="BN14:BZ14" si="1">COUNT(BN2:BN12)</f>
        <v>0</v>
      </c>
      <c r="BO14" s="152">
        <f t="shared" si="1"/>
        <v>0</v>
      </c>
      <c r="BP14" s="152">
        <f t="shared" si="1"/>
        <v>1</v>
      </c>
      <c r="BQ14" s="152">
        <f t="shared" si="1"/>
        <v>0</v>
      </c>
      <c r="BR14" s="152">
        <f t="shared" si="1"/>
        <v>2</v>
      </c>
      <c r="BS14" s="152">
        <f t="shared" si="1"/>
        <v>2</v>
      </c>
      <c r="BT14" s="152">
        <f t="shared" si="1"/>
        <v>0</v>
      </c>
      <c r="BU14" s="152">
        <f t="shared" si="1"/>
        <v>0</v>
      </c>
      <c r="BV14" s="152">
        <f t="shared" si="1"/>
        <v>1</v>
      </c>
      <c r="BW14" s="152">
        <f>COUNT(BW2:BW12)</f>
        <v>2</v>
      </c>
      <c r="BX14" s="152">
        <f t="shared" si="1"/>
        <v>0</v>
      </c>
      <c r="BY14" s="152">
        <f t="shared" si="1"/>
        <v>1</v>
      </c>
      <c r="BZ14" s="152">
        <f t="shared" si="1"/>
        <v>1</v>
      </c>
      <c r="CA14" s="152">
        <f>COUNT(CA2:CA12)</f>
        <v>0</v>
      </c>
      <c r="CB14" s="152">
        <f t="shared" ref="CB14:CJ14" si="2">COUNT(CB2:CB12)</f>
        <v>0</v>
      </c>
      <c r="CC14" s="152">
        <f t="shared" si="2"/>
        <v>0</v>
      </c>
      <c r="CD14" s="152">
        <f t="shared" si="2"/>
        <v>1</v>
      </c>
      <c r="CE14" s="152">
        <f t="shared" si="2"/>
        <v>4</v>
      </c>
      <c r="CF14" s="152">
        <f t="shared" si="2"/>
        <v>0</v>
      </c>
      <c r="CG14" s="152">
        <f t="shared" si="2"/>
        <v>3</v>
      </c>
      <c r="CH14" s="152">
        <f t="shared" si="2"/>
        <v>1</v>
      </c>
      <c r="CI14" s="152">
        <f t="shared" si="2"/>
        <v>0</v>
      </c>
      <c r="CJ14" s="152">
        <f t="shared" si="2"/>
        <v>0</v>
      </c>
      <c r="CK14" s="152">
        <f>COUNT(CK2:CK12)</f>
        <v>0</v>
      </c>
      <c r="CL14" s="152">
        <f t="shared" ref="CL14:CT14" si="3">COUNT(CL2:CL12)</f>
        <v>2</v>
      </c>
      <c r="CM14" s="152">
        <f t="shared" si="3"/>
        <v>0</v>
      </c>
      <c r="CN14" s="152">
        <f t="shared" si="3"/>
        <v>0</v>
      </c>
      <c r="CO14" s="152">
        <f t="shared" si="3"/>
        <v>0</v>
      </c>
      <c r="CP14" s="152">
        <f t="shared" si="3"/>
        <v>0</v>
      </c>
      <c r="CQ14" s="152">
        <f t="shared" si="3"/>
        <v>0</v>
      </c>
      <c r="CR14" s="152">
        <f t="shared" si="3"/>
        <v>1</v>
      </c>
      <c r="CS14" s="152">
        <f t="shared" si="3"/>
        <v>0</v>
      </c>
      <c r="CT14" s="152">
        <f t="shared" si="3"/>
        <v>2</v>
      </c>
      <c r="CU14" s="152">
        <f>COUNT(CU2:CU12)</f>
        <v>0</v>
      </c>
      <c r="CV14" s="152">
        <f t="shared" ref="CV14:DD14" si="4">COUNT(CV2:CV12)</f>
        <v>2</v>
      </c>
      <c r="CW14" s="152">
        <f t="shared" si="4"/>
        <v>0</v>
      </c>
      <c r="CX14" s="152">
        <f t="shared" si="4"/>
        <v>5</v>
      </c>
      <c r="CY14" s="152">
        <f t="shared" si="4"/>
        <v>1</v>
      </c>
      <c r="CZ14" s="152">
        <f t="shared" si="4"/>
        <v>0</v>
      </c>
      <c r="DA14" s="152">
        <f t="shared" si="4"/>
        <v>0</v>
      </c>
      <c r="DB14" s="152">
        <f t="shared" si="4"/>
        <v>0</v>
      </c>
      <c r="DC14" s="152">
        <f t="shared" si="4"/>
        <v>1</v>
      </c>
      <c r="DD14" s="152">
        <f t="shared" si="4"/>
        <v>1</v>
      </c>
      <c r="DE14" s="152">
        <f>COUNT(DE2:DE12)</f>
        <v>1</v>
      </c>
      <c r="DF14" s="152">
        <f t="shared" ref="DF14:DK14" si="5">COUNT(DF2:DF12)</f>
        <v>0</v>
      </c>
      <c r="DG14" s="152">
        <f t="shared" si="5"/>
        <v>0</v>
      </c>
      <c r="DH14" s="152">
        <f t="shared" si="5"/>
        <v>0</v>
      </c>
      <c r="DI14" s="152">
        <f t="shared" si="5"/>
        <v>0</v>
      </c>
      <c r="DJ14" s="152">
        <f t="shared" si="5"/>
        <v>0</v>
      </c>
      <c r="DK14" s="152">
        <f t="shared" si="5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"/>
  <sheetViews>
    <sheetView zoomScale="89" workbookViewId="0">
      <selection activeCell="AV9" sqref="AV9"/>
    </sheetView>
  </sheetViews>
  <sheetFormatPr defaultRowHeight="14.5" x14ac:dyDescent="0.35"/>
  <cols>
    <col min="1" max="6" width="8.7265625" style="152"/>
    <col min="7" max="7" width="10.54296875" style="152" customWidth="1"/>
    <col min="8" max="16384" width="8.7265625" style="152"/>
  </cols>
  <sheetData>
    <row r="1" spans="1:52" ht="135.5" x14ac:dyDescent="0.35">
      <c r="A1" s="107" t="s">
        <v>196</v>
      </c>
      <c r="B1" s="107" t="s">
        <v>187</v>
      </c>
      <c r="C1" s="129" t="s">
        <v>188</v>
      </c>
      <c r="D1" s="109" t="s">
        <v>189</v>
      </c>
      <c r="E1" s="129" t="s">
        <v>190</v>
      </c>
      <c r="F1" s="129" t="s">
        <v>191</v>
      </c>
      <c r="G1" s="129" t="s">
        <v>10</v>
      </c>
      <c r="H1" s="129" t="s">
        <v>201</v>
      </c>
      <c r="I1" s="129" t="s">
        <v>192</v>
      </c>
      <c r="J1" s="129" t="s">
        <v>197</v>
      </c>
      <c r="K1" s="110" t="s">
        <v>194</v>
      </c>
      <c r="L1" s="154" t="s">
        <v>195</v>
      </c>
      <c r="M1" s="154" t="s">
        <v>175</v>
      </c>
      <c r="N1" s="132" t="s">
        <v>23</v>
      </c>
      <c r="O1" s="132" t="s">
        <v>24</v>
      </c>
      <c r="P1" s="132" t="s">
        <v>31</v>
      </c>
      <c r="Q1" s="133" t="s">
        <v>36</v>
      </c>
      <c r="R1" s="132" t="s">
        <v>38</v>
      </c>
      <c r="S1" s="132" t="s">
        <v>41</v>
      </c>
      <c r="T1" s="132" t="s">
        <v>46</v>
      </c>
      <c r="U1" s="132" t="s">
        <v>48</v>
      </c>
      <c r="V1" s="132" t="s">
        <v>49</v>
      </c>
      <c r="W1" s="134" t="s">
        <v>51</v>
      </c>
      <c r="X1" s="132" t="s">
        <v>53</v>
      </c>
      <c r="Y1" s="132" t="s">
        <v>54</v>
      </c>
      <c r="Z1" s="132" t="s">
        <v>56</v>
      </c>
      <c r="AA1" s="133" t="s">
        <v>57</v>
      </c>
      <c r="AB1" s="133" t="s">
        <v>58</v>
      </c>
      <c r="AC1" s="132" t="s">
        <v>59</v>
      </c>
      <c r="AD1" s="132" t="s">
        <v>61</v>
      </c>
      <c r="AE1" s="132" t="s">
        <v>68</v>
      </c>
      <c r="AF1" s="133" t="s">
        <v>71</v>
      </c>
      <c r="AG1" s="133" t="s">
        <v>76</v>
      </c>
      <c r="AH1" s="133" t="s">
        <v>78</v>
      </c>
      <c r="AI1" s="133" t="s">
        <v>79</v>
      </c>
      <c r="AJ1" s="132" t="s">
        <v>82</v>
      </c>
      <c r="AK1" s="134" t="s">
        <v>83</v>
      </c>
      <c r="AL1" s="132" t="s">
        <v>85</v>
      </c>
      <c r="AM1" s="132" t="s">
        <v>86</v>
      </c>
      <c r="AN1" s="132" t="s">
        <v>90</v>
      </c>
      <c r="AO1" s="132" t="s">
        <v>91</v>
      </c>
      <c r="AP1" s="132" t="s">
        <v>93</v>
      </c>
      <c r="AQ1" s="132" t="s">
        <v>94</v>
      </c>
      <c r="AR1" s="132" t="s">
        <v>98</v>
      </c>
      <c r="AS1" s="132" t="s">
        <v>105</v>
      </c>
      <c r="AT1" s="132" t="s">
        <v>107</v>
      </c>
      <c r="AU1" s="133" t="s">
        <v>109</v>
      </c>
      <c r="AV1" s="132" t="s">
        <v>111</v>
      </c>
      <c r="AW1" s="132" t="s">
        <v>112</v>
      </c>
      <c r="AX1" s="132" t="s">
        <v>116</v>
      </c>
      <c r="AY1" s="132" t="s">
        <v>117</v>
      </c>
      <c r="AZ1" s="132" t="s">
        <v>118</v>
      </c>
    </row>
    <row r="2" spans="1:52" s="177" customFormat="1" x14ac:dyDescent="0.35">
      <c r="A2" s="172" t="s">
        <v>146</v>
      </c>
      <c r="B2" s="173" t="s">
        <v>181</v>
      </c>
      <c r="C2" s="172">
        <v>99</v>
      </c>
      <c r="D2" s="174">
        <v>7.59</v>
      </c>
      <c r="E2" s="172">
        <v>23.9</v>
      </c>
      <c r="F2" s="172">
        <v>0</v>
      </c>
      <c r="G2" s="175" t="s">
        <v>149</v>
      </c>
      <c r="H2" s="175">
        <v>105</v>
      </c>
      <c r="I2" s="172">
        <v>100</v>
      </c>
      <c r="J2" s="172">
        <v>870</v>
      </c>
      <c r="K2" s="175">
        <v>3</v>
      </c>
      <c r="L2" s="176">
        <v>5</v>
      </c>
      <c r="M2" s="176">
        <v>6</v>
      </c>
      <c r="N2" s="176"/>
      <c r="Q2" s="172"/>
      <c r="W2" s="172"/>
      <c r="AA2" s="172"/>
      <c r="AB2" s="172"/>
      <c r="AF2" s="172"/>
      <c r="AG2" s="172"/>
      <c r="AH2" s="172"/>
      <c r="AI2" s="172"/>
      <c r="AK2" s="172"/>
      <c r="AO2" s="176">
        <v>1</v>
      </c>
      <c r="AP2" s="183">
        <v>1</v>
      </c>
      <c r="AQ2" s="176">
        <v>1</v>
      </c>
      <c r="AT2" s="183">
        <v>2</v>
      </c>
      <c r="AU2" s="172"/>
      <c r="AV2" s="183">
        <v>1</v>
      </c>
    </row>
    <row r="3" spans="1:52" s="177" customFormat="1" x14ac:dyDescent="0.35">
      <c r="A3" s="172" t="s">
        <v>146</v>
      </c>
      <c r="B3" s="173" t="s">
        <v>185</v>
      </c>
      <c r="C3" s="172">
        <v>86</v>
      </c>
      <c r="D3" s="174">
        <v>19.5</v>
      </c>
      <c r="E3" s="172">
        <v>27.4</v>
      </c>
      <c r="F3" s="172">
        <v>2.9</v>
      </c>
      <c r="G3" s="175" t="s">
        <v>152</v>
      </c>
      <c r="H3" s="175">
        <v>118</v>
      </c>
      <c r="I3" s="172">
        <v>100</v>
      </c>
      <c r="J3" s="172">
        <v>1360</v>
      </c>
      <c r="K3" s="175">
        <v>1</v>
      </c>
      <c r="L3" s="176">
        <v>3</v>
      </c>
      <c r="M3" s="176">
        <v>5</v>
      </c>
      <c r="P3" s="183">
        <v>2</v>
      </c>
      <c r="Q3" s="172"/>
      <c r="W3" s="172">
        <v>2</v>
      </c>
      <c r="AA3" s="172"/>
      <c r="AB3" s="172"/>
      <c r="AF3" s="172"/>
      <c r="AG3" s="172"/>
      <c r="AH3" s="172"/>
      <c r="AI3" s="172"/>
      <c r="AK3" s="172"/>
      <c r="AU3" s="172"/>
      <c r="AV3" s="183">
        <v>1</v>
      </c>
    </row>
    <row r="4" spans="1:52" s="177" customFormat="1" x14ac:dyDescent="0.35">
      <c r="A4" s="172" t="s">
        <v>153</v>
      </c>
      <c r="B4" s="173" t="s">
        <v>199</v>
      </c>
      <c r="C4" s="172">
        <v>77</v>
      </c>
      <c r="D4" s="178">
        <v>1.79</v>
      </c>
      <c r="E4" s="172">
        <v>23.98</v>
      </c>
      <c r="F4" s="172">
        <v>0.83</v>
      </c>
      <c r="G4" s="179" t="s">
        <v>157</v>
      </c>
      <c r="H4" s="175">
        <v>143</v>
      </c>
      <c r="I4" s="172">
        <v>100</v>
      </c>
      <c r="J4" s="172">
        <v>1100</v>
      </c>
      <c r="K4" s="175">
        <v>2</v>
      </c>
      <c r="L4" s="176">
        <v>3</v>
      </c>
      <c r="M4" s="176">
        <v>3</v>
      </c>
      <c r="P4" s="183">
        <v>1</v>
      </c>
      <c r="Q4" s="172"/>
      <c r="W4" s="172"/>
      <c r="Y4" s="183">
        <v>1</v>
      </c>
      <c r="AA4" s="172"/>
      <c r="AB4" s="172"/>
      <c r="AF4" s="172"/>
      <c r="AG4" s="172"/>
      <c r="AH4" s="172"/>
      <c r="AI4" s="172"/>
      <c r="AK4" s="172"/>
      <c r="AM4" s="183">
        <v>1</v>
      </c>
      <c r="AO4" s="176"/>
      <c r="AU4" s="172"/>
      <c r="AV4" s="176"/>
    </row>
    <row r="5" spans="1:52" s="177" customFormat="1" x14ac:dyDescent="0.35">
      <c r="A5" s="172" t="s">
        <v>153</v>
      </c>
      <c r="B5" s="173" t="s">
        <v>186</v>
      </c>
      <c r="C5" s="172">
        <v>95</v>
      </c>
      <c r="D5" s="174">
        <v>1.44</v>
      </c>
      <c r="E5" s="172">
        <v>25.1</v>
      </c>
      <c r="F5" s="172">
        <v>0</v>
      </c>
      <c r="G5" s="179" t="s">
        <v>157</v>
      </c>
      <c r="H5" s="175">
        <v>143</v>
      </c>
      <c r="I5" s="172">
        <v>100</v>
      </c>
      <c r="J5" s="172">
        <v>1420</v>
      </c>
      <c r="K5" s="175">
        <v>6</v>
      </c>
      <c r="L5" s="176">
        <v>2</v>
      </c>
      <c r="M5" s="176">
        <v>7</v>
      </c>
      <c r="Q5" s="172"/>
      <c r="W5" s="172">
        <v>4</v>
      </c>
      <c r="X5" s="183">
        <v>3</v>
      </c>
      <c r="AA5" s="172"/>
      <c r="AB5" s="172"/>
      <c r="AF5" s="172"/>
      <c r="AG5" s="172"/>
      <c r="AH5" s="172"/>
      <c r="AI5" s="172"/>
      <c r="AK5" s="172"/>
      <c r="AU5" s="172"/>
    </row>
    <row r="6" spans="1:52" s="177" customFormat="1" x14ac:dyDescent="0.35">
      <c r="A6" s="172" t="s">
        <v>153</v>
      </c>
      <c r="B6" s="173" t="s">
        <v>181</v>
      </c>
      <c r="C6" s="172">
        <v>85</v>
      </c>
      <c r="D6" s="174">
        <v>13.84</v>
      </c>
      <c r="E6" s="172">
        <v>26.7</v>
      </c>
      <c r="F6" s="172">
        <v>0</v>
      </c>
      <c r="G6" s="175" t="s">
        <v>155</v>
      </c>
      <c r="H6" s="175">
        <v>144</v>
      </c>
      <c r="I6" s="172">
        <v>100</v>
      </c>
      <c r="J6" s="172">
        <v>870</v>
      </c>
      <c r="K6" s="175">
        <v>3</v>
      </c>
      <c r="L6" s="176">
        <v>4</v>
      </c>
      <c r="M6" s="176">
        <v>6</v>
      </c>
      <c r="Q6" s="172"/>
      <c r="W6" s="172"/>
      <c r="X6" s="183">
        <v>2</v>
      </c>
      <c r="AA6" s="172"/>
      <c r="AB6" s="172"/>
      <c r="AF6" s="172"/>
      <c r="AG6" s="172"/>
      <c r="AH6" s="172"/>
      <c r="AI6" s="172"/>
      <c r="AK6" s="172"/>
      <c r="AO6" s="183">
        <v>1</v>
      </c>
      <c r="AP6" s="183">
        <v>2</v>
      </c>
      <c r="AU6" s="172"/>
      <c r="AV6" s="176">
        <v>1</v>
      </c>
    </row>
    <row r="7" spans="1:52" s="177" customFormat="1" x14ac:dyDescent="0.35">
      <c r="A7" s="172" t="s">
        <v>153</v>
      </c>
      <c r="B7" s="173" t="s">
        <v>186</v>
      </c>
      <c r="C7" s="172">
        <v>99</v>
      </c>
      <c r="D7" s="174">
        <v>0.54</v>
      </c>
      <c r="E7" s="172">
        <v>21.9</v>
      </c>
      <c r="F7" s="172">
        <v>0</v>
      </c>
      <c r="G7" s="179" t="s">
        <v>156</v>
      </c>
      <c r="H7" s="175">
        <v>145</v>
      </c>
      <c r="I7" s="172">
        <v>100</v>
      </c>
      <c r="J7" s="172">
        <v>1420</v>
      </c>
      <c r="K7" s="175">
        <v>6</v>
      </c>
      <c r="L7" s="176">
        <v>3</v>
      </c>
      <c r="M7" s="176">
        <v>3</v>
      </c>
      <c r="Q7" s="172"/>
      <c r="U7" s="183">
        <v>1</v>
      </c>
      <c r="W7" s="172"/>
      <c r="X7" s="176"/>
      <c r="AA7" s="172"/>
      <c r="AB7" s="172"/>
      <c r="AF7" s="172"/>
      <c r="AG7" s="172"/>
      <c r="AH7" s="172"/>
      <c r="AI7" s="172"/>
      <c r="AJ7" s="183">
        <v>1</v>
      </c>
      <c r="AK7" s="172"/>
      <c r="AU7" s="172"/>
      <c r="AV7" s="183">
        <v>1</v>
      </c>
    </row>
    <row r="8" spans="1:52" s="177" customFormat="1" x14ac:dyDescent="0.35">
      <c r="A8" s="172" t="s">
        <v>153</v>
      </c>
      <c r="B8" s="173" t="s">
        <v>177</v>
      </c>
      <c r="C8" s="172">
        <v>98</v>
      </c>
      <c r="D8" s="174">
        <v>0.77</v>
      </c>
      <c r="E8" s="172">
        <v>22.6</v>
      </c>
      <c r="F8" s="172">
        <v>0</v>
      </c>
      <c r="G8" s="175" t="s">
        <v>154</v>
      </c>
      <c r="H8" s="175">
        <v>146</v>
      </c>
      <c r="I8" s="172">
        <v>100</v>
      </c>
      <c r="J8" s="172">
        <v>580</v>
      </c>
      <c r="K8" s="175">
        <v>3</v>
      </c>
      <c r="L8" s="176">
        <v>8</v>
      </c>
      <c r="M8" s="176">
        <v>14</v>
      </c>
      <c r="Q8" s="172">
        <v>3</v>
      </c>
      <c r="S8" s="183">
        <v>1</v>
      </c>
      <c r="W8" s="172"/>
      <c r="AA8" s="172"/>
      <c r="AB8" s="172">
        <v>1</v>
      </c>
      <c r="AF8" s="172"/>
      <c r="AG8" s="172"/>
      <c r="AH8" s="172"/>
      <c r="AI8" s="172">
        <v>1</v>
      </c>
      <c r="AK8" s="172">
        <v>1</v>
      </c>
      <c r="AN8" s="176"/>
      <c r="AO8" s="183">
        <v>1</v>
      </c>
      <c r="AR8" s="183">
        <v>5</v>
      </c>
      <c r="AU8" s="172">
        <v>1</v>
      </c>
      <c r="AZ8" s="176"/>
    </row>
    <row r="9" spans="1:52" s="177" customFormat="1" x14ac:dyDescent="0.35">
      <c r="A9" s="172" t="s">
        <v>158</v>
      </c>
      <c r="B9" s="173" t="s">
        <v>200</v>
      </c>
      <c r="C9" s="172">
        <v>89</v>
      </c>
      <c r="D9" s="174">
        <v>2.74</v>
      </c>
      <c r="E9" s="172">
        <v>23.5</v>
      </c>
      <c r="F9" s="172">
        <v>0</v>
      </c>
      <c r="G9" s="179" t="s">
        <v>162</v>
      </c>
      <c r="H9" s="180">
        <v>167</v>
      </c>
      <c r="I9" s="172">
        <v>0</v>
      </c>
      <c r="J9" s="172">
        <v>700</v>
      </c>
      <c r="K9" s="175">
        <v>5</v>
      </c>
      <c r="L9" s="176">
        <v>13</v>
      </c>
      <c r="M9" s="176">
        <v>16</v>
      </c>
      <c r="Q9" s="172"/>
      <c r="R9" s="176">
        <v>1</v>
      </c>
      <c r="T9" s="183">
        <v>1</v>
      </c>
      <c r="W9" s="172"/>
      <c r="Z9" s="183">
        <v>2</v>
      </c>
      <c r="AA9" s="172">
        <v>1</v>
      </c>
      <c r="AB9" s="172">
        <v>2</v>
      </c>
      <c r="AD9" s="176"/>
      <c r="AE9" s="176"/>
      <c r="AF9" s="172"/>
      <c r="AG9" s="172">
        <v>1</v>
      </c>
      <c r="AH9" s="172">
        <v>1</v>
      </c>
      <c r="AI9" s="172"/>
      <c r="AK9" s="172">
        <v>1</v>
      </c>
      <c r="AP9" s="183">
        <v>1</v>
      </c>
      <c r="AQ9" s="176"/>
      <c r="AT9" s="183">
        <v>1</v>
      </c>
      <c r="AU9" s="172"/>
      <c r="AV9" s="183">
        <v>1</v>
      </c>
      <c r="AW9" s="183">
        <v>1</v>
      </c>
      <c r="AY9" s="183">
        <v>2</v>
      </c>
    </row>
    <row r="10" spans="1:52" s="177" customFormat="1" x14ac:dyDescent="0.35">
      <c r="A10" s="172" t="s">
        <v>164</v>
      </c>
      <c r="B10" s="173" t="s">
        <v>180</v>
      </c>
      <c r="C10" s="172">
        <v>91</v>
      </c>
      <c r="D10" s="174">
        <v>0.57999999999999996</v>
      </c>
      <c r="E10" s="172">
        <v>26.4</v>
      </c>
      <c r="F10" s="172">
        <v>0</v>
      </c>
      <c r="G10" s="179">
        <v>45018</v>
      </c>
      <c r="H10" s="175">
        <v>188</v>
      </c>
      <c r="I10" s="172">
        <v>100</v>
      </c>
      <c r="J10" s="172">
        <v>780</v>
      </c>
      <c r="K10" s="175">
        <v>5</v>
      </c>
      <c r="L10" s="176">
        <v>10</v>
      </c>
      <c r="M10" s="176">
        <v>10</v>
      </c>
      <c r="N10" s="183">
        <v>1</v>
      </c>
      <c r="O10" s="183">
        <v>1</v>
      </c>
      <c r="Q10" s="172"/>
      <c r="R10" s="176">
        <v>1</v>
      </c>
      <c r="T10" s="176"/>
      <c r="V10" s="183">
        <v>1</v>
      </c>
      <c r="W10" s="172"/>
      <c r="AA10" s="172"/>
      <c r="AB10" s="172"/>
      <c r="AC10" s="183">
        <v>1</v>
      </c>
      <c r="AD10" s="183">
        <v>1</v>
      </c>
      <c r="AE10" s="176"/>
      <c r="AF10" s="172"/>
      <c r="AG10" s="172"/>
      <c r="AH10" s="172">
        <v>1</v>
      </c>
      <c r="AI10" s="172"/>
      <c r="AK10" s="172"/>
      <c r="AN10" s="183">
        <v>1</v>
      </c>
      <c r="AQ10" s="176"/>
      <c r="AS10" s="183">
        <v>1</v>
      </c>
      <c r="AU10" s="172">
        <v>1</v>
      </c>
    </row>
    <row r="11" spans="1:52" s="177" customFormat="1" x14ac:dyDescent="0.35">
      <c r="A11" s="172" t="s">
        <v>168</v>
      </c>
      <c r="B11" s="176" t="s">
        <v>186</v>
      </c>
      <c r="C11" s="176">
        <v>76</v>
      </c>
      <c r="D11" s="181">
        <v>1.53</v>
      </c>
      <c r="E11" s="176">
        <v>25.4</v>
      </c>
      <c r="F11" s="176">
        <v>0</v>
      </c>
      <c r="G11" s="182" t="s">
        <v>171</v>
      </c>
      <c r="H11" s="182">
        <v>227</v>
      </c>
      <c r="I11" s="176">
        <v>100</v>
      </c>
      <c r="J11" s="176">
        <v>1420</v>
      </c>
      <c r="K11" s="182">
        <v>6</v>
      </c>
      <c r="L11" s="176">
        <v>4</v>
      </c>
      <c r="M11" s="176">
        <v>5</v>
      </c>
      <c r="AI11" s="176"/>
      <c r="AL11" s="183">
        <v>1</v>
      </c>
      <c r="AO11" s="183">
        <v>1</v>
      </c>
      <c r="AX11" s="183">
        <v>2</v>
      </c>
      <c r="AZ11" s="183">
        <v>1</v>
      </c>
    </row>
    <row r="12" spans="1:52" s="177" customFormat="1" x14ac:dyDescent="0.35">
      <c r="A12" s="172" t="s">
        <v>168</v>
      </c>
      <c r="B12" s="172" t="s">
        <v>176</v>
      </c>
      <c r="C12" s="172">
        <v>92</v>
      </c>
      <c r="D12" s="174">
        <v>0.14000000000000001</v>
      </c>
      <c r="E12" s="172">
        <v>22.5</v>
      </c>
      <c r="F12" s="172">
        <v>0</v>
      </c>
      <c r="G12" s="175" t="s">
        <v>169</v>
      </c>
      <c r="H12" s="175">
        <v>228</v>
      </c>
      <c r="I12" s="172">
        <v>100</v>
      </c>
      <c r="J12" s="172">
        <v>480</v>
      </c>
      <c r="K12" s="175">
        <v>4</v>
      </c>
      <c r="L12" s="176">
        <v>6</v>
      </c>
      <c r="M12" s="176">
        <v>11</v>
      </c>
      <c r="Q12" s="184">
        <v>1</v>
      </c>
      <c r="R12" s="183">
        <v>1</v>
      </c>
      <c r="W12" s="184"/>
      <c r="AA12" s="184"/>
      <c r="AB12" s="172"/>
      <c r="AE12" s="183">
        <v>1</v>
      </c>
      <c r="AF12" s="184">
        <v>1</v>
      </c>
      <c r="AG12" s="184"/>
      <c r="AH12" s="184"/>
      <c r="AI12" s="184">
        <v>2</v>
      </c>
      <c r="AK12" s="184"/>
      <c r="AQ12" s="176"/>
      <c r="AR12" s="183">
        <v>5</v>
      </c>
      <c r="AU12" s="184"/>
      <c r="AX12" s="176"/>
      <c r="AZ12" s="176"/>
    </row>
    <row r="14" spans="1:52" x14ac:dyDescent="0.35">
      <c r="N14" s="152">
        <f t="shared" ref="N14:AF14" si="0">COUNT(N2:N12)</f>
        <v>1</v>
      </c>
      <c r="O14" s="152">
        <f t="shared" si="0"/>
        <v>1</v>
      </c>
      <c r="P14" s="152">
        <f t="shared" si="0"/>
        <v>2</v>
      </c>
      <c r="Q14" s="152">
        <f t="shared" si="0"/>
        <v>2</v>
      </c>
      <c r="R14" s="152">
        <f>COUNT(R2:R12)</f>
        <v>3</v>
      </c>
      <c r="S14" s="152">
        <f t="shared" si="0"/>
        <v>1</v>
      </c>
      <c r="T14" s="152">
        <f t="shared" si="0"/>
        <v>1</v>
      </c>
      <c r="U14" s="152">
        <f>COUNT(U2:U12)</f>
        <v>1</v>
      </c>
      <c r="V14" s="152">
        <f t="shared" si="0"/>
        <v>1</v>
      </c>
      <c r="W14" s="152">
        <f t="shared" si="0"/>
        <v>2</v>
      </c>
      <c r="X14" s="152">
        <f t="shared" si="0"/>
        <v>2</v>
      </c>
      <c r="Y14" s="152">
        <f t="shared" si="0"/>
        <v>1</v>
      </c>
      <c r="Z14" s="152">
        <f t="shared" si="0"/>
        <v>1</v>
      </c>
      <c r="AA14" s="152">
        <f t="shared" si="0"/>
        <v>1</v>
      </c>
      <c r="AB14" s="152">
        <f t="shared" si="0"/>
        <v>2</v>
      </c>
      <c r="AC14" s="152">
        <f t="shared" si="0"/>
        <v>1</v>
      </c>
      <c r="AD14" s="152">
        <f t="shared" si="0"/>
        <v>1</v>
      </c>
      <c r="AE14" s="152">
        <f t="shared" si="0"/>
        <v>1</v>
      </c>
      <c r="AF14" s="152">
        <f t="shared" si="0"/>
        <v>1</v>
      </c>
      <c r="AG14" s="152">
        <f t="shared" ref="AG14:AM14" si="1">COUNT(AG2:AG12)</f>
        <v>1</v>
      </c>
      <c r="AH14" s="152">
        <f t="shared" si="1"/>
        <v>2</v>
      </c>
      <c r="AI14" s="152">
        <f t="shared" si="1"/>
        <v>2</v>
      </c>
      <c r="AJ14" s="152">
        <f t="shared" si="1"/>
        <v>1</v>
      </c>
      <c r="AK14" s="152">
        <f>COUNT(AK2:AK12)</f>
        <v>2</v>
      </c>
      <c r="AL14" s="152">
        <f t="shared" si="1"/>
        <v>1</v>
      </c>
      <c r="AM14" s="152">
        <f t="shared" si="1"/>
        <v>1</v>
      </c>
      <c r="AN14" s="152">
        <f t="shared" ref="AN14:AQ14" si="2">COUNT(AN2:AN12)</f>
        <v>1</v>
      </c>
      <c r="AO14" s="152">
        <f t="shared" si="2"/>
        <v>4</v>
      </c>
      <c r="AP14" s="152">
        <f t="shared" si="2"/>
        <v>3</v>
      </c>
      <c r="AQ14" s="152">
        <f t="shared" si="2"/>
        <v>1</v>
      </c>
      <c r="AR14" s="152">
        <f t="shared" ref="AR14:AT14" si="3">COUNT(AR2:AR12)</f>
        <v>2</v>
      </c>
      <c r="AS14" s="152">
        <f t="shared" si="3"/>
        <v>1</v>
      </c>
      <c r="AT14" s="152">
        <f t="shared" si="3"/>
        <v>2</v>
      </c>
      <c r="AU14" s="152">
        <f t="shared" ref="AU14:AY14" si="4">COUNT(AU2:AU12)</f>
        <v>2</v>
      </c>
      <c r="AV14" s="152">
        <f t="shared" si="4"/>
        <v>5</v>
      </c>
      <c r="AW14" s="152">
        <f t="shared" si="4"/>
        <v>1</v>
      </c>
      <c r="AX14" s="152">
        <f t="shared" si="4"/>
        <v>1</v>
      </c>
      <c r="AY14" s="152">
        <f t="shared" si="4"/>
        <v>1</v>
      </c>
      <c r="AZ14" s="152">
        <f>COUNT(AZ2:AZ12)</f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topLeftCell="A68" workbookViewId="0">
      <selection activeCell="L11" sqref="L11"/>
    </sheetView>
  </sheetViews>
  <sheetFormatPr defaultRowHeight="14.5" x14ac:dyDescent="0.35"/>
  <cols>
    <col min="1" max="5" width="8.7265625" style="152"/>
  </cols>
  <sheetData>
    <row r="1" spans="1:6" ht="109" x14ac:dyDescent="0.35">
      <c r="A1" s="107" t="s">
        <v>187</v>
      </c>
      <c r="B1" s="107"/>
      <c r="C1" s="107" t="s">
        <v>187</v>
      </c>
      <c r="D1" s="129" t="s">
        <v>197</v>
      </c>
      <c r="E1" s="154" t="s">
        <v>195</v>
      </c>
      <c r="F1" s="185" t="s">
        <v>213</v>
      </c>
    </row>
    <row r="2" spans="1:6" x14ac:dyDescent="0.35">
      <c r="A2" s="161" t="s">
        <v>202</v>
      </c>
      <c r="B2" s="161" t="s">
        <v>203</v>
      </c>
      <c r="C2" s="161">
        <v>480</v>
      </c>
      <c r="D2" s="156">
        <v>2000</v>
      </c>
      <c r="E2" s="154">
        <v>6</v>
      </c>
      <c r="F2">
        <f>ABS(D2-C2)</f>
        <v>1520</v>
      </c>
    </row>
    <row r="3" spans="1:6" x14ac:dyDescent="0.35">
      <c r="A3" s="161" t="s">
        <v>204</v>
      </c>
      <c r="B3" s="161" t="s">
        <v>203</v>
      </c>
      <c r="C3" s="161">
        <v>580</v>
      </c>
      <c r="D3" s="156">
        <v>2000</v>
      </c>
      <c r="E3" s="154">
        <v>9</v>
      </c>
      <c r="F3" s="152">
        <f t="shared" ref="F3:F66" si="0">ABS(D3-C3)</f>
        <v>1420</v>
      </c>
    </row>
    <row r="4" spans="1:6" x14ac:dyDescent="0.35">
      <c r="A4" s="161" t="s">
        <v>205</v>
      </c>
      <c r="B4" s="161" t="s">
        <v>203</v>
      </c>
      <c r="C4" s="161">
        <v>700</v>
      </c>
      <c r="D4" s="156">
        <v>2000</v>
      </c>
      <c r="E4" s="154">
        <v>8</v>
      </c>
      <c r="F4" s="152">
        <f t="shared" si="0"/>
        <v>1300</v>
      </c>
    </row>
    <row r="5" spans="1:6" x14ac:dyDescent="0.35">
      <c r="A5" s="161" t="s">
        <v>205</v>
      </c>
      <c r="B5" s="161" t="s">
        <v>203</v>
      </c>
      <c r="C5" s="161">
        <v>700</v>
      </c>
      <c r="D5" s="156">
        <v>870</v>
      </c>
      <c r="E5" s="154">
        <v>2</v>
      </c>
      <c r="F5" s="152">
        <f t="shared" si="0"/>
        <v>170</v>
      </c>
    </row>
    <row r="6" spans="1:6" x14ac:dyDescent="0.35">
      <c r="A6" s="161" t="s">
        <v>205</v>
      </c>
      <c r="B6" s="161" t="s">
        <v>203</v>
      </c>
      <c r="C6" s="161">
        <v>700</v>
      </c>
      <c r="D6" s="156">
        <v>2000</v>
      </c>
      <c r="E6" s="154">
        <v>5</v>
      </c>
      <c r="F6" s="152">
        <f t="shared" si="0"/>
        <v>1300</v>
      </c>
    </row>
    <row r="7" spans="1:6" x14ac:dyDescent="0.35">
      <c r="A7" s="161" t="s">
        <v>205</v>
      </c>
      <c r="B7" s="161" t="s">
        <v>203</v>
      </c>
      <c r="C7" s="161">
        <v>700</v>
      </c>
      <c r="D7" s="156">
        <v>2000</v>
      </c>
      <c r="E7" s="154">
        <v>1</v>
      </c>
      <c r="F7" s="152">
        <f t="shared" si="0"/>
        <v>1300</v>
      </c>
    </row>
    <row r="8" spans="1:6" x14ac:dyDescent="0.35">
      <c r="A8" s="161" t="s">
        <v>206</v>
      </c>
      <c r="B8" s="161" t="s">
        <v>203</v>
      </c>
      <c r="C8" s="161">
        <v>870</v>
      </c>
      <c r="D8" s="156">
        <v>870</v>
      </c>
      <c r="E8" s="154">
        <v>5</v>
      </c>
      <c r="F8" s="152">
        <f t="shared" si="0"/>
        <v>0</v>
      </c>
    </row>
    <row r="9" spans="1:6" x14ac:dyDescent="0.35">
      <c r="A9" s="161" t="s">
        <v>207</v>
      </c>
      <c r="B9" s="161" t="s">
        <v>203</v>
      </c>
      <c r="C9" s="161">
        <v>1000</v>
      </c>
      <c r="D9" s="156">
        <v>870</v>
      </c>
      <c r="E9" s="154">
        <v>4</v>
      </c>
      <c r="F9" s="152">
        <f t="shared" si="0"/>
        <v>130</v>
      </c>
    </row>
    <row r="10" spans="1:6" x14ac:dyDescent="0.35">
      <c r="A10" s="161" t="s">
        <v>208</v>
      </c>
      <c r="B10" s="161" t="s">
        <v>203</v>
      </c>
      <c r="C10" s="161">
        <v>1100</v>
      </c>
      <c r="D10" s="156">
        <v>870</v>
      </c>
      <c r="E10" s="154">
        <v>7</v>
      </c>
      <c r="F10" s="152">
        <f t="shared" si="0"/>
        <v>230</v>
      </c>
    </row>
    <row r="11" spans="1:6" x14ac:dyDescent="0.35">
      <c r="A11" s="161" t="s">
        <v>208</v>
      </c>
      <c r="B11" s="161" t="s">
        <v>203</v>
      </c>
      <c r="C11" s="161">
        <v>1100</v>
      </c>
      <c r="D11" s="156">
        <v>2000</v>
      </c>
      <c r="E11" s="154">
        <v>4</v>
      </c>
      <c r="F11" s="152">
        <f t="shared" si="0"/>
        <v>900</v>
      </c>
    </row>
    <row r="12" spans="1:6" x14ac:dyDescent="0.35">
      <c r="A12" s="161" t="s">
        <v>208</v>
      </c>
      <c r="B12" s="161" t="s">
        <v>203</v>
      </c>
      <c r="C12" s="161">
        <v>1100</v>
      </c>
      <c r="D12" s="156">
        <v>2000</v>
      </c>
      <c r="E12" s="154">
        <v>0</v>
      </c>
      <c r="F12" s="152">
        <f t="shared" si="0"/>
        <v>900</v>
      </c>
    </row>
    <row r="13" spans="1:6" x14ac:dyDescent="0.35">
      <c r="A13" s="161" t="s">
        <v>209</v>
      </c>
      <c r="B13" s="161" t="s">
        <v>203</v>
      </c>
      <c r="C13" s="161">
        <v>1250</v>
      </c>
      <c r="D13" s="156">
        <v>1360</v>
      </c>
      <c r="E13" s="154">
        <v>3</v>
      </c>
      <c r="F13" s="152">
        <f t="shared" si="0"/>
        <v>110</v>
      </c>
    </row>
    <row r="14" spans="1:6" x14ac:dyDescent="0.35">
      <c r="A14" s="161" t="s">
        <v>209</v>
      </c>
      <c r="B14" s="161" t="s">
        <v>203</v>
      </c>
      <c r="C14" s="161">
        <v>1250</v>
      </c>
      <c r="D14" s="156">
        <v>2000</v>
      </c>
      <c r="E14" s="154">
        <v>0</v>
      </c>
      <c r="F14" s="152">
        <f t="shared" si="0"/>
        <v>750</v>
      </c>
    </row>
    <row r="15" spans="1:6" x14ac:dyDescent="0.35">
      <c r="A15" s="161" t="s">
        <v>210</v>
      </c>
      <c r="B15" s="161" t="s">
        <v>203</v>
      </c>
      <c r="C15" s="161">
        <v>1360</v>
      </c>
      <c r="D15" s="156">
        <v>1360</v>
      </c>
      <c r="E15" s="154">
        <v>3</v>
      </c>
      <c r="F15" s="152">
        <f t="shared" si="0"/>
        <v>0</v>
      </c>
    </row>
    <row r="16" spans="1:6" x14ac:dyDescent="0.35">
      <c r="A16" s="161" t="s">
        <v>211</v>
      </c>
      <c r="B16" s="161" t="s">
        <v>203</v>
      </c>
      <c r="C16" s="161">
        <v>1420</v>
      </c>
      <c r="D16" s="156">
        <v>1360</v>
      </c>
      <c r="E16" s="154">
        <v>3</v>
      </c>
      <c r="F16" s="152">
        <f t="shared" si="0"/>
        <v>60</v>
      </c>
    </row>
    <row r="17" spans="1:6" x14ac:dyDescent="0.35">
      <c r="A17" s="161" t="s">
        <v>211</v>
      </c>
      <c r="B17" s="161" t="s">
        <v>203</v>
      </c>
      <c r="C17" s="161">
        <v>1420</v>
      </c>
      <c r="D17" s="156">
        <v>2000</v>
      </c>
      <c r="E17" s="154">
        <v>2</v>
      </c>
      <c r="F17" s="152">
        <f t="shared" si="0"/>
        <v>580</v>
      </c>
    </row>
    <row r="18" spans="1:6" x14ac:dyDescent="0.35">
      <c r="A18" s="156" t="s">
        <v>211</v>
      </c>
      <c r="B18" s="156" t="s">
        <v>203</v>
      </c>
      <c r="C18" s="156">
        <v>1420</v>
      </c>
      <c r="D18" s="156">
        <v>2000</v>
      </c>
      <c r="E18" s="154">
        <v>2</v>
      </c>
      <c r="F18" s="152">
        <f t="shared" si="0"/>
        <v>580</v>
      </c>
    </row>
    <row r="19" spans="1:6" x14ac:dyDescent="0.35">
      <c r="A19" s="161" t="s">
        <v>202</v>
      </c>
      <c r="B19" s="161" t="s">
        <v>203</v>
      </c>
      <c r="C19" s="161">
        <v>480</v>
      </c>
      <c r="D19" s="156">
        <v>2000</v>
      </c>
      <c r="E19" s="154">
        <v>5</v>
      </c>
      <c r="F19" s="152">
        <f t="shared" si="0"/>
        <v>1520</v>
      </c>
    </row>
    <row r="20" spans="1:6" x14ac:dyDescent="0.35">
      <c r="A20" s="161" t="s">
        <v>202</v>
      </c>
      <c r="B20" s="161" t="s">
        <v>203</v>
      </c>
      <c r="C20" s="161">
        <v>480</v>
      </c>
      <c r="D20" s="156">
        <v>580</v>
      </c>
      <c r="E20" s="154">
        <v>9</v>
      </c>
      <c r="F20" s="152">
        <f t="shared" si="0"/>
        <v>100</v>
      </c>
    </row>
    <row r="21" spans="1:6" x14ac:dyDescent="0.35">
      <c r="A21" s="161" t="s">
        <v>204</v>
      </c>
      <c r="B21" s="161" t="s">
        <v>203</v>
      </c>
      <c r="C21" s="161">
        <v>580</v>
      </c>
      <c r="D21" s="156">
        <v>580</v>
      </c>
      <c r="E21" s="154">
        <v>8</v>
      </c>
      <c r="F21" s="152">
        <f t="shared" si="0"/>
        <v>0</v>
      </c>
    </row>
    <row r="22" spans="1:6" x14ac:dyDescent="0.35">
      <c r="A22" s="161" t="s">
        <v>204</v>
      </c>
      <c r="B22" s="161" t="s">
        <v>203</v>
      </c>
      <c r="C22" s="161">
        <v>580</v>
      </c>
      <c r="D22" s="156">
        <v>2000</v>
      </c>
      <c r="E22" s="154">
        <v>9</v>
      </c>
      <c r="F22" s="152">
        <f t="shared" si="0"/>
        <v>1420</v>
      </c>
    </row>
    <row r="23" spans="1:6" x14ac:dyDescent="0.35">
      <c r="A23" s="161" t="s">
        <v>205</v>
      </c>
      <c r="B23" s="161" t="s">
        <v>203</v>
      </c>
      <c r="C23" s="161">
        <v>700</v>
      </c>
      <c r="D23" s="156">
        <v>870</v>
      </c>
      <c r="E23" s="154">
        <v>3</v>
      </c>
      <c r="F23" s="152">
        <f t="shared" si="0"/>
        <v>170</v>
      </c>
    </row>
    <row r="24" spans="1:6" x14ac:dyDescent="0.35">
      <c r="A24" s="161" t="s">
        <v>205</v>
      </c>
      <c r="B24" s="161" t="s">
        <v>203</v>
      </c>
      <c r="C24" s="161">
        <v>700</v>
      </c>
      <c r="D24" s="156">
        <v>870</v>
      </c>
      <c r="E24" s="154">
        <v>13</v>
      </c>
      <c r="F24" s="152">
        <f t="shared" si="0"/>
        <v>170</v>
      </c>
    </row>
    <row r="25" spans="1:6" x14ac:dyDescent="0.35">
      <c r="A25" s="161" t="s">
        <v>205</v>
      </c>
      <c r="B25" s="161" t="s">
        <v>203</v>
      </c>
      <c r="C25" s="161">
        <v>700</v>
      </c>
      <c r="D25" s="156">
        <v>2000</v>
      </c>
      <c r="E25" s="154">
        <v>1</v>
      </c>
      <c r="F25" s="152">
        <f t="shared" si="0"/>
        <v>1300</v>
      </c>
    </row>
    <row r="26" spans="1:6" x14ac:dyDescent="0.35">
      <c r="A26" s="161" t="s">
        <v>205</v>
      </c>
      <c r="B26" s="161" t="s">
        <v>203</v>
      </c>
      <c r="C26" s="161">
        <v>700</v>
      </c>
      <c r="D26" s="156">
        <v>2000</v>
      </c>
      <c r="E26" s="154">
        <v>6</v>
      </c>
      <c r="F26" s="152">
        <f t="shared" si="0"/>
        <v>1300</v>
      </c>
    </row>
    <row r="27" spans="1:6" x14ac:dyDescent="0.35">
      <c r="A27" s="161" t="s">
        <v>205</v>
      </c>
      <c r="B27" s="161" t="s">
        <v>203</v>
      </c>
      <c r="C27" s="161">
        <v>700</v>
      </c>
      <c r="D27" s="156">
        <v>2000</v>
      </c>
      <c r="E27" s="154">
        <v>3</v>
      </c>
      <c r="F27" s="152">
        <f t="shared" si="0"/>
        <v>1300</v>
      </c>
    </row>
    <row r="28" spans="1:6" x14ac:dyDescent="0.35">
      <c r="A28" s="161" t="s">
        <v>212</v>
      </c>
      <c r="B28" s="161" t="s">
        <v>203</v>
      </c>
      <c r="C28" s="161">
        <v>780</v>
      </c>
      <c r="D28" s="156">
        <v>870</v>
      </c>
      <c r="E28" s="154">
        <v>3</v>
      </c>
      <c r="F28" s="152">
        <f t="shared" si="0"/>
        <v>90</v>
      </c>
    </row>
    <row r="29" spans="1:6" x14ac:dyDescent="0.35">
      <c r="A29" s="161" t="s">
        <v>212</v>
      </c>
      <c r="B29" s="161" t="s">
        <v>203</v>
      </c>
      <c r="C29" s="161">
        <v>780</v>
      </c>
      <c r="D29" s="156">
        <v>2000</v>
      </c>
      <c r="E29" s="154">
        <v>0</v>
      </c>
      <c r="F29" s="152">
        <f t="shared" si="0"/>
        <v>1220</v>
      </c>
    </row>
    <row r="30" spans="1:6" x14ac:dyDescent="0.35">
      <c r="A30" s="161" t="s">
        <v>212</v>
      </c>
      <c r="B30" s="161" t="s">
        <v>203</v>
      </c>
      <c r="C30" s="161">
        <v>780</v>
      </c>
      <c r="D30" s="156">
        <v>2000</v>
      </c>
      <c r="E30" s="154">
        <v>2</v>
      </c>
      <c r="F30" s="152">
        <f t="shared" si="0"/>
        <v>1220</v>
      </c>
    </row>
    <row r="31" spans="1:6" x14ac:dyDescent="0.35">
      <c r="A31" s="161" t="s">
        <v>212</v>
      </c>
      <c r="B31" s="161" t="s">
        <v>203</v>
      </c>
      <c r="C31" s="161">
        <v>780</v>
      </c>
      <c r="D31" s="156">
        <v>2000</v>
      </c>
      <c r="E31" s="154">
        <v>2</v>
      </c>
      <c r="F31" s="152">
        <f t="shared" si="0"/>
        <v>1220</v>
      </c>
    </row>
    <row r="32" spans="1:6" x14ac:dyDescent="0.35">
      <c r="A32" s="161" t="s">
        <v>206</v>
      </c>
      <c r="B32" s="161" t="s">
        <v>203</v>
      </c>
      <c r="C32" s="161">
        <v>870</v>
      </c>
      <c r="D32" s="156">
        <v>870</v>
      </c>
      <c r="E32" s="154">
        <v>4</v>
      </c>
      <c r="F32" s="152">
        <f t="shared" si="0"/>
        <v>0</v>
      </c>
    </row>
    <row r="33" spans="1:6" x14ac:dyDescent="0.35">
      <c r="A33" s="161" t="s">
        <v>206</v>
      </c>
      <c r="B33" s="161" t="s">
        <v>203</v>
      </c>
      <c r="C33" s="161">
        <v>870</v>
      </c>
      <c r="D33" s="156">
        <v>2000</v>
      </c>
      <c r="E33" s="154">
        <v>0</v>
      </c>
      <c r="F33" s="152">
        <f t="shared" si="0"/>
        <v>1130</v>
      </c>
    </row>
    <row r="34" spans="1:6" x14ac:dyDescent="0.35">
      <c r="A34" s="161" t="s">
        <v>206</v>
      </c>
      <c r="B34" s="161" t="s">
        <v>203</v>
      </c>
      <c r="C34" s="161">
        <v>870</v>
      </c>
      <c r="D34" s="156">
        <v>2000</v>
      </c>
      <c r="E34" s="154">
        <v>2</v>
      </c>
      <c r="F34" s="152">
        <f t="shared" si="0"/>
        <v>1130</v>
      </c>
    </row>
    <row r="35" spans="1:6" x14ac:dyDescent="0.35">
      <c r="A35" s="161" t="s">
        <v>207</v>
      </c>
      <c r="B35" s="161" t="s">
        <v>203</v>
      </c>
      <c r="C35" s="161">
        <v>1000</v>
      </c>
      <c r="D35" s="156">
        <v>870</v>
      </c>
      <c r="E35" s="154">
        <v>12</v>
      </c>
      <c r="F35" s="152">
        <f t="shared" si="0"/>
        <v>130</v>
      </c>
    </row>
    <row r="36" spans="1:6" x14ac:dyDescent="0.35">
      <c r="A36" s="157" t="s">
        <v>207</v>
      </c>
      <c r="B36" s="157" t="s">
        <v>203</v>
      </c>
      <c r="C36" s="157">
        <v>1000</v>
      </c>
      <c r="D36" s="156">
        <v>2000</v>
      </c>
      <c r="E36" s="154">
        <v>2</v>
      </c>
      <c r="F36" s="152">
        <f t="shared" si="0"/>
        <v>1000</v>
      </c>
    </row>
    <row r="37" spans="1:6" x14ac:dyDescent="0.35">
      <c r="A37" s="161" t="s">
        <v>208</v>
      </c>
      <c r="B37" s="161" t="s">
        <v>203</v>
      </c>
      <c r="C37" s="161">
        <v>1100</v>
      </c>
      <c r="D37" s="156">
        <v>1100</v>
      </c>
      <c r="E37" s="154">
        <v>3</v>
      </c>
      <c r="F37" s="152">
        <f t="shared" si="0"/>
        <v>0</v>
      </c>
    </row>
    <row r="38" spans="1:6" x14ac:dyDescent="0.35">
      <c r="A38" s="161" t="s">
        <v>208</v>
      </c>
      <c r="B38" s="161" t="s">
        <v>203</v>
      </c>
      <c r="C38" s="161">
        <v>1100</v>
      </c>
      <c r="D38" s="154">
        <v>1420</v>
      </c>
      <c r="E38" s="154">
        <v>6</v>
      </c>
      <c r="F38" s="152">
        <f t="shared" si="0"/>
        <v>320</v>
      </c>
    </row>
    <row r="39" spans="1:6" x14ac:dyDescent="0.35">
      <c r="A39" s="161" t="s">
        <v>208</v>
      </c>
      <c r="B39" s="161" t="s">
        <v>203</v>
      </c>
      <c r="C39" s="161">
        <v>1100</v>
      </c>
      <c r="D39" s="156">
        <v>2000</v>
      </c>
      <c r="E39" s="154">
        <v>1</v>
      </c>
      <c r="F39" s="152">
        <f t="shared" si="0"/>
        <v>900</v>
      </c>
    </row>
    <row r="40" spans="1:6" x14ac:dyDescent="0.35">
      <c r="A40" s="161" t="s">
        <v>208</v>
      </c>
      <c r="B40" s="161" t="s">
        <v>203</v>
      </c>
      <c r="C40" s="161">
        <v>1100</v>
      </c>
      <c r="D40" s="156">
        <v>2000</v>
      </c>
      <c r="E40" s="154">
        <v>1</v>
      </c>
      <c r="F40" s="152">
        <f t="shared" si="0"/>
        <v>900</v>
      </c>
    </row>
    <row r="41" spans="1:6" x14ac:dyDescent="0.35">
      <c r="A41" s="161" t="s">
        <v>209</v>
      </c>
      <c r="B41" s="161" t="s">
        <v>203</v>
      </c>
      <c r="C41" s="161">
        <v>1250</v>
      </c>
      <c r="D41" s="156">
        <v>1100</v>
      </c>
      <c r="E41" s="154">
        <v>4</v>
      </c>
      <c r="F41" s="152">
        <f t="shared" si="0"/>
        <v>150</v>
      </c>
    </row>
    <row r="42" spans="1:6" x14ac:dyDescent="0.35">
      <c r="A42" s="161" t="s">
        <v>209</v>
      </c>
      <c r="B42" s="161" t="s">
        <v>203</v>
      </c>
      <c r="C42" s="161">
        <v>1250</v>
      </c>
      <c r="D42" s="156">
        <v>1420</v>
      </c>
      <c r="E42" s="154">
        <v>5</v>
      </c>
      <c r="F42" s="152">
        <f t="shared" si="0"/>
        <v>170</v>
      </c>
    </row>
    <row r="43" spans="1:6" x14ac:dyDescent="0.35">
      <c r="A43" s="157" t="s">
        <v>209</v>
      </c>
      <c r="B43" s="157" t="s">
        <v>203</v>
      </c>
      <c r="C43" s="157">
        <v>1250</v>
      </c>
      <c r="D43" s="156">
        <v>2000</v>
      </c>
      <c r="E43" s="154">
        <v>0</v>
      </c>
      <c r="F43" s="152">
        <f t="shared" si="0"/>
        <v>750</v>
      </c>
    </row>
    <row r="44" spans="1:6" x14ac:dyDescent="0.35">
      <c r="A44" s="161" t="s">
        <v>209</v>
      </c>
      <c r="B44" s="161" t="s">
        <v>203</v>
      </c>
      <c r="C44" s="161">
        <v>1250</v>
      </c>
      <c r="D44" s="156">
        <v>2000</v>
      </c>
      <c r="E44" s="154">
        <v>2</v>
      </c>
      <c r="F44" s="152">
        <f t="shared" si="0"/>
        <v>750</v>
      </c>
    </row>
    <row r="45" spans="1:6" x14ac:dyDescent="0.35">
      <c r="A45" s="161" t="s">
        <v>210</v>
      </c>
      <c r="B45" s="161" t="s">
        <v>203</v>
      </c>
      <c r="C45" s="161">
        <v>1360</v>
      </c>
      <c r="D45" s="156">
        <v>1420</v>
      </c>
      <c r="E45" s="154">
        <v>3</v>
      </c>
      <c r="F45" s="152">
        <f t="shared" si="0"/>
        <v>60</v>
      </c>
    </row>
    <row r="46" spans="1:6" x14ac:dyDescent="0.35">
      <c r="A46" s="161" t="s">
        <v>210</v>
      </c>
      <c r="B46" s="161" t="s">
        <v>203</v>
      </c>
      <c r="C46" s="161">
        <v>1360</v>
      </c>
      <c r="D46" s="156">
        <v>1420</v>
      </c>
      <c r="E46" s="154">
        <v>4</v>
      </c>
      <c r="F46" s="152">
        <f t="shared" si="0"/>
        <v>60</v>
      </c>
    </row>
    <row r="47" spans="1:6" x14ac:dyDescent="0.35">
      <c r="A47" s="157" t="s">
        <v>210</v>
      </c>
      <c r="B47" s="157" t="s">
        <v>203</v>
      </c>
      <c r="C47" s="157">
        <v>1360</v>
      </c>
      <c r="D47" s="156">
        <v>2000</v>
      </c>
      <c r="E47" s="154">
        <v>0</v>
      </c>
      <c r="F47" s="152">
        <f t="shared" si="0"/>
        <v>640</v>
      </c>
    </row>
    <row r="48" spans="1:6" x14ac:dyDescent="0.35">
      <c r="A48" s="157" t="s">
        <v>210</v>
      </c>
      <c r="B48" s="157" t="s">
        <v>203</v>
      </c>
      <c r="C48" s="157">
        <v>1360</v>
      </c>
      <c r="D48" s="156">
        <v>2000</v>
      </c>
      <c r="E48" s="154">
        <v>0</v>
      </c>
      <c r="F48" s="152">
        <f t="shared" si="0"/>
        <v>640</v>
      </c>
    </row>
    <row r="49" spans="1:6" x14ac:dyDescent="0.35">
      <c r="A49" s="161" t="s">
        <v>211</v>
      </c>
      <c r="B49" s="161" t="s">
        <v>203</v>
      </c>
      <c r="C49" s="161">
        <v>1420</v>
      </c>
      <c r="D49" s="156">
        <v>1420</v>
      </c>
      <c r="E49" s="154">
        <v>2</v>
      </c>
      <c r="F49" s="152">
        <f t="shared" si="0"/>
        <v>0</v>
      </c>
    </row>
    <row r="50" spans="1:6" x14ac:dyDescent="0.35">
      <c r="A50" s="161" t="s">
        <v>211</v>
      </c>
      <c r="B50" s="161" t="s">
        <v>203</v>
      </c>
      <c r="C50" s="161">
        <v>1420</v>
      </c>
      <c r="D50" s="156">
        <v>1420</v>
      </c>
      <c r="E50" s="154">
        <v>3</v>
      </c>
      <c r="F50" s="152">
        <f t="shared" si="0"/>
        <v>0</v>
      </c>
    </row>
    <row r="51" spans="1:6" x14ac:dyDescent="0.35">
      <c r="A51" s="161" t="s">
        <v>211</v>
      </c>
      <c r="B51" s="161" t="s">
        <v>203</v>
      </c>
      <c r="C51" s="161">
        <v>1420</v>
      </c>
      <c r="D51" s="156">
        <v>2000</v>
      </c>
      <c r="E51" s="154">
        <v>3</v>
      </c>
      <c r="F51" s="152">
        <f t="shared" si="0"/>
        <v>580</v>
      </c>
    </row>
    <row r="52" spans="1:6" x14ac:dyDescent="0.35">
      <c r="A52" s="161" t="s">
        <v>211</v>
      </c>
      <c r="B52" s="161" t="s">
        <v>203</v>
      </c>
      <c r="C52" s="161">
        <v>1420</v>
      </c>
      <c r="D52" s="156">
        <v>2000</v>
      </c>
      <c r="E52" s="154">
        <v>3</v>
      </c>
      <c r="F52" s="152">
        <f t="shared" si="0"/>
        <v>580</v>
      </c>
    </row>
    <row r="53" spans="1:6" x14ac:dyDescent="0.35">
      <c r="A53" s="161" t="s">
        <v>202</v>
      </c>
      <c r="B53" s="161" t="s">
        <v>203</v>
      </c>
      <c r="C53" s="161">
        <v>480</v>
      </c>
      <c r="D53" s="156">
        <v>550</v>
      </c>
      <c r="E53" s="154">
        <v>4</v>
      </c>
      <c r="F53" s="152">
        <f t="shared" si="0"/>
        <v>70</v>
      </c>
    </row>
    <row r="54" spans="1:6" x14ac:dyDescent="0.35">
      <c r="A54" s="161" t="s">
        <v>202</v>
      </c>
      <c r="B54" s="161" t="s">
        <v>203</v>
      </c>
      <c r="C54" s="161">
        <v>480</v>
      </c>
      <c r="D54" s="156">
        <v>2000</v>
      </c>
      <c r="E54" s="154">
        <v>9</v>
      </c>
      <c r="F54" s="152">
        <f t="shared" si="0"/>
        <v>1520</v>
      </c>
    </row>
    <row r="55" spans="1:6" x14ac:dyDescent="0.35">
      <c r="A55" s="161" t="s">
        <v>202</v>
      </c>
      <c r="B55" s="161" t="s">
        <v>203</v>
      </c>
      <c r="C55" s="161">
        <v>480</v>
      </c>
      <c r="D55" s="156">
        <v>2000</v>
      </c>
      <c r="E55" s="154">
        <v>5</v>
      </c>
      <c r="F55" s="152">
        <f t="shared" si="0"/>
        <v>1520</v>
      </c>
    </row>
    <row r="56" spans="1:6" x14ac:dyDescent="0.35">
      <c r="A56" s="161" t="s">
        <v>204</v>
      </c>
      <c r="B56" s="161" t="s">
        <v>203</v>
      </c>
      <c r="C56" s="161">
        <v>580</v>
      </c>
      <c r="D56" s="156">
        <v>2000</v>
      </c>
      <c r="E56" s="154">
        <v>7</v>
      </c>
      <c r="F56" s="152">
        <f t="shared" si="0"/>
        <v>1420</v>
      </c>
    </row>
    <row r="57" spans="1:6" x14ac:dyDescent="0.35">
      <c r="A57" s="161" t="s">
        <v>204</v>
      </c>
      <c r="B57" s="161" t="s">
        <v>203</v>
      </c>
      <c r="C57" s="161">
        <v>580</v>
      </c>
      <c r="D57" s="156">
        <v>2000</v>
      </c>
      <c r="E57" s="154">
        <v>1</v>
      </c>
      <c r="F57" s="152">
        <f t="shared" si="0"/>
        <v>1420</v>
      </c>
    </row>
    <row r="58" spans="1:6" x14ac:dyDescent="0.35">
      <c r="A58" s="161" t="s">
        <v>205</v>
      </c>
      <c r="B58" s="161" t="s">
        <v>203</v>
      </c>
      <c r="C58" s="161">
        <v>700</v>
      </c>
      <c r="D58" s="156">
        <v>700</v>
      </c>
      <c r="E58" s="154">
        <v>13</v>
      </c>
      <c r="F58" s="152">
        <f t="shared" si="0"/>
        <v>0</v>
      </c>
    </row>
    <row r="59" spans="1:6" x14ac:dyDescent="0.35">
      <c r="A59" s="161" t="s">
        <v>205</v>
      </c>
      <c r="B59" s="161" t="s">
        <v>203</v>
      </c>
      <c r="C59" s="161">
        <v>700</v>
      </c>
      <c r="D59" s="156">
        <v>2000</v>
      </c>
      <c r="E59" s="154">
        <v>3</v>
      </c>
      <c r="F59" s="152">
        <f t="shared" si="0"/>
        <v>1300</v>
      </c>
    </row>
    <row r="60" spans="1:6" x14ac:dyDescent="0.35">
      <c r="A60" s="161" t="s">
        <v>205</v>
      </c>
      <c r="B60" s="161" t="s">
        <v>203</v>
      </c>
      <c r="C60" s="161">
        <v>700</v>
      </c>
      <c r="D60" s="156">
        <v>2000</v>
      </c>
      <c r="E60" s="154">
        <v>3</v>
      </c>
      <c r="F60" s="152">
        <f t="shared" si="0"/>
        <v>1300</v>
      </c>
    </row>
    <row r="61" spans="1:6" x14ac:dyDescent="0.35">
      <c r="A61" s="161" t="s">
        <v>205</v>
      </c>
      <c r="B61" s="161" t="s">
        <v>203</v>
      </c>
      <c r="C61" s="161">
        <v>700</v>
      </c>
      <c r="D61" s="156">
        <v>2000</v>
      </c>
      <c r="E61" s="154">
        <v>1</v>
      </c>
      <c r="F61" s="152">
        <f t="shared" si="0"/>
        <v>1300</v>
      </c>
    </row>
    <row r="62" spans="1:6" x14ac:dyDescent="0.35">
      <c r="A62" s="161" t="s">
        <v>212</v>
      </c>
      <c r="B62" s="161" t="s">
        <v>203</v>
      </c>
      <c r="C62" s="161">
        <v>780</v>
      </c>
      <c r="D62" s="156">
        <v>700</v>
      </c>
      <c r="E62" s="154">
        <v>8</v>
      </c>
      <c r="F62" s="152">
        <f t="shared" si="0"/>
        <v>80</v>
      </c>
    </row>
    <row r="63" spans="1:6" x14ac:dyDescent="0.35">
      <c r="A63" s="161" t="s">
        <v>212</v>
      </c>
      <c r="B63" s="161" t="s">
        <v>203</v>
      </c>
      <c r="C63" s="161">
        <v>780</v>
      </c>
      <c r="D63" s="156">
        <v>2000</v>
      </c>
      <c r="E63" s="154">
        <v>4</v>
      </c>
      <c r="F63" s="152">
        <f t="shared" si="0"/>
        <v>1220</v>
      </c>
    </row>
    <row r="64" spans="1:6" x14ac:dyDescent="0.35">
      <c r="A64" s="161" t="s">
        <v>206</v>
      </c>
      <c r="B64" s="161" t="s">
        <v>203</v>
      </c>
      <c r="C64" s="161">
        <v>870</v>
      </c>
      <c r="D64" s="156">
        <v>700</v>
      </c>
      <c r="E64" s="154">
        <v>5</v>
      </c>
      <c r="F64" s="152">
        <f t="shared" si="0"/>
        <v>170</v>
      </c>
    </row>
    <row r="65" spans="1:6" x14ac:dyDescent="0.35">
      <c r="A65" s="161" t="s">
        <v>207</v>
      </c>
      <c r="B65" s="161" t="s">
        <v>203</v>
      </c>
      <c r="C65" s="161">
        <v>1000</v>
      </c>
      <c r="D65" s="156">
        <v>700</v>
      </c>
      <c r="E65" s="154">
        <v>9</v>
      </c>
      <c r="F65" s="152">
        <f t="shared" si="0"/>
        <v>300</v>
      </c>
    </row>
    <row r="66" spans="1:6" x14ac:dyDescent="0.35">
      <c r="A66" s="161" t="s">
        <v>207</v>
      </c>
      <c r="B66" s="161" t="s">
        <v>203</v>
      </c>
      <c r="C66" s="161">
        <v>1000</v>
      </c>
      <c r="D66" s="156">
        <v>2000</v>
      </c>
      <c r="E66" s="154">
        <v>1</v>
      </c>
      <c r="F66" s="152">
        <f t="shared" si="0"/>
        <v>1000</v>
      </c>
    </row>
    <row r="67" spans="1:6" x14ac:dyDescent="0.35">
      <c r="A67" s="161" t="s">
        <v>207</v>
      </c>
      <c r="B67" s="161" t="s">
        <v>203</v>
      </c>
      <c r="C67" s="161">
        <v>1000</v>
      </c>
      <c r="D67" s="156">
        <v>2000</v>
      </c>
      <c r="E67" s="154">
        <v>4</v>
      </c>
      <c r="F67" s="152">
        <f t="shared" ref="F67:F130" si="1">ABS(D67-C67)</f>
        <v>1000</v>
      </c>
    </row>
    <row r="68" spans="1:6" x14ac:dyDescent="0.35">
      <c r="A68" s="161" t="s">
        <v>208</v>
      </c>
      <c r="B68" s="161" t="s">
        <v>203</v>
      </c>
      <c r="C68" s="161">
        <v>1100</v>
      </c>
      <c r="D68" s="156">
        <v>700</v>
      </c>
      <c r="E68" s="154">
        <v>2</v>
      </c>
      <c r="F68" s="152">
        <f t="shared" si="1"/>
        <v>400</v>
      </c>
    </row>
    <row r="69" spans="1:6" x14ac:dyDescent="0.35">
      <c r="A69" s="161" t="s">
        <v>208</v>
      </c>
      <c r="B69" s="161" t="s">
        <v>203</v>
      </c>
      <c r="C69" s="161">
        <v>1100</v>
      </c>
      <c r="D69" s="156">
        <v>2000</v>
      </c>
      <c r="E69" s="154">
        <v>1</v>
      </c>
      <c r="F69" s="152">
        <f t="shared" si="1"/>
        <v>900</v>
      </c>
    </row>
    <row r="70" spans="1:6" x14ac:dyDescent="0.35">
      <c r="A70" s="161" t="s">
        <v>209</v>
      </c>
      <c r="B70" s="161" t="s">
        <v>203</v>
      </c>
      <c r="C70" s="161">
        <v>1250</v>
      </c>
      <c r="D70" s="156">
        <v>2000</v>
      </c>
      <c r="E70" s="154">
        <v>4</v>
      </c>
      <c r="F70" s="152">
        <f t="shared" si="1"/>
        <v>750</v>
      </c>
    </row>
    <row r="71" spans="1:6" x14ac:dyDescent="0.35">
      <c r="A71" s="161" t="s">
        <v>209</v>
      </c>
      <c r="B71" s="161" t="s">
        <v>203</v>
      </c>
      <c r="C71" s="161">
        <v>1250</v>
      </c>
      <c r="D71" s="156">
        <v>700</v>
      </c>
      <c r="E71" s="154">
        <v>4</v>
      </c>
      <c r="F71" s="152">
        <f t="shared" si="1"/>
        <v>550</v>
      </c>
    </row>
    <row r="72" spans="1:6" x14ac:dyDescent="0.35">
      <c r="A72" s="161" t="s">
        <v>209</v>
      </c>
      <c r="B72" s="161" t="s">
        <v>203</v>
      </c>
      <c r="C72" s="161">
        <v>1250</v>
      </c>
      <c r="D72" s="156">
        <v>2000</v>
      </c>
      <c r="E72" s="154">
        <v>2</v>
      </c>
      <c r="F72" s="152">
        <f t="shared" si="1"/>
        <v>750</v>
      </c>
    </row>
    <row r="73" spans="1:6" x14ac:dyDescent="0.35">
      <c r="A73" s="161" t="s">
        <v>210</v>
      </c>
      <c r="B73" s="161" t="s">
        <v>203</v>
      </c>
      <c r="C73" s="161">
        <v>1360</v>
      </c>
      <c r="D73" s="156">
        <v>700</v>
      </c>
      <c r="E73" s="154">
        <v>5</v>
      </c>
      <c r="F73" s="152">
        <f t="shared" si="1"/>
        <v>660</v>
      </c>
    </row>
    <row r="74" spans="1:6" x14ac:dyDescent="0.35">
      <c r="A74" s="161" t="s">
        <v>210</v>
      </c>
      <c r="B74" s="161" t="s">
        <v>203</v>
      </c>
      <c r="C74" s="161">
        <v>1360</v>
      </c>
      <c r="D74" s="156">
        <v>2000</v>
      </c>
      <c r="E74" s="154">
        <v>2</v>
      </c>
      <c r="F74" s="152">
        <f t="shared" si="1"/>
        <v>640</v>
      </c>
    </row>
    <row r="75" spans="1:6" x14ac:dyDescent="0.35">
      <c r="A75" s="161" t="s">
        <v>211</v>
      </c>
      <c r="B75" s="161" t="s">
        <v>203</v>
      </c>
      <c r="C75" s="161">
        <v>1420</v>
      </c>
      <c r="D75" s="156">
        <v>700</v>
      </c>
      <c r="E75" s="154">
        <v>10</v>
      </c>
      <c r="F75" s="152">
        <f t="shared" si="1"/>
        <v>720</v>
      </c>
    </row>
    <row r="76" spans="1:6" x14ac:dyDescent="0.35">
      <c r="A76" s="161" t="s">
        <v>211</v>
      </c>
      <c r="B76" s="161" t="s">
        <v>203</v>
      </c>
      <c r="C76" s="161">
        <v>1420</v>
      </c>
      <c r="D76" s="156">
        <v>2000</v>
      </c>
      <c r="E76" s="154">
        <v>1</v>
      </c>
      <c r="F76" s="152">
        <f t="shared" si="1"/>
        <v>580</v>
      </c>
    </row>
    <row r="77" spans="1:6" x14ac:dyDescent="0.35">
      <c r="A77" s="161" t="s">
        <v>211</v>
      </c>
      <c r="B77" s="161" t="s">
        <v>203</v>
      </c>
      <c r="C77" s="161">
        <v>1420</v>
      </c>
      <c r="D77" s="156">
        <v>700</v>
      </c>
      <c r="E77" s="154">
        <v>8</v>
      </c>
      <c r="F77" s="152">
        <f t="shared" si="1"/>
        <v>720</v>
      </c>
    </row>
    <row r="78" spans="1:6" x14ac:dyDescent="0.35">
      <c r="A78" s="161" t="s">
        <v>211</v>
      </c>
      <c r="B78" s="161" t="s">
        <v>203</v>
      </c>
      <c r="C78" s="161">
        <v>1420</v>
      </c>
      <c r="D78" s="156">
        <v>2000</v>
      </c>
      <c r="E78" s="154">
        <v>6</v>
      </c>
      <c r="F78" s="152">
        <f t="shared" si="1"/>
        <v>580</v>
      </c>
    </row>
    <row r="79" spans="1:6" x14ac:dyDescent="0.35">
      <c r="A79" s="161" t="s">
        <v>202</v>
      </c>
      <c r="B79" s="161" t="s">
        <v>203</v>
      </c>
      <c r="C79" s="161">
        <v>480</v>
      </c>
      <c r="D79" s="156">
        <v>2000</v>
      </c>
      <c r="E79" s="154">
        <v>8</v>
      </c>
      <c r="F79" s="152">
        <f t="shared" si="1"/>
        <v>1520</v>
      </c>
    </row>
    <row r="80" spans="1:6" x14ac:dyDescent="0.35">
      <c r="A80" s="161" t="s">
        <v>204</v>
      </c>
      <c r="B80" s="161" t="s">
        <v>203</v>
      </c>
      <c r="C80" s="161">
        <v>580</v>
      </c>
      <c r="D80" s="156">
        <v>2000</v>
      </c>
      <c r="E80" s="154">
        <v>6</v>
      </c>
      <c r="F80" s="152">
        <f t="shared" si="1"/>
        <v>1420</v>
      </c>
    </row>
    <row r="81" spans="1:6" x14ac:dyDescent="0.35">
      <c r="A81" s="161" t="s">
        <v>204</v>
      </c>
      <c r="B81" s="161" t="s">
        <v>203</v>
      </c>
      <c r="C81" s="161">
        <v>580</v>
      </c>
      <c r="D81" s="156">
        <v>2000</v>
      </c>
      <c r="E81" s="154">
        <v>1</v>
      </c>
      <c r="F81" s="152">
        <f t="shared" si="1"/>
        <v>1420</v>
      </c>
    </row>
    <row r="82" spans="1:6" x14ac:dyDescent="0.35">
      <c r="A82" s="161" t="s">
        <v>205</v>
      </c>
      <c r="B82" s="161" t="s">
        <v>203</v>
      </c>
      <c r="C82" s="161">
        <v>700</v>
      </c>
      <c r="D82" s="156">
        <v>480</v>
      </c>
      <c r="E82" s="154">
        <v>8</v>
      </c>
      <c r="F82" s="152">
        <f t="shared" si="1"/>
        <v>220</v>
      </c>
    </row>
    <row r="83" spans="1:6" x14ac:dyDescent="0.35">
      <c r="A83" s="161" t="s">
        <v>205</v>
      </c>
      <c r="B83" s="161" t="s">
        <v>203</v>
      </c>
      <c r="C83" s="161">
        <v>700</v>
      </c>
      <c r="D83" s="156">
        <v>2000</v>
      </c>
      <c r="E83" s="154">
        <v>1</v>
      </c>
      <c r="F83" s="152">
        <f t="shared" si="1"/>
        <v>1300</v>
      </c>
    </row>
    <row r="84" spans="1:6" x14ac:dyDescent="0.35">
      <c r="A84" s="161" t="s">
        <v>205</v>
      </c>
      <c r="B84" s="161" t="s">
        <v>203</v>
      </c>
      <c r="C84" s="161">
        <v>700</v>
      </c>
      <c r="D84" s="156">
        <v>2000</v>
      </c>
      <c r="E84" s="154">
        <v>8</v>
      </c>
      <c r="F84" s="152">
        <f t="shared" si="1"/>
        <v>1300</v>
      </c>
    </row>
    <row r="85" spans="1:6" x14ac:dyDescent="0.35">
      <c r="A85" s="161" t="s">
        <v>212</v>
      </c>
      <c r="B85" s="161" t="s">
        <v>203</v>
      </c>
      <c r="C85" s="161">
        <v>780</v>
      </c>
      <c r="D85" s="156">
        <v>780</v>
      </c>
      <c r="E85" s="154">
        <v>10</v>
      </c>
      <c r="F85" s="152">
        <f t="shared" si="1"/>
        <v>0</v>
      </c>
    </row>
    <row r="86" spans="1:6" x14ac:dyDescent="0.35">
      <c r="A86" s="161" t="s">
        <v>212</v>
      </c>
      <c r="B86" s="161" t="s">
        <v>203</v>
      </c>
      <c r="C86" s="161">
        <v>780</v>
      </c>
      <c r="D86" s="156">
        <v>480</v>
      </c>
      <c r="E86" s="154">
        <v>5</v>
      </c>
      <c r="F86" s="152">
        <f t="shared" si="1"/>
        <v>300</v>
      </c>
    </row>
    <row r="87" spans="1:6" x14ac:dyDescent="0.35">
      <c r="A87" s="161" t="s">
        <v>206</v>
      </c>
      <c r="B87" s="161" t="s">
        <v>203</v>
      </c>
      <c r="C87" s="161">
        <v>870</v>
      </c>
      <c r="D87" s="156">
        <v>2000</v>
      </c>
      <c r="E87" s="154">
        <v>1</v>
      </c>
      <c r="F87" s="152">
        <f t="shared" si="1"/>
        <v>1130</v>
      </c>
    </row>
    <row r="88" spans="1:6" x14ac:dyDescent="0.35">
      <c r="A88" s="161" t="s">
        <v>206</v>
      </c>
      <c r="B88" s="161" t="s">
        <v>203</v>
      </c>
      <c r="C88" s="161">
        <v>870</v>
      </c>
      <c r="D88" s="156">
        <v>780</v>
      </c>
      <c r="E88" s="154">
        <v>1</v>
      </c>
      <c r="F88" s="152">
        <f t="shared" si="1"/>
        <v>90</v>
      </c>
    </row>
    <row r="89" spans="1:6" x14ac:dyDescent="0.35">
      <c r="A89" s="161" t="s">
        <v>206</v>
      </c>
      <c r="B89" s="161" t="s">
        <v>203</v>
      </c>
      <c r="C89" s="161">
        <v>870</v>
      </c>
      <c r="D89" s="156">
        <v>480</v>
      </c>
      <c r="E89" s="154">
        <v>3</v>
      </c>
      <c r="F89" s="152">
        <f t="shared" si="1"/>
        <v>390</v>
      </c>
    </row>
    <row r="90" spans="1:6" x14ac:dyDescent="0.35">
      <c r="A90" s="161" t="s">
        <v>207</v>
      </c>
      <c r="B90" s="161" t="s">
        <v>203</v>
      </c>
      <c r="C90" s="161">
        <v>1000</v>
      </c>
      <c r="D90" s="156">
        <v>2000</v>
      </c>
      <c r="E90" s="154">
        <v>2</v>
      </c>
      <c r="F90" s="152">
        <f t="shared" si="1"/>
        <v>1000</v>
      </c>
    </row>
    <row r="91" spans="1:6" x14ac:dyDescent="0.35">
      <c r="A91" s="165" t="s">
        <v>207</v>
      </c>
      <c r="B91" s="165" t="s">
        <v>203</v>
      </c>
      <c r="C91" s="165">
        <v>1000</v>
      </c>
      <c r="D91" s="164">
        <v>480</v>
      </c>
      <c r="E91" s="168">
        <v>6</v>
      </c>
      <c r="F91" s="152">
        <f t="shared" si="1"/>
        <v>520</v>
      </c>
    </row>
    <row r="92" spans="1:6" x14ac:dyDescent="0.35">
      <c r="A92" s="161" t="s">
        <v>207</v>
      </c>
      <c r="B92" s="161" t="s">
        <v>203</v>
      </c>
      <c r="C92" s="161">
        <v>1000</v>
      </c>
      <c r="D92" s="156">
        <v>2000</v>
      </c>
      <c r="E92" s="154">
        <v>2</v>
      </c>
      <c r="F92" s="152">
        <f t="shared" si="1"/>
        <v>1000</v>
      </c>
    </row>
    <row r="93" spans="1:6" x14ac:dyDescent="0.35">
      <c r="A93" s="161" t="s">
        <v>208</v>
      </c>
      <c r="B93" s="161" t="s">
        <v>203</v>
      </c>
      <c r="C93" s="161">
        <v>1100</v>
      </c>
      <c r="D93" s="156">
        <v>480</v>
      </c>
      <c r="E93" s="154">
        <v>0</v>
      </c>
      <c r="F93" s="152">
        <f t="shared" si="1"/>
        <v>620</v>
      </c>
    </row>
    <row r="94" spans="1:6" x14ac:dyDescent="0.35">
      <c r="A94" s="161" t="s">
        <v>208</v>
      </c>
      <c r="B94" s="161" t="s">
        <v>203</v>
      </c>
      <c r="C94" s="161">
        <v>1100</v>
      </c>
      <c r="D94" s="156">
        <v>2000</v>
      </c>
      <c r="E94" s="154">
        <v>3</v>
      </c>
      <c r="F94" s="152">
        <f t="shared" si="1"/>
        <v>900</v>
      </c>
    </row>
    <row r="95" spans="1:6" x14ac:dyDescent="0.35">
      <c r="A95" s="161" t="s">
        <v>208</v>
      </c>
      <c r="B95" s="161" t="s">
        <v>203</v>
      </c>
      <c r="C95" s="161">
        <v>1100</v>
      </c>
      <c r="D95" s="156">
        <v>2000</v>
      </c>
      <c r="E95" s="154">
        <v>3</v>
      </c>
      <c r="F95" s="152">
        <f t="shared" si="1"/>
        <v>900</v>
      </c>
    </row>
    <row r="96" spans="1:6" x14ac:dyDescent="0.35">
      <c r="A96" s="161" t="s">
        <v>209</v>
      </c>
      <c r="B96" s="161" t="s">
        <v>203</v>
      </c>
      <c r="C96" s="161">
        <v>1250</v>
      </c>
      <c r="D96" s="156">
        <v>2000</v>
      </c>
      <c r="E96" s="154">
        <v>5</v>
      </c>
      <c r="F96" s="152">
        <f t="shared" si="1"/>
        <v>750</v>
      </c>
    </row>
    <row r="97" spans="1:6" x14ac:dyDescent="0.35">
      <c r="A97" s="161" t="s">
        <v>209</v>
      </c>
      <c r="B97" s="161" t="s">
        <v>203</v>
      </c>
      <c r="C97" s="161">
        <v>1250</v>
      </c>
      <c r="D97" s="156">
        <v>480</v>
      </c>
      <c r="E97" s="154">
        <v>4</v>
      </c>
      <c r="F97" s="152">
        <f t="shared" si="1"/>
        <v>770</v>
      </c>
    </row>
    <row r="98" spans="1:6" x14ac:dyDescent="0.35">
      <c r="A98" s="161" t="s">
        <v>210</v>
      </c>
      <c r="B98" s="161" t="s">
        <v>203</v>
      </c>
      <c r="C98" s="161">
        <v>1360</v>
      </c>
      <c r="D98" s="156">
        <v>2000</v>
      </c>
      <c r="E98" s="154">
        <v>1</v>
      </c>
      <c r="F98" s="152">
        <f t="shared" si="1"/>
        <v>640</v>
      </c>
    </row>
    <row r="99" spans="1:6" x14ac:dyDescent="0.35">
      <c r="A99" s="161" t="s">
        <v>210</v>
      </c>
      <c r="B99" s="161" t="s">
        <v>203</v>
      </c>
      <c r="C99" s="161">
        <v>1360</v>
      </c>
      <c r="D99" s="156">
        <v>480</v>
      </c>
      <c r="E99" s="154">
        <v>2</v>
      </c>
      <c r="F99" s="152">
        <f t="shared" si="1"/>
        <v>880</v>
      </c>
    </row>
    <row r="100" spans="1:6" x14ac:dyDescent="0.35">
      <c r="A100" s="161" t="s">
        <v>211</v>
      </c>
      <c r="B100" s="161" t="s">
        <v>203</v>
      </c>
      <c r="C100" s="161">
        <v>1420</v>
      </c>
      <c r="D100" s="156">
        <v>2000</v>
      </c>
      <c r="E100" s="154">
        <v>5</v>
      </c>
      <c r="F100" s="152">
        <f t="shared" si="1"/>
        <v>580</v>
      </c>
    </row>
    <row r="101" spans="1:6" x14ac:dyDescent="0.35">
      <c r="A101" s="161" t="s">
        <v>211</v>
      </c>
      <c r="B101" s="161" t="s">
        <v>203</v>
      </c>
      <c r="C101" s="161">
        <v>1420</v>
      </c>
      <c r="D101" s="156">
        <v>2000</v>
      </c>
      <c r="E101" s="154">
        <v>3</v>
      </c>
      <c r="F101" s="152">
        <f t="shared" si="1"/>
        <v>580</v>
      </c>
    </row>
    <row r="102" spans="1:6" x14ac:dyDescent="0.35">
      <c r="A102" s="161" t="s">
        <v>211</v>
      </c>
      <c r="B102" s="161" t="s">
        <v>203</v>
      </c>
      <c r="C102" s="161">
        <v>1420</v>
      </c>
      <c r="D102" s="156">
        <v>480</v>
      </c>
      <c r="E102" s="154">
        <v>0</v>
      </c>
      <c r="F102" s="152">
        <f t="shared" si="1"/>
        <v>940</v>
      </c>
    </row>
    <row r="103" spans="1:6" x14ac:dyDescent="0.35">
      <c r="A103" s="156" t="s">
        <v>202</v>
      </c>
      <c r="B103" s="156" t="s">
        <v>203</v>
      </c>
      <c r="C103" s="156">
        <v>480</v>
      </c>
      <c r="D103" s="156">
        <v>480</v>
      </c>
      <c r="E103" s="154">
        <v>6</v>
      </c>
      <c r="F103" s="152">
        <f t="shared" si="1"/>
        <v>0</v>
      </c>
    </row>
    <row r="104" spans="1:6" x14ac:dyDescent="0.35">
      <c r="A104" s="156" t="s">
        <v>202</v>
      </c>
      <c r="B104" s="156" t="s">
        <v>203</v>
      </c>
      <c r="C104" s="156">
        <v>480</v>
      </c>
      <c r="D104" s="156">
        <v>2000</v>
      </c>
      <c r="E104" s="154">
        <v>1</v>
      </c>
      <c r="F104" s="152">
        <f t="shared" si="1"/>
        <v>1520</v>
      </c>
    </row>
    <row r="105" spans="1:6" x14ac:dyDescent="0.35">
      <c r="A105" s="156" t="s">
        <v>204</v>
      </c>
      <c r="B105" s="156" t="s">
        <v>203</v>
      </c>
      <c r="C105" s="156">
        <v>580</v>
      </c>
      <c r="D105" s="156">
        <v>480</v>
      </c>
      <c r="E105" s="154">
        <v>17</v>
      </c>
      <c r="F105" s="152">
        <f t="shared" si="1"/>
        <v>100</v>
      </c>
    </row>
    <row r="106" spans="1:6" x14ac:dyDescent="0.35">
      <c r="A106" s="156" t="s">
        <v>205</v>
      </c>
      <c r="B106" s="156" t="s">
        <v>203</v>
      </c>
      <c r="C106" s="156">
        <v>700</v>
      </c>
      <c r="D106" s="156">
        <v>2000</v>
      </c>
      <c r="E106" s="154">
        <v>1</v>
      </c>
      <c r="F106" s="152">
        <f t="shared" si="1"/>
        <v>1300</v>
      </c>
    </row>
    <row r="107" spans="1:6" x14ac:dyDescent="0.35">
      <c r="A107" s="156" t="s">
        <v>205</v>
      </c>
      <c r="B107" s="156" t="s">
        <v>203</v>
      </c>
      <c r="C107" s="156">
        <v>700</v>
      </c>
      <c r="D107" s="156">
        <v>480</v>
      </c>
      <c r="E107" s="154">
        <v>11</v>
      </c>
      <c r="F107" s="152">
        <f t="shared" si="1"/>
        <v>220</v>
      </c>
    </row>
    <row r="108" spans="1:6" x14ac:dyDescent="0.35">
      <c r="A108" s="156" t="s">
        <v>205</v>
      </c>
      <c r="B108" s="156" t="s">
        <v>203</v>
      </c>
      <c r="C108" s="156">
        <v>700</v>
      </c>
      <c r="D108" s="156">
        <v>2000</v>
      </c>
      <c r="E108" s="154">
        <v>2</v>
      </c>
      <c r="F108" s="152">
        <f t="shared" si="1"/>
        <v>1300</v>
      </c>
    </row>
    <row r="109" spans="1:6" x14ac:dyDescent="0.35">
      <c r="A109" s="156" t="s">
        <v>212</v>
      </c>
      <c r="B109" s="156" t="s">
        <v>203</v>
      </c>
      <c r="C109" s="156">
        <v>780</v>
      </c>
      <c r="D109" s="156">
        <v>2000</v>
      </c>
      <c r="E109" s="154">
        <v>6</v>
      </c>
      <c r="F109" s="152">
        <f t="shared" si="1"/>
        <v>1220</v>
      </c>
    </row>
    <row r="110" spans="1:6" x14ac:dyDescent="0.35">
      <c r="A110" s="156" t="s">
        <v>212</v>
      </c>
      <c r="B110" s="156" t="s">
        <v>203</v>
      </c>
      <c r="C110" s="156">
        <v>780</v>
      </c>
      <c r="D110" s="156">
        <v>480</v>
      </c>
      <c r="E110" s="154">
        <v>9</v>
      </c>
      <c r="F110" s="152">
        <f t="shared" si="1"/>
        <v>300</v>
      </c>
    </row>
    <row r="111" spans="1:6" x14ac:dyDescent="0.35">
      <c r="A111" s="154" t="s">
        <v>212</v>
      </c>
      <c r="B111" s="154" t="s">
        <v>203</v>
      </c>
      <c r="C111" s="154">
        <v>780</v>
      </c>
      <c r="D111" s="156">
        <v>2000</v>
      </c>
      <c r="E111" s="154">
        <v>0</v>
      </c>
      <c r="F111" s="152">
        <f t="shared" si="1"/>
        <v>1220</v>
      </c>
    </row>
    <row r="112" spans="1:6" x14ac:dyDescent="0.35">
      <c r="A112" s="154" t="s">
        <v>206</v>
      </c>
      <c r="B112" s="154" t="s">
        <v>203</v>
      </c>
      <c r="C112" s="154">
        <v>870</v>
      </c>
      <c r="D112" s="156">
        <v>2000</v>
      </c>
      <c r="E112" s="154">
        <v>4</v>
      </c>
      <c r="F112" s="152">
        <f t="shared" si="1"/>
        <v>1130</v>
      </c>
    </row>
    <row r="113" spans="1:6" x14ac:dyDescent="0.35">
      <c r="A113" s="154" t="s">
        <v>206</v>
      </c>
      <c r="B113" s="154" t="s">
        <v>203</v>
      </c>
      <c r="C113" s="154">
        <v>870</v>
      </c>
      <c r="D113" s="154">
        <v>480</v>
      </c>
      <c r="E113" s="154">
        <v>3</v>
      </c>
      <c r="F113" s="152">
        <f t="shared" si="1"/>
        <v>390</v>
      </c>
    </row>
    <row r="114" spans="1:6" x14ac:dyDescent="0.35">
      <c r="A114" s="154" t="s">
        <v>206</v>
      </c>
      <c r="B114" s="154" t="s">
        <v>203</v>
      </c>
      <c r="C114" s="154">
        <v>870</v>
      </c>
      <c r="D114" s="154">
        <v>2000</v>
      </c>
      <c r="E114" s="154">
        <v>3</v>
      </c>
      <c r="F114" s="152">
        <f t="shared" si="1"/>
        <v>1130</v>
      </c>
    </row>
    <row r="115" spans="1:6" x14ac:dyDescent="0.35">
      <c r="A115" s="154" t="s">
        <v>207</v>
      </c>
      <c r="B115" s="154" t="s">
        <v>203</v>
      </c>
      <c r="C115" s="154">
        <v>1000</v>
      </c>
      <c r="D115" s="154">
        <v>480</v>
      </c>
      <c r="E115" s="154">
        <v>7</v>
      </c>
      <c r="F115" s="152">
        <f t="shared" si="1"/>
        <v>520</v>
      </c>
    </row>
    <row r="116" spans="1:6" x14ac:dyDescent="0.35">
      <c r="A116" s="154" t="s">
        <v>207</v>
      </c>
      <c r="B116" s="154" t="s">
        <v>203</v>
      </c>
      <c r="C116" s="154">
        <v>1000</v>
      </c>
      <c r="D116" s="154">
        <v>2000</v>
      </c>
      <c r="E116" s="154">
        <v>2</v>
      </c>
      <c r="F116" s="152">
        <f t="shared" si="1"/>
        <v>1000</v>
      </c>
    </row>
    <row r="117" spans="1:6" x14ac:dyDescent="0.35">
      <c r="A117" s="154" t="s">
        <v>208</v>
      </c>
      <c r="B117" s="154" t="s">
        <v>203</v>
      </c>
      <c r="C117" s="154">
        <v>1100</v>
      </c>
      <c r="D117" s="154">
        <v>480</v>
      </c>
      <c r="E117" s="154">
        <v>1</v>
      </c>
      <c r="F117" s="152">
        <f t="shared" si="1"/>
        <v>620</v>
      </c>
    </row>
    <row r="118" spans="1:6" x14ac:dyDescent="0.35">
      <c r="A118" s="154" t="s">
        <v>208</v>
      </c>
      <c r="B118" s="154" t="s">
        <v>203</v>
      </c>
      <c r="C118" s="154">
        <v>1100</v>
      </c>
      <c r="D118" s="154">
        <v>2000</v>
      </c>
      <c r="E118" s="154">
        <v>2</v>
      </c>
      <c r="F118" s="152">
        <f t="shared" si="1"/>
        <v>900</v>
      </c>
    </row>
    <row r="119" spans="1:6" x14ac:dyDescent="0.35">
      <c r="A119" s="154" t="s">
        <v>209</v>
      </c>
      <c r="B119" s="154" t="s">
        <v>203</v>
      </c>
      <c r="C119" s="154">
        <v>1250</v>
      </c>
      <c r="D119" s="154">
        <v>2000</v>
      </c>
      <c r="E119" s="154">
        <v>7</v>
      </c>
      <c r="F119" s="152">
        <f t="shared" si="1"/>
        <v>750</v>
      </c>
    </row>
    <row r="120" spans="1:6" x14ac:dyDescent="0.35">
      <c r="A120" s="154" t="s">
        <v>209</v>
      </c>
      <c r="B120" s="154" t="s">
        <v>203</v>
      </c>
      <c r="C120" s="154">
        <v>1250</v>
      </c>
      <c r="D120" s="154">
        <v>1420</v>
      </c>
      <c r="E120" s="154">
        <v>4</v>
      </c>
      <c r="F120" s="152">
        <f t="shared" si="1"/>
        <v>170</v>
      </c>
    </row>
    <row r="121" spans="1:6" x14ac:dyDescent="0.35">
      <c r="A121" s="154" t="s">
        <v>209</v>
      </c>
      <c r="B121" s="154" t="s">
        <v>203</v>
      </c>
      <c r="C121" s="154">
        <v>1250</v>
      </c>
      <c r="D121" s="154">
        <v>2000</v>
      </c>
      <c r="E121" s="154">
        <v>2</v>
      </c>
      <c r="F121" s="152">
        <f t="shared" si="1"/>
        <v>750</v>
      </c>
    </row>
    <row r="122" spans="1:6" x14ac:dyDescent="0.35">
      <c r="A122" s="154" t="s">
        <v>210</v>
      </c>
      <c r="B122" s="154" t="s">
        <v>203</v>
      </c>
      <c r="C122" s="154">
        <v>1360</v>
      </c>
      <c r="D122" s="154">
        <v>1420</v>
      </c>
      <c r="E122" s="154">
        <v>2</v>
      </c>
      <c r="F122" s="152">
        <f t="shared" si="1"/>
        <v>60</v>
      </c>
    </row>
    <row r="123" spans="1:6" x14ac:dyDescent="0.35">
      <c r="A123" s="154" t="s">
        <v>210</v>
      </c>
      <c r="B123" s="154" t="s">
        <v>203</v>
      </c>
      <c r="C123" s="154">
        <v>1360</v>
      </c>
      <c r="D123" s="154">
        <v>2000</v>
      </c>
      <c r="E123" s="154">
        <v>0</v>
      </c>
      <c r="F123" s="152">
        <f t="shared" si="1"/>
        <v>640</v>
      </c>
    </row>
    <row r="124" spans="1:6" x14ac:dyDescent="0.35">
      <c r="A124" s="154" t="s">
        <v>211</v>
      </c>
      <c r="B124" s="154" t="s">
        <v>203</v>
      </c>
      <c r="C124" s="154">
        <v>1420</v>
      </c>
      <c r="D124" s="154">
        <v>1420</v>
      </c>
      <c r="E124" s="154">
        <v>4</v>
      </c>
      <c r="F124" s="152">
        <f t="shared" si="1"/>
        <v>0</v>
      </c>
    </row>
    <row r="125" spans="1:6" x14ac:dyDescent="0.35">
      <c r="A125" s="154" t="s">
        <v>202</v>
      </c>
      <c r="B125" s="154" t="s">
        <v>203</v>
      </c>
      <c r="C125" s="154">
        <v>480</v>
      </c>
      <c r="D125" s="154">
        <v>2000</v>
      </c>
      <c r="E125" s="154">
        <v>12</v>
      </c>
      <c r="F125" s="152">
        <f t="shared" si="1"/>
        <v>1520</v>
      </c>
    </row>
    <row r="126" spans="1:6" x14ac:dyDescent="0.35">
      <c r="A126" s="154" t="s">
        <v>204</v>
      </c>
      <c r="B126" s="154" t="s">
        <v>203</v>
      </c>
      <c r="C126" s="154">
        <v>580</v>
      </c>
      <c r="D126" s="154">
        <v>2000</v>
      </c>
      <c r="E126" s="154">
        <v>5</v>
      </c>
      <c r="F126" s="152">
        <f t="shared" si="1"/>
        <v>1420</v>
      </c>
    </row>
    <row r="127" spans="1:6" x14ac:dyDescent="0.35">
      <c r="A127" s="154" t="s">
        <v>205</v>
      </c>
      <c r="B127" s="154" t="s">
        <v>203</v>
      </c>
      <c r="C127" s="154">
        <v>700</v>
      </c>
      <c r="D127" s="154">
        <v>650</v>
      </c>
      <c r="E127" s="154">
        <v>7</v>
      </c>
      <c r="F127" s="152">
        <f t="shared" si="1"/>
        <v>50</v>
      </c>
    </row>
    <row r="128" spans="1:6" x14ac:dyDescent="0.35">
      <c r="A128" s="154" t="s">
        <v>212</v>
      </c>
      <c r="B128" s="154" t="s">
        <v>203</v>
      </c>
      <c r="C128" s="154">
        <v>780</v>
      </c>
      <c r="D128" s="154">
        <v>650</v>
      </c>
      <c r="E128" s="154">
        <v>9</v>
      </c>
      <c r="F128" s="152">
        <f t="shared" si="1"/>
        <v>130</v>
      </c>
    </row>
    <row r="129" spans="1:6" x14ac:dyDescent="0.35">
      <c r="A129" s="154" t="s">
        <v>206</v>
      </c>
      <c r="B129" s="154" t="s">
        <v>203</v>
      </c>
      <c r="C129" s="154">
        <v>870</v>
      </c>
      <c r="D129" s="154">
        <v>650</v>
      </c>
      <c r="E129" s="154">
        <v>4</v>
      </c>
      <c r="F129" s="152">
        <f t="shared" si="1"/>
        <v>220</v>
      </c>
    </row>
    <row r="130" spans="1:6" x14ac:dyDescent="0.35">
      <c r="A130" s="154" t="s">
        <v>207</v>
      </c>
      <c r="B130" s="154" t="s">
        <v>203</v>
      </c>
      <c r="C130" s="154">
        <v>1000</v>
      </c>
      <c r="D130" s="154">
        <v>650</v>
      </c>
      <c r="E130" s="154">
        <v>10</v>
      </c>
      <c r="F130" s="152">
        <f t="shared" si="1"/>
        <v>350</v>
      </c>
    </row>
    <row r="131" spans="1:6" x14ac:dyDescent="0.35">
      <c r="A131" s="154" t="s">
        <v>208</v>
      </c>
      <c r="B131" s="154" t="s">
        <v>203</v>
      </c>
      <c r="C131" s="154">
        <v>1100</v>
      </c>
      <c r="D131" s="154">
        <v>650</v>
      </c>
      <c r="E131" s="154">
        <v>3</v>
      </c>
      <c r="F131" s="152">
        <f t="shared" ref="F131:F133" si="2">ABS(D131-C131)</f>
        <v>450</v>
      </c>
    </row>
    <row r="132" spans="1:6" x14ac:dyDescent="0.35">
      <c r="A132" s="154" t="s">
        <v>209</v>
      </c>
      <c r="B132" s="154" t="s">
        <v>203</v>
      </c>
      <c r="C132" s="154">
        <v>1250</v>
      </c>
      <c r="D132" s="154">
        <v>2000</v>
      </c>
      <c r="E132" s="154">
        <v>4</v>
      </c>
      <c r="F132" s="152">
        <f t="shared" si="2"/>
        <v>750</v>
      </c>
    </row>
    <row r="133" spans="1:6" x14ac:dyDescent="0.35">
      <c r="A133" s="154" t="s">
        <v>211</v>
      </c>
      <c r="B133" s="154" t="s">
        <v>203</v>
      </c>
      <c r="C133" s="154">
        <v>1420</v>
      </c>
      <c r="D133" s="154">
        <v>2000</v>
      </c>
      <c r="E133" s="154">
        <v>9</v>
      </c>
      <c r="F133" s="152">
        <f t="shared" si="2"/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Sheet1_1</vt:lpstr>
      <vt:lpstr>Sheet2_2</vt:lpstr>
      <vt:lpstr>Sheet3_3</vt:lpstr>
      <vt:lpstr>Sheet4_4</vt:lpstr>
      <vt:lpstr>Sheet5_5</vt:lpstr>
      <vt:lpstr>Sheet6_6</vt:lpstr>
      <vt:lpstr>Sheet7_7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2023-12-29T17:00:07Z</dcterms:created>
  <dcterms:modified xsi:type="dcterms:W3CDTF">2024-02-09T10:15:22Z</dcterms:modified>
</cp:coreProperties>
</file>